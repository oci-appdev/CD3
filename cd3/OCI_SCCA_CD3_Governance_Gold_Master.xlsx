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2.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3.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comments4.xml" ContentType="application/vnd.openxmlformats-officedocument.spreadsheetml.comments+xml"/>
  <Override PartName="/xl/worksheets/sheet38.xml" ContentType="application/vnd.openxmlformats-officedocument.spreadsheetml.worksheet+xml"/>
  <Override PartName="/xl/worksheets/sheet39.xml" ContentType="application/vnd.openxmlformats-officedocument.spreadsheetml.worksheet+xml"/>
  <Override PartName="/xl/comments5.xml" ContentType="application/vnd.openxmlformats-officedocument.spreadsheetml.comments+xml"/>
  <Override PartName="/xl/worksheets/sheet40.xml" ContentType="application/vnd.openxmlformats-officedocument.spreadsheetml.worksheet+xml"/>
  <Override PartName="/xl/worksheets/sheet41.xml" ContentType="application/vnd.openxmlformats-officedocument.spreadsheetml.worksheet+xml"/>
  <Override PartName="/xl/comments6.xml" ContentType="application/vnd.openxmlformats-officedocument.spreadsheetml.comments+xml"/>
  <Override PartName="/xl/worksheets/sheet42.xml" ContentType="application/vnd.openxmlformats-officedocument.spreadsheetml.worksheet+xml"/>
  <Override PartName="/xl/comments7.xml" ContentType="application/vnd.openxmlformats-officedocument.spreadsheetml.comments+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comments8.xml" ContentType="application/vnd.openxmlformats-officedocument.spreadsheetml.comments+xml"/>
  <Override PartName="/xl/worksheets/sheet46.xml" ContentType="application/vnd.openxmlformats-officedocument.spreadsheetml.worksheet+xml"/>
  <Override PartName="/xl/worksheets/sheet47.xml" ContentType="application/vnd.openxmlformats-officedocument.spreadsheetml.worksheet+xml"/>
  <Override PartName="/xl/comments9.xml" ContentType="application/vnd.openxmlformats-officedocument.spreadsheetml.comments+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01fd67778314de5" /></Relationships>
</file>

<file path=xl/workbook.xml><?xml version="1.0" encoding="utf-8"?>
<x:workbook xmlns:x="http://schemas.openxmlformats.org/spreadsheetml/2006/main">
  <x:sheets>
    <x:sheet xmlns:r="http://schemas.openxmlformats.org/officeDocument/2006/relationships" name="Release-Info" sheetId="1" r:id="R0e64746f0ee44d9b"/>
    <x:sheet xmlns:r="http://schemas.openxmlformats.org/officeDocument/2006/relationships" name="Compartments" sheetId="2" r:id="R31082e552268433c"/>
    <x:sheet xmlns:r="http://schemas.openxmlformats.org/officeDocument/2006/relationships" name="Groups" sheetId="3" r:id="R0e021d1f39e0475d"/>
    <x:sheet xmlns:r="http://schemas.openxmlformats.org/officeDocument/2006/relationships" name="Users" sheetId="4" r:id="R91ea18b28f2c45b6"/>
    <x:sheet xmlns:r="http://schemas.openxmlformats.org/officeDocument/2006/relationships" name="NetworkSources" sheetId="5" r:id="R80768e6e651a4263"/>
    <x:sheet xmlns:r="http://schemas.openxmlformats.org/officeDocument/2006/relationships" name="Policies" sheetId="6" r:id="R1cec583922a04ad1"/>
    <x:sheet xmlns:r="http://schemas.openxmlformats.org/officeDocument/2006/relationships" name="Tags" sheetId="7" r:id="Raee58ea1508744e9"/>
    <x:sheet xmlns:r="http://schemas.openxmlformats.org/officeDocument/2006/relationships" name="Quotas" sheetId="8" r:id="R2b33a90435f84721"/>
    <x:sheet xmlns:r="http://schemas.openxmlformats.org/officeDocument/2006/relationships" name="Budgets" sheetId="9" r:id="R8bd807b0f8c14b2c"/>
    <x:sheet xmlns:r="http://schemas.openxmlformats.org/officeDocument/2006/relationships" name="VCNs" sheetId="10" r:id="R9847dc51951c43e9"/>
    <x:sheet xmlns:r="http://schemas.openxmlformats.org/officeDocument/2006/relationships" name="DRGs" sheetId="11" r:id="Rcb09076907f948e5"/>
    <x:sheet xmlns:r="http://schemas.openxmlformats.org/officeDocument/2006/relationships" name="VCN Info" sheetId="12" r:id="R58b6d93ed55b4a2a"/>
    <x:sheet xmlns:r="http://schemas.openxmlformats.org/officeDocument/2006/relationships" name="DHCP" sheetId="13" r:id="R64015c53e6a340b5"/>
    <x:sheet xmlns:r="http://schemas.openxmlformats.org/officeDocument/2006/relationships" name="SubnetsVLANs" sheetId="14" r:id="Re9fc8ba320f24e3d"/>
    <x:sheet xmlns:r="http://schemas.openxmlformats.org/officeDocument/2006/relationships" name="DRGRouteRulesinOCI" sheetId="15" r:id="Re7e758a2425c4daf"/>
    <x:sheet xmlns:r="http://schemas.openxmlformats.org/officeDocument/2006/relationships" name="RouteRulesinOCI" sheetId="16" r:id="R2a50fde7c13244c5"/>
    <x:sheet xmlns:r="http://schemas.openxmlformats.org/officeDocument/2006/relationships" name="SecRulesinOCI" sheetId="17" r:id="Rbb68843976234986"/>
    <x:sheet xmlns:r="http://schemas.openxmlformats.org/officeDocument/2006/relationships" name="NSGs" sheetId="18" r:id="R8298de32c61949e2"/>
    <x:sheet xmlns:r="http://schemas.openxmlformats.org/officeDocument/2006/relationships" name="DNS-Views-Zones-Records" sheetId="19" r:id="R6dedf031c73546ad"/>
    <x:sheet xmlns:r="http://schemas.openxmlformats.org/officeDocument/2006/relationships" name="DNS-Resolvers" sheetId="20" r:id="Re8a56fcdf3f644a9"/>
    <x:sheet xmlns:r="http://schemas.openxmlformats.org/officeDocument/2006/relationships" name="DedicatedVMHosts" sheetId="21" r:id="R959f513f069b42cd"/>
    <x:sheet xmlns:r="http://schemas.openxmlformats.org/officeDocument/2006/relationships" name="Instances" sheetId="22" r:id="Rd27809144b974ef1"/>
    <x:sheet xmlns:r="http://schemas.openxmlformats.org/officeDocument/2006/relationships" name="BlockVolumes" sheetId="23" r:id="R926ddda3b6a54355"/>
    <x:sheet xmlns:r="http://schemas.openxmlformats.org/officeDocument/2006/relationships" name="FSS" sheetId="24" r:id="R94e57a8661804bdc"/>
    <x:sheet xmlns:r="http://schemas.openxmlformats.org/officeDocument/2006/relationships" name="OKE" sheetId="25" r:id="R492b8be2168f4f12"/>
    <x:sheet xmlns:r="http://schemas.openxmlformats.org/officeDocument/2006/relationships" name="LB-Hostname-Certs" sheetId="26" r:id="Rfdef3ecbc51f44ff"/>
    <x:sheet xmlns:r="http://schemas.openxmlformats.org/officeDocument/2006/relationships" name="LB-BackendSet-BackendServer" sheetId="27" r:id="R1b85a6bd8b1d4921"/>
    <x:sheet xmlns:r="http://schemas.openxmlformats.org/officeDocument/2006/relationships" name="LB-Listener" sheetId="28" r:id="R3257c89cc31e43a2"/>
    <x:sheet xmlns:r="http://schemas.openxmlformats.org/officeDocument/2006/relationships" name="LB-RuleSet" sheetId="29" r:id="R4286d562917f49e6"/>
    <x:sheet xmlns:r="http://schemas.openxmlformats.org/officeDocument/2006/relationships" name="LB-PathRouteSet" sheetId="30" r:id="Rd6f1ec9285b74c3a"/>
    <x:sheet xmlns:r="http://schemas.openxmlformats.org/officeDocument/2006/relationships" name="LB-RoutingPolicy" sheetId="31" r:id="R2d7ed1fdbf9144f4"/>
    <x:sheet xmlns:r="http://schemas.openxmlformats.org/officeDocument/2006/relationships" name="NLB-Listeners" sheetId="32" r:id="Racba0e75278c4137"/>
    <x:sheet xmlns:r="http://schemas.openxmlformats.org/officeDocument/2006/relationships" name="NLB-BackendSets-BackendServers" sheetId="33" r:id="R94dd5407d4d7479b"/>
    <x:sheet xmlns:r="http://schemas.openxmlformats.org/officeDocument/2006/relationships" name="ADB" sheetId="34" r:id="R9d071d609ea34d76"/>
    <x:sheet xmlns:r="http://schemas.openxmlformats.org/officeDocument/2006/relationships" name="DBSystems-VM-BM" sheetId="35" r:id="Rfda9dabddb924593"/>
    <x:sheet xmlns:r="http://schemas.openxmlformats.org/officeDocument/2006/relationships" name="EXA-Infra" sheetId="36" r:id="R43ef93dc489f4ecd"/>
    <x:sheet xmlns:r="http://schemas.openxmlformats.org/officeDocument/2006/relationships" name="EXA-VMClusters" sheetId="37" r:id="R06622c19784f4e21"/>
    <x:sheet xmlns:r="http://schemas.openxmlformats.org/officeDocument/2006/relationships" name="EXA-DBHomes" sheetId="38" r:id="R5386745c37154eac"/>
    <x:sheet xmlns:r="http://schemas.openxmlformats.org/officeDocument/2006/relationships" name="EXA-CDBs" sheetId="39" r:id="Rfaa8772e04dd43d5"/>
    <x:sheet xmlns:r="http://schemas.openxmlformats.org/officeDocument/2006/relationships" name="EXA-PDBs" sheetId="40" r:id="Rbfeaf007b7d74c29"/>
    <x:sheet xmlns:r="http://schemas.openxmlformats.org/officeDocument/2006/relationships" name="SDDCs" sheetId="41" r:id="R29b4cc7a0683487f"/>
    <x:sheet xmlns:r="http://schemas.openxmlformats.org/officeDocument/2006/relationships" name="SDDCs-Network" sheetId="42" r:id="R5cdd906966d84edc"/>
    <x:sheet xmlns:r="http://schemas.openxmlformats.org/officeDocument/2006/relationships" name="Buckets" sheetId="43" r:id="R4c625ad541074af5"/>
    <x:sheet xmlns:r="http://schemas.openxmlformats.org/officeDocument/2006/relationships" name="KMS" sheetId="44" r:id="R4864b9fe6cca4c0e"/>
    <x:sheet xmlns:r="http://schemas.openxmlformats.org/officeDocument/2006/relationships" name="MySQL-DBSystems" sheetId="45" r:id="R589a65f9a16a47e2"/>
    <x:sheet xmlns:r="http://schemas.openxmlformats.org/officeDocument/2006/relationships" name="MySQL-Configurations" sheetId="46" r:id="Red0c9f3e75574311"/>
    <x:sheet xmlns:r="http://schemas.openxmlformats.org/officeDocument/2006/relationships" name="Database_Dropdown" sheetId="47" r:id="R9a7f644f8df84068"/>
    <x:sheet xmlns:r="http://schemas.openxmlformats.org/officeDocument/2006/relationships" name="drop_down_rule_set" sheetId="48" r:id="R808486328b9a4bd7"/>
    <x:sheet xmlns:r="http://schemas.openxmlformats.org/officeDocument/2006/relationships" name="LB Rule Set Dropdown" sheetId="49" r:id="R19f11db2ec314306"/>
    <x:sheet xmlns:r="http://schemas.openxmlformats.org/officeDocument/2006/relationships" name="drop_down_rule_comp" sheetId="50" r:id="Rab9fc5994a8e42e8"/>
    <x:sheet xmlns:r="http://schemas.openxmlformats.org/officeDocument/2006/relationships" name="SCCA-Inputs" sheetId="51" r:id="Rd43f09319f6d4dc1"/>
    <x:sheet xmlns:r="http://schemas.openxmlformats.org/officeDocument/2006/relationships" name="Group Access Matrix" sheetId="52" r:id="R1991d37e84b341c3"/>
    <x:sheet xmlns:r="http://schemas.openxmlformats.org/officeDocument/2006/relationships" name="Policy Access Matrix" sheetId="53" r:id="R725d3e0994564c9c"/>
    <x:sheet xmlns:r="http://schemas.openxmlformats.org/officeDocument/2006/relationships" name="SCCA Validation" sheetId="54" r:id="Rcbd82b472f474a02"/>
    <x:sheet xmlns:r="http://schemas.openxmlformats.org/officeDocument/2006/relationships" name="Deployment Run Order" sheetId="55" r:id="R682f94a279a44ce0"/>
  </x:sheets>
  <x:definedNames>
    <x:definedName name="bm_shapes_drop">#REF!</x:definedName>
    <x:definedName name="char_set">#REF!</x:definedName>
    <x:definedName name="D3D1000">'DBSystems-VM-BM'!$D$3</x:definedName>
    <x:definedName name="db_sersion_drop">#REF!</x:definedName>
    <x:definedName name="exa_shapes_drop">#REF!</x:definedName>
    <x:definedName name="Header_Size">#REF!</x:definedName>
    <x:definedName name="license_type_drop">#REF!</x:definedName>
    <x:definedName name="nchar_set">#REF!</x:definedName>
    <x:definedName name="Response_Code">#REF!</x:definedName>
    <x:definedName name="Shape_Option">#REF!</x:definedName>
    <x:definedName name="Shape_Option_DB">[12]Database!$B$10:$J$10</x:definedName>
    <x:definedName name="software_drop">#REF!</x:definedName>
    <x:definedName name="VM_Shapes">'DBSystems-VM-BM'!$AB$394:$AB$404</x:definedName>
    <x:definedName name="VM_shapes_drop">#REF!</x:definedName>
    <x:definedName name="workload_drop">#REF!</x:definedName>
    <x:definedName name="Action_Values" localSheetId="28">#REF!</x:definedName>
    <x:definedName name="Allowed_Methods" localSheetId="28">#REF!</x:definedName>
    <x:definedName name="Attribute_Names" localSheetId="28">#REF!</x:definedName>
    <x:definedName name="Match_Style" localSheetId="28">#REF!</x:definedName>
    <x:definedName name="bm_shapes_drop" localSheetId="33">[1]Database_Dropdown!#REF!</x:definedName>
    <x:definedName name="char_set" localSheetId="33">[1]Database_Dropdown!$H$2:$H$108</x:definedName>
    <x:definedName name="db_sersion_drop" localSheetId="33">[1]Database_Dropdown!$C$2:$C$14</x:definedName>
    <x:definedName name="Header_Size" localSheetId="33">'[10]LB Rule Set Dropdown'!$F$2:$F$6</x:definedName>
    <x:definedName name="license_type_drop" localSheetId="33">[1]Database_Dropdown!$F$2:$F$3</x:definedName>
    <x:definedName name="nchar_set" localSheetId="33">[1]Database_Dropdown!$G$2:$G$3</x:definedName>
    <x:definedName name="Response_Code" localSheetId="33">'[10]LB Rule Set Dropdown'!$E$2:$E$7</x:definedName>
    <x:definedName name="software_drop" localSheetId="33">[1]Database_Dropdown!$B$2:$B$5</x:definedName>
    <x:definedName name="VM_shapes_drop" localSheetId="33">[1]Database_Dropdown!$A$2:$A$7</x:definedName>
    <x:definedName name="workload_drop" localSheetId="33">[1]Database_Dropdown!$D$2:$D$3</x:definedName>
    <x:definedName name="bm_shapes_drop" localSheetId="42">[2]Database_Dropdown!#REF!</x:definedName>
    <x:definedName name="char_set" localSheetId="42">[2]Database_Dropdown!$H$2:$H$108</x:definedName>
    <x:definedName name="db_sersion_drop" localSheetId="42">[2]Database_Dropdown!$C$2:$C$14</x:definedName>
    <x:definedName name="exa_shapes_drop" localSheetId="42">[2]Database_Dropdown!$E$2:$E$11</x:definedName>
    <x:definedName name="license_type_drop" localSheetId="42">[2]Database_Dropdown!$F$2:$F$3</x:definedName>
    <x:definedName name="nchar_set" localSheetId="42">[2]Database_Dropdown!$G$2:$G$3</x:definedName>
    <x:definedName name="Shape_Option" localSheetId="42">#REF!</x:definedName>
    <x:definedName name="software_drop" localSheetId="42">[2]Database_Dropdown!$B$2:$B$5</x:definedName>
    <x:definedName name="VM_shapes_drop" localSheetId="42">[2]Database_Dropdown!$A$2:$A$7</x:definedName>
    <x:definedName name="workload_drop" localSheetId="42">[2]Database_Dropdown!$D$2:$D$3</x:definedName>
    <x:definedName name="bm_shapes_drop" localSheetId="46">Database_Dropdown!#REF!</x:definedName>
    <x:definedName name="char_set" localSheetId="46">Database_Dropdown!$H$2:$H$108</x:definedName>
    <x:definedName name="db_sersion_drop" localSheetId="46">Database_Dropdown!$C$2:$C$14</x:definedName>
    <x:definedName name="exa_shapes_drop" localSheetId="46">Database_Dropdown!$E$2:$E$11</x:definedName>
    <x:definedName name="Header_Size" localSheetId="46">'[10]LB Rule Set Dropdown'!$F$2:$F$6</x:definedName>
    <x:definedName name="license_type_drop" localSheetId="46">Database_Dropdown!$F$2:$F$3</x:definedName>
    <x:definedName name="nchar_set" localSheetId="46">Database_Dropdown!$G$2:$G$3</x:definedName>
    <x:definedName name="Response_Code" localSheetId="46">'[10]LB Rule Set Dropdown'!$E$2:$E$7</x:definedName>
    <x:definedName name="Shape_Option" localSheetId="46">#REF!</x:definedName>
    <x:definedName name="software_drop" localSheetId="46">Database_Dropdown!$B$2:$B$5</x:definedName>
    <x:definedName name="VM_Shapes" localSheetId="46">Database_Dropdown!$A$2:$A$12</x:definedName>
    <x:definedName name="VM_shapes_drop" localSheetId="46">Database_Dropdown!$A$2:$A$7</x:definedName>
    <x:definedName name="workload_drop" localSheetId="46">Database_Dropdown!$D$2:$D$3</x:definedName>
    <x:definedName name="bm_shapes_drop" localSheetId="19">[2]Database_Dropdown!#REF!</x:definedName>
    <x:definedName name="char_set" localSheetId="19">[2]Database_Dropdown!$H$2:$H$108</x:definedName>
    <x:definedName name="db_sersion_drop" localSheetId="19">[2]Database_Dropdown!$C$2:$C$14</x:definedName>
    <x:definedName name="exa_shapes_drop" localSheetId="19">[2]Database_Dropdown!$E$2:$E$11</x:definedName>
    <x:definedName name="license_type_drop" localSheetId="19">[2]Database_Dropdown!$F$2:$F$3</x:definedName>
    <x:definedName name="nchar_set" localSheetId="19">[2]Database_Dropdown!$G$2:$G$3</x:definedName>
    <x:definedName name="Shape_Option" localSheetId="19">#REF!</x:definedName>
    <x:definedName name="software_drop" localSheetId="19">[2]Database_Dropdown!$B$2:$B$5</x:definedName>
    <x:definedName name="VM_shapes_drop" localSheetId="19">[2]Database_Dropdown!$A$2:$A$7</x:definedName>
    <x:definedName name="workload_drop" localSheetId="19">[2]Database_Dropdown!$D$2:$D$3</x:definedName>
    <x:definedName name="bm_shapes_drop" localSheetId="18">[2]Database_Dropdown!#REF!</x:definedName>
    <x:definedName name="char_set" localSheetId="18">[2]Database_Dropdown!$H$2:$H$108</x:definedName>
    <x:definedName name="db_sersion_drop" localSheetId="18">[2]Database_Dropdown!$C$2:$C$14</x:definedName>
    <x:definedName name="exa_shapes_drop" localSheetId="18">[2]Database_Dropdown!$E$2:$E$11</x:definedName>
    <x:definedName name="license_type_drop" localSheetId="18">[2]Database_Dropdown!$F$2:$F$3</x:definedName>
    <x:definedName name="nchar_set" localSheetId="18">[2]Database_Dropdown!$G$2:$G$3</x:definedName>
    <x:definedName name="Shape_Option" localSheetId="18">#REF!</x:definedName>
    <x:definedName name="software_drop" localSheetId="18">[2]Database_Dropdown!$B$2:$B$5</x:definedName>
    <x:definedName name="VM_shapes_drop" localSheetId="18">[2]Database_Dropdown!$A$2:$A$7</x:definedName>
    <x:definedName name="workload_drop" localSheetId="18">[2]Database_Dropdown!$D$2:$D$3</x:definedName>
    <x:definedName name="bm_shapes_drop" localSheetId="14">[3]Database_Dropdown!$F$2:$F$3</x:definedName>
    <x:definedName name="char_set" localSheetId="14">[3]Database_Dropdown!$I$2:$I$108</x:definedName>
    <x:definedName name="db_sersion_drop" localSheetId="14">[3]Database_Dropdown!$C$2:$C$14</x:definedName>
    <x:definedName name="exa_shapes_drop" localSheetId="14">[3]Database_Dropdown!$E$2:$E$11</x:definedName>
    <x:definedName name="Header_Size" localSheetId="14">'[3]Rule Set Dropdown'!$F$2:$F$6</x:definedName>
    <x:definedName name="license_type_drop" localSheetId="14">[3]Database_Dropdown!$G$2:$G$3</x:definedName>
    <x:definedName name="nchar_set" localSheetId="14">[3]Database_Dropdown!$H$2:$H$3</x:definedName>
    <x:definedName name="Response_Code" localSheetId="14">'[3]Rule Set Dropdown'!$E$2:$E$7</x:definedName>
    <x:definedName name="Shape_Option" localSheetId="14">#REF!</x:definedName>
    <x:definedName name="software_drop" localSheetId="14">[3]Database_Dropdown!$B$2:$B$5</x:definedName>
    <x:definedName name="VM_Shapes" localSheetId="14">#REF!</x:definedName>
    <x:definedName name="VM_shapes_drop" localSheetId="14">[3]Database_Dropdown!$A$2:$A$7</x:definedName>
    <x:definedName name="workload_drop" localSheetId="14">[3]Database_Dropdown!$D$2:$D$3</x:definedName>
    <x:definedName name="bm_shapes_drop" localSheetId="10">[4]Database_Dropdown!$F$2:$F$3</x:definedName>
    <x:definedName name="char_set" localSheetId="10">[4]Database_Dropdown!$I$2:$I$108</x:definedName>
    <x:definedName name="db_sersion_drop" localSheetId="10">[4]Database_Dropdown!$C$2:$C$14</x:definedName>
    <x:definedName name="exa_shapes_drop" localSheetId="10">[4]Database_Dropdown!$E$2:$E$11</x:definedName>
    <x:definedName name="Header_Size" localSheetId="10">'[4]Rule Set Dropdown'!$F$2:$F$6</x:definedName>
    <x:definedName name="license_type_drop" localSheetId="10">[4]Database_Dropdown!$G$2:$G$3</x:definedName>
    <x:definedName name="nchar_set" localSheetId="10">[4]Database_Dropdown!$H$2:$H$3</x:definedName>
    <x:definedName name="Response_Code" localSheetId="10">'[4]Rule Set Dropdown'!$E$2:$E$7</x:definedName>
    <x:definedName name="Shape_Option" localSheetId="10">#REF!</x:definedName>
    <x:definedName name="software_drop" localSheetId="10">[4]Database_Dropdown!$B$2:$B$5</x:definedName>
    <x:definedName name="VM_Shapes" localSheetId="10">#REF!</x:definedName>
    <x:definedName name="VM_shapes_drop" localSheetId="10">[4]Database_Dropdown!$A$2:$A$7</x:definedName>
    <x:definedName name="workload_drop" localSheetId="10">[4]Database_Dropdown!$D$2:$D$3</x:definedName>
    <x:definedName name="bm_shapes_drop" localSheetId="49">[5]Database_Dropdown!$F$2:$F$3</x:definedName>
    <x:definedName name="char_set" localSheetId="49">[5]Database_Dropdown!$I$2:$I$108</x:definedName>
    <x:definedName name="db_sersion_drop" localSheetId="49">[5]Database_Dropdown!$C$2:$C$14</x:definedName>
    <x:definedName name="exa_shapes_drop" localSheetId="49">[5]Database_Dropdown!$E$2:$E$11</x:definedName>
    <x:definedName name="Header_Size" localSheetId="49">'[5]Rule Set Dropdown'!$F$2:$F$6</x:definedName>
    <x:definedName name="license_type_drop" localSheetId="49">[5]Database_Dropdown!$G$2:$G$3</x:definedName>
    <x:definedName name="nchar_set" localSheetId="49">[5]Database_Dropdown!$H$2:$H$3</x:definedName>
    <x:definedName name="Response_Code" localSheetId="49">'[5]Rule Set Dropdown'!$E$2:$E$7</x:definedName>
    <x:definedName name="Shape_Option" localSheetId="49">#REF!</x:definedName>
    <x:definedName name="software_drop" localSheetId="49">[5]Database_Dropdown!$B$2:$B$5</x:definedName>
    <x:definedName name="VM_shapes_drop" localSheetId="49">[5]Database_Dropdown!$A$2:$A$7</x:definedName>
    <x:definedName name="workload_drop" localSheetId="49">[5]Database_Dropdown!$D$2:$D$3</x:definedName>
    <x:definedName name="bm_shapes_drop" localSheetId="47">[6]Database_Dropdown!$F$2:$F$3</x:definedName>
    <x:definedName name="char_set" localSheetId="47">[6]Database_Dropdown!$I$2:$I$108</x:definedName>
    <x:definedName name="db_sersion_drop" localSheetId="47">[6]Database_Dropdown!$C$2:$C$14</x:definedName>
    <x:definedName name="exa_shapes_drop" localSheetId="47">[6]Database_Dropdown!$E$2:$E$11</x:definedName>
    <x:definedName name="Header_Size" localSheetId="47">#REF!</x:definedName>
    <x:definedName name="license_type_drop" localSheetId="47">[6]Database_Dropdown!$G$2:$G$3</x:definedName>
    <x:definedName name="nchar_set" localSheetId="47">[6]Database_Dropdown!$H$2:$H$3</x:definedName>
    <x:definedName name="Response_Code" localSheetId="47">#REF!</x:definedName>
    <x:definedName name="Shape_Option" localSheetId="47">#REF!</x:definedName>
    <x:definedName name="software_drop" localSheetId="47">[6]Database_Dropdown!$B$2:$B$5</x:definedName>
    <x:definedName name="VM_shapes_drop" localSheetId="47">[6]Database_Dropdown!$A$2:$A$7</x:definedName>
    <x:definedName name="workload_drop" localSheetId="47">[6]Database_Dropdown!$D$2:$D$3</x:definedName>
    <x:definedName name="bm_shapes_drop" localSheetId="37">#REF!</x:definedName>
    <x:definedName name="char_set" localSheetId="37">#REF!</x:definedName>
    <x:definedName name="D3D1000" localSheetId="37">'[9]DBSystems-VM-BM'!#REF!</x:definedName>
    <x:definedName name="db_sersion_drop" localSheetId="37">#REF!</x:definedName>
    <x:definedName name="exa_shapes_drop" localSheetId="37">#REF!</x:definedName>
    <x:definedName name="Header_Size" localSheetId="37">#REF!</x:definedName>
    <x:definedName name="license_type_drop" localSheetId="37">#REF!</x:definedName>
    <x:definedName name="nchar_set" localSheetId="37">#REF!</x:definedName>
    <x:definedName name="Response_Code" localSheetId="37">#REF!</x:definedName>
    <x:definedName name="Shape_Option" localSheetId="37">#REF!</x:definedName>
    <x:definedName name="software_drop" localSheetId="37">#REF!</x:definedName>
    <x:definedName name="VM_shapes_drop" localSheetId="37">#REF!</x:definedName>
    <x:definedName name="workload_drop" localSheetId="37">#REF!</x:definedName>
    <x:definedName name="bm_shapes_drop" localSheetId="43">[2]Database_Dropdown!#REF!</x:definedName>
    <x:definedName name="char_set" localSheetId="43">[2]Database_Dropdown!$H$2:$H$108</x:definedName>
    <x:definedName name="db_sersion_drop" localSheetId="43">[2]Database_Dropdown!$C$2:$C$14</x:definedName>
    <x:definedName name="exa_shapes_drop" localSheetId="43">[2]Database_Dropdown!$E$2:$E$11</x:definedName>
    <x:definedName name="license_type_drop" localSheetId="43">[2]Database_Dropdown!$F$2:$F$3</x:definedName>
    <x:definedName name="nchar_set" localSheetId="43">[2]Database_Dropdown!$G$2:$G$3</x:definedName>
    <x:definedName name="Shape_Option" localSheetId="43">#REF!</x:definedName>
    <x:definedName name="software_drop" localSheetId="43">[2]Database_Dropdown!$B$2:$B$5</x:definedName>
    <x:definedName name="VM_shapes_drop" localSheetId="43">[2]Database_Dropdown!$A$2:$A$7</x:definedName>
    <x:definedName name="workload_drop" localSheetId="43">[2]Database_Dropdown!$D$2:$D$3</x:definedName>
    <x:definedName name="bm_shapes_drop" localSheetId="30">[2]Database_Dropdown!#REF!</x:definedName>
    <x:definedName name="char_set" localSheetId="30">[2]Database_Dropdown!$H$2:$H$108</x:definedName>
    <x:definedName name="db_sersion_drop" localSheetId="30">[2]Database_Dropdown!$C$2:$C$14</x:definedName>
    <x:definedName name="exa_shapes_drop" localSheetId="30">[2]Database_Dropdown!$E$2:$E$11</x:definedName>
    <x:definedName name="license_type_drop" localSheetId="30">[2]Database_Dropdown!$F$2:$F$3</x:definedName>
    <x:definedName name="nchar_set" localSheetId="30">[2]Database_Dropdown!$G$2:$G$3</x:definedName>
    <x:definedName name="Shape_Option" localSheetId="30">#REF!</x:definedName>
    <x:definedName name="software_drop" localSheetId="30">[2]Database_Dropdown!$B$2:$B$5</x:definedName>
    <x:definedName name="VM_shapes_drop" localSheetId="30">[2]Database_Dropdown!$A$2:$A$7</x:definedName>
    <x:definedName name="workload_drop" localSheetId="30">[2]Database_Dropdown!$D$2:$D$3</x:definedName>
    <x:definedName name="bm_shapes_drop" localSheetId="4">[2]Database_Dropdown!#REF!</x:definedName>
    <x:definedName name="char_set" localSheetId="4">[2]Database_Dropdown!$H$2:$H$108</x:definedName>
    <x:definedName name="db_sersion_drop" localSheetId="4">[2]Database_Dropdown!$C$2:$C$14</x:definedName>
    <x:definedName name="exa_shapes_drop" localSheetId="4">[2]Database_Dropdown!$E$2:$E$11</x:definedName>
    <x:definedName name="license_type_drop" localSheetId="4">[2]Database_Dropdown!$F$2:$F$3</x:definedName>
    <x:definedName name="nchar_set" localSheetId="4">[2]Database_Dropdown!$G$2:$G$3</x:definedName>
    <x:definedName name="Shape_Option" localSheetId="4">#REF!</x:definedName>
    <x:definedName name="software_drop" localSheetId="4">[2]Database_Dropdown!$B$2:$B$5</x:definedName>
    <x:definedName name="VM_shapes_drop" localSheetId="4">[2]Database_Dropdown!$A$2:$A$7</x:definedName>
    <x:definedName name="workload_drop" localSheetId="4">[2]Database_Dropdown!$D$2:$D$3</x:definedName>
    <x:definedName name="bm_shapes_drop" localSheetId="32">[7]Database_Dropdown!#REF!</x:definedName>
    <x:definedName name="char_set" localSheetId="32">[7]Database_Dropdown!$H$2:$H$108</x:definedName>
    <x:definedName name="db_sersion_drop" localSheetId="32">[7]Database_Dropdown!$C$2:$C$14</x:definedName>
    <x:definedName name="exa_shapes_drop" localSheetId="32">[7]Database_Dropdown!$E$2:$E$11</x:definedName>
    <x:definedName name="Header_Size" localSheetId="32">'[7]LB Rule Set Dropdown'!$F$2:$F$6</x:definedName>
    <x:definedName name="license_type_drop" localSheetId="32">[7]Database_Dropdown!$F$2:$F$3</x:definedName>
    <x:definedName name="nchar_set" localSheetId="32">[7]Database_Dropdown!$G$2:$G$3</x:definedName>
    <x:definedName name="Response_Code" localSheetId="32">'[7]LB Rule Set Dropdown'!$E$2:$E$7</x:definedName>
    <x:definedName name="Shape_Option" localSheetId="32">#REF!</x:definedName>
    <x:definedName name="software_drop" localSheetId="32">[7]Database_Dropdown!$B$2:$B$5</x:definedName>
    <x:definedName name="VM_shapes_drop" localSheetId="32">[7]Database_Dropdown!$A$2:$A$7</x:definedName>
    <x:definedName name="workload_drop" localSheetId="32">[7]Database_Dropdown!$D$2:$D$3</x:definedName>
    <x:definedName name="bm_shapes_drop" localSheetId="31">[7]Database_Dropdown!#REF!</x:definedName>
    <x:definedName name="char_set" localSheetId="31">[7]Database_Dropdown!$H$2:$H$108</x:definedName>
    <x:definedName name="db_sersion_drop" localSheetId="31">[7]Database_Dropdown!$C$2:$C$14</x:definedName>
    <x:definedName name="exa_shapes_drop" localSheetId="31">[7]Database_Dropdown!$E$2:$E$11</x:definedName>
    <x:definedName name="Header_Size" localSheetId="31">'[7]LB Rule Set Dropdown'!$F$2:$F$6</x:definedName>
    <x:definedName name="license_type_drop" localSheetId="31">[7]Database_Dropdown!$F$2:$F$3</x:definedName>
    <x:definedName name="nchar_set" localSheetId="31">[7]Database_Dropdown!$G$2:$G$3</x:definedName>
    <x:definedName name="Response_Code" localSheetId="31">'[7]LB Rule Set Dropdown'!$E$2:$E$7</x:definedName>
    <x:definedName name="Shape_Option" localSheetId="31">#REF!</x:definedName>
    <x:definedName name="software_drop" localSheetId="31">[7]Database_Dropdown!$B$2:$B$5</x:definedName>
    <x:definedName name="VM_shapes_drop" localSheetId="31">[7]Database_Dropdown!$A$2:$A$7</x:definedName>
    <x:definedName name="workload_drop" localSheetId="31">[7]Database_Dropdown!$D$2:$D$3</x:definedName>
    <x:definedName name="bm_shapes_drop" localSheetId="24">[8]Database_Dropdown!#REF!</x:definedName>
    <x:definedName name="char_set" localSheetId="24">[8]Database_Dropdown!$H$2:$H$108</x:definedName>
    <x:definedName name="db_sersion_drop" localSheetId="24">[8]Database_Dropdown!$C$2:$C$14</x:definedName>
    <x:definedName name="exa_shapes_drop" localSheetId="24">[8]Database_Dropdown!$E$2:$E$11</x:definedName>
    <x:definedName name="Header_Size" localSheetId="24">'[11]LB Rule Set Dropdown'!$F$2:$F$6</x:definedName>
    <x:definedName name="license_type_drop" localSheetId="24">[8]Database_Dropdown!$F$2:$F$3</x:definedName>
    <x:definedName name="nchar_set" localSheetId="24">[8]Database_Dropdown!$G$2:$G$3</x:definedName>
    <x:definedName name="Response_Code" localSheetId="24">'[11]LB Rule Set Dropdown'!$E$2:$E$7</x:definedName>
    <x:definedName name="Shape_Option" localSheetId="24">#REF!</x:definedName>
    <x:definedName name="software_drop" localSheetId="24">[8]Database_Dropdown!$B$2:$B$5</x:definedName>
    <x:definedName name="VM_shapes_drop" localSheetId="24">[8]Database_Dropdown!$A$2:$A$7</x:definedName>
    <x:definedName name="workload_drop" localSheetId="24">[8]Database_Dropdown!$D$2:$D$3</x:definedName>
    <x:definedName name="bm_shapes_drop" localSheetId="40">[2]Database_Dropdown!#REF!</x:definedName>
    <x:definedName name="char_set" localSheetId="40">[2]Database_Dropdown!$H$2:$H$108</x:definedName>
    <x:definedName name="db_sersion_drop" localSheetId="40">[2]Database_Dropdown!$C$2:$C$14</x:definedName>
    <x:definedName name="exa_shapes_drop" localSheetId="40">[2]Database_Dropdown!$E$2:$E$11</x:definedName>
    <x:definedName name="license_type_drop" localSheetId="40">[2]Database_Dropdown!$F$2:$F$3</x:definedName>
    <x:definedName name="nchar_set" localSheetId="40">[2]Database_Dropdown!$G$2:$G$3</x:definedName>
    <x:definedName name="Shape_Option" localSheetId="40">#REF!</x:definedName>
    <x:definedName name="software_drop" localSheetId="40">[2]Database_Dropdown!$B$2:$B$5</x:definedName>
    <x:definedName name="VM_shapes_drop" localSheetId="40">[2]Database_Dropdown!$A$2:$A$7</x:definedName>
    <x:definedName name="workload_drop" localSheetId="40">[2]Database_Dropdown!$D$2:$D$3</x:definedName>
    <x:definedName name="bm_shapes_drop" localSheetId="41">[2]Database_Dropdown!#REF!</x:definedName>
    <x:definedName name="char_set" localSheetId="41">[2]Database_Dropdown!$H$2:$H$108</x:definedName>
    <x:definedName name="db_sersion_drop" localSheetId="41">[2]Database_Dropdown!$C$2:$C$14</x:definedName>
    <x:definedName name="exa_shapes_drop" localSheetId="41">[2]Database_Dropdown!$E$2:$E$11</x:definedName>
    <x:definedName name="license_type_drop" localSheetId="41">[2]Database_Dropdown!$F$2:$F$3</x:definedName>
    <x:definedName name="nchar_set" localSheetId="41">[2]Database_Dropdown!$G$2:$G$3</x:definedName>
    <x:definedName name="Shape_Option" localSheetId="41">#REF!</x:definedName>
    <x:definedName name="software_drop" localSheetId="41">[2]Database_Dropdown!$B$2:$B$5</x:definedName>
    <x:definedName name="VM_shapes_drop" localSheetId="41">[2]Database_Dropdown!$A$2:$A$7</x:definedName>
    <x:definedName name="workload_drop" localSheetId="41">[2]Database_Dropdown!$D$2:$D$3</x:definedName>
    <x:definedName name="bm_shapes_drop" localSheetId="3">[2]Database_Dropdown!#REF!</x:definedName>
    <x:definedName name="char_set" localSheetId="3">[2]Database_Dropdown!$H$2:$H$108</x:definedName>
    <x:definedName name="db_sersion_drop" localSheetId="3">[2]Database_Dropdown!$C$2:$C$14</x:definedName>
    <x:definedName name="exa_shapes_drop" localSheetId="3">[2]Database_Dropdown!$E$2:$E$11</x:definedName>
    <x:definedName name="license_type_drop" localSheetId="3">[2]Database_Dropdown!$F$2:$F$3</x:definedName>
    <x:definedName name="nchar_set" localSheetId="3">[2]Database_Dropdown!$G$2:$G$3</x:definedName>
    <x:definedName name="Shape_Option" localSheetId="3">#REF!</x:definedName>
    <x:definedName name="software_drop" localSheetId="3">[2]Database_Dropdown!$B$2:$B$5</x:definedName>
    <x:definedName name="VM_shapes_drop" localSheetId="3">[2]Database_Dropdown!$A$2:$A$7</x:definedName>
    <x:definedName name="workload_drop" localSheetId="3">[2]Database_Dropdown!$D$2:$D$3</x:definedName>
    <x:definedName name="char_set" localSheetId="48">#REF!</x:definedName>
    <x:definedName name="Header_Size" localSheetId="48">'LB Rule Set Dropdown'!$F$2:$F$6</x:definedName>
    <x:definedName name="nchar_set" localSheetId="48">#REF!</x:definedName>
    <x:definedName name="Response_Code" localSheetId="48">'LB Rule Set Dropdown'!$E$2:$E$7</x:definedName>
    <x:definedName name="Match_Style" localSheetId="29">#REF!</x:definedName>
    <x:definedName name="Shape_Option" localSheetId="34">#REF!</x:definedName>
    <x:definedName name="Shape_Option" localSheetId="36">#REF!</x:definedName>
  </x:definedNames>
</x:workbook>
</file>

<file path=xl/comments1.xml><?xml version="1.0" encoding="utf-8"?>
<x:comments xmlns:x="http://schemas.openxmlformats.org/spreadsheetml/2006/main">
  <x:authors>
    <x:author>Suruchi</x:author>
  </x:authors>
  <x:commentList>
    <x:comment ref="H2" authorId="0">
      <x:text>
        <x:r>
          <x:t>Fill only for Schedule type -MONTH
</x:t>
        </x:r>
      </x:text>
    </x:comment>
    <x:comment ref="I2" authorId="0">
      <x:text>
        <x:r>
          <x:t>Fill only for schedule type - SINGLE_USE
</x:t>
        </x:r>
      </x:text>
    </x:comment>
  </x:commentList>
</x:comments>
</file>

<file path=xl/comments2.xml><?xml version="1.0" encoding="utf-8"?>
<x:comments xmlns:x="http://schemas.openxmlformats.org/spreadsheetml/2006/main">
  <x:authors>
    <x:author>Suruchi</x:author>
  </x:authors>
  <x:commentList>
    <x:comment ref="L2" authorId="0">
      <x:text>
        <x:r>
          <x:t>Mandatory for Autotune Type - PERFORMANCE_BASED or BOTH</x:t>
        </x:r>
      </x:text>
    </x:comment>
  </x:commentList>
</x:comments>
</file>

<file path=xl/comments3.xml><?xml version="1.0" encoding="utf-8"?>
<x:comments xmlns:x="http://schemas.openxmlformats.org/spreadsheetml/2006/main">
  <x:authors>
    <x:author>Microsoft Office User</x:author>
    <x:author>suruchi</x:author>
    <x:author>Suruchi</x:author>
  </x:authors>
  <x:commentList>
    <x:comment ref="H2" authorId="0">
      <x:text>
        <x:r>
          <x:t>Provide comma separated CIDR blocks for multiple CIDRs </x:t>
        </x:r>
      </x:text>
    </x:comment>
    <x:comment ref="I2" authorId="0">
      <x:text>
        <x:r>
          <x:t>Must be a public subnet if the public ip should be enabled forAPI endpoint
</x:t>
        </x:r>
      </x:text>
    </x:comment>
    <x:comment ref="J2" authorId="0">
      <x:text>
        <x:r>
          <x:t>Default : False
</x:t>
        </x:r>
      </x:text>
    </x:comment>
    <x:comment ref="K2" authorId="0">
      <x:text>
        <x:r>
          <x:t>Default : 10.96.0.0/16
</x:t>
        </x:r>
      </x:text>
    </x:comment>
    <x:comment ref="L2" authorId="0">
      <x:text>
        <x:r>
          <x:t>Default : 10.244.0.0/16
</x:t>
        </x:r>
      </x:text>
    </x:comment>
    <x:comment ref="M2" authorId="0">
      <x:text>
        <x:r>
          <x:t>Provide comma separated NSG names for multiple NSGs
</x:t>
        </x:r>
      </x:text>
    </x:comment>
    <x:comment ref="O2" authorId="0">
      <x:text>
        <x:r>
          <x:t>The version of Kubernetes installed on all nodes in the node pool.</x:t>
        </x:r>
      </x:text>
    </x:comment>
    <x:comment ref="Q2" authorId="0">
      <x:text>
        <x:r>
          <x:t>OCPUS should be mentioned for flex shapes. See the above row for format details.
</x:t>
        </x:r>
      </x:text>
    </x:comment>
    <x:comment ref="R2" authorId="0">
      <x:text>
        <x:r>
          <x:t>Required for flex shapes</x:t>
        </x:r>
      </x:text>
    </x:comment>
    <x:comment ref="U2" authorId="0">
      <x:text>
        <x:r>
          <x:t>Provide comma separated NSG names for multiple NSGs</x:t>
        </x:r>
      </x:text>
    </x:comment>
    <x:comment ref="V2" authorId="1">
      <x:text>
        <x:r>
          <x:t>Format: Network_Details:Availability_Domain:Fault_Domains:Capacity_Reservation_OCID
Multiple placement Configs seperated by ;
</x:t>
        </x:r>
      </x:text>
    </x:comment>
    <x:comment ref="W2" authorId="0">
      <x:text>
        <x:r>
          <x:t>Provide this value if the network type is OCI_VCN_IP_NATIVE
</x:t>
        </x:r>
      </x:text>
    </x:comment>
    <x:comment ref="X2" authorId="0">
      <x:text>
        <x:r>
          <x:t>Provide this value if the network type is OCI_VCN_IP_NATIVE</x:t>
        </x:r>
      </x:text>
    </x:comment>
    <x:comment ref="Y2" authorId="0">
      <x:text>
        <x:r>
          <x:t>Provide this value if the network type is OCI_VCN_IP_NATIVE</x:t>
        </x:r>
      </x:text>
    </x:comment>
    <x:comment ref="Z2" authorId="0">
      <x:text>
        <x:r>
          <x:t>comma seperated key value pair in the format: key=value
Eg:name=node1, 
app=true</x:t>
        </x:r>
      </x:text>
    </x:comment>
    <x:comment ref="AG2" authorId="2">
      <x:text>
        <x:r>
          <x:t>Provide this value for virtual node type. Multiple taints seperated by newline in same column</x:t>
        </x:r>
      </x:text>
    </x:comment>
  </x:commentList>
</x:comments>
</file>

<file path=xl/comments4.xml><?xml version="1.0" encoding="utf-8"?>
<x:comments xmlns:x="http://schemas.openxmlformats.org/spreadsheetml/2006/main">
  <x:authors>
    <x:author>Suruchi</x:author>
  </x:authors>
  <x:commentList>
    <x:comment ref="K2" authorId="0">
      <x:text>
        <x:r>
          <x:t>This is size for VM cluster and not just the node.</x:t>
        </x:r>
      </x:text>
    </x:comment>
    <x:comment ref="L2" authorId="0">
      <x:text>
        <x:r>
          <x:t>This is size for VM cluster and not just the node.</x:t>
        </x:r>
      </x:text>
    </x:comment>
  </x:commentList>
</x:comments>
</file>

<file path=xl/comments5.xml><?xml version="1.0" encoding="utf-8"?>
<x:comments xmlns:x="http://schemas.openxmlformats.org/spreadsheetml/2006/main">
  <x:authors>
    <x:author>suruchi</x:author>
  </x:authors>
  <x:commentList>
    <x:comment ref="H2" authorId="0">
      <x:text>
        <x:r>
          <x:t>Name of the default pluggable database (PDB) to be created.</x:t>
        </x:r>
      </x:text>
    </x:comment>
    <x:comment ref="N2" authorId="0">
      <x:text>
        <x:r>
          <x:t>TRUE | FALSE</x:t>
        </x:r>
      </x:text>
    </x:comment>
    <x:comment ref="O2" authorId="0">
      <x:text>
        <x:r>
          <x:t>OBJECT_STORE | DBRS</x:t>
        </x:r>
      </x:text>
    </x:comment>
    <x:comment ref="R2" authorId="0">
      <x:text>
        <x:r>
          <x:t>Day of the week on which the full backup should run.</x:t>
        </x:r>
      </x:text>
    </x:comment>
    <x:comment ref="S2" authorId="0">
      <x:text>
        <x:r>
          <x:t>Time window for initiating the full backup.</x:t>
        </x:r>
      </x:text>
    </x:comment>
    <x:comment ref="T2" authorId="0">
      <x:text>
        <x:r>
          <x:t>Time window for initiating automatic backups.</x:t>
        </x:r>
      </x:text>
    </x:comment>
    <x:comment ref="U2" authorId="0">
      <x:text>
        <x:r>
          <x:t>Defines when backups are deleted
DELETE_IMMEDIATELY | DELETE_AFTER_RETENTION_PERIOD</x:t>
        </x:r>
      </x:text>
    </x:comment>
    <x:comment ref="V2" authorId="0">
      <x:text>
        <x:r>
          <x:t>If set to TRUE, runs an immediate full backup in the local region.</x:t>
        </x:r>
      </x:text>
    </x:comment>
  </x:commentList>
</x:comments>
</file>

<file path=xl/comments6.xml><?xml version="1.0" encoding="utf-8"?>
<x:comments xmlns:x="http://schemas.openxmlformats.org/spreadsheetml/2006/main">
  <x:authors>
    <x:author>Suruchi</x:author>
  </x:authors>
  <x:commentList>
    <x:comment ref="C2" authorId="0">
      <x:text>
        <x:r>
          <x:t>Format- 
&lt;SDDC Name&gt;::&lt;Cluster Name&gt;
</x:t>
        </x:r>
      </x:text>
    </x:comment>
    <x:comment ref="E2" authorId="0">
      <x:text>
        <x:r>
          <x:t>Fill this only for vSphere type - Management
</x:t>
        </x:r>
      </x:text>
    </x:comment>
    <x:comment ref="F2" authorId="0">
      <x:text>
        <x:r>
          <x:t>Fill this only for vSphere type - Management</x:t>
        </x:r>
      </x:text>
    </x:comment>
  </x:commentList>
</x:comments>
</file>

<file path=xl/comments7.xml><?xml version="1.0" encoding="utf-8"?>
<x:comments xmlns:x="http://schemas.openxmlformats.org/spreadsheetml/2006/main">
  <x:authors>
    <x:author>Suruchi</x:author>
  </x:authors>
  <x:commentList>
    <x:comment ref="E2" authorId="0">
      <x:text>
        <x:r>
          <x:t>Fill this only for Management Clusters</x:t>
        </x:r>
      </x:text>
    </x:comment>
  </x:commentList>
</x:comments>
</file>

<file path=xl/comments8.xml><?xml version="1.0" encoding="utf-8"?>
<x:comments xmlns:x="http://schemas.openxmlformats.org/spreadsheetml/2006/main">
  <x:authors>
    <x:author>Mukund Murali</x:author>
  </x:authors>
  <x:commentList>
    <x:comment ref="U2" authorId="0">
      <x:text>
        <x:r>
          <x:t>Specifies if any automatic backups created for a DB System should be retained or deleted when the DB System is deleted.</x:t>
        </x:r>
      </x:text>
    </x:comment>
    <x:comment ref="V2" authorId="0">
      <x:text>
        <x:r>
          <x:t>Specifies whether or not a backup is taken when the DB System is deleted. REQUIRE_FINAL_BACKUP: a backup is taken if the DB System is deleted. SKIP_FINAL_BACKUP: a backup is not taken if the DB System is deleted.</x:t>
        </x:r>
      </x:text>
    </x:comment>
    <x:comment ref="W2" authorId="0">
      <x:text>
        <x:r>
          <x:t>Specifies whether the DB System can be deleted. Set to true to prevent deletion, false (default) to allow.</x:t>
        </x:r>
      </x:text>
    </x:comment>
    <x:comment ref="X2" authorId="0">
      <x:text>
        <x:r>
          <x:t>The start of a 30-minute window of time in which daily, automated backups occur.
This should be in the format of the "Time" portion of an RFC3339-formatted timestamp. Any second or sub-second time data will be truncated to zero.
At some point in the window, the system may incur a brief service disruption as the backup is performed.
</x:t>
        </x:r>
      </x:text>
    </x:comment>
  </x:commentList>
</x:comments>
</file>

<file path=xl/comments9.xml><?xml version="1.0" encoding="utf-8"?>
<x:comments xmlns:x="http://schemas.openxmlformats.org/spreadsheetml/2006/main">
  <x:authors>
    <x:author>suruchi</x:author>
  </x:authors>
  <x:commentList>
    <x:comment ref="S1" authorId="0">
      <x:text>
        <x:r>
          <x:t>Day of the week on which the full backup should run.</x:t>
        </x:r>
      </x:text>
    </x:comment>
    <x:comment ref="T1" authorId="0">
      <x:text>
        <x:r>
          <x:t>Time window for initiating the full backup.</x:t>
        </x:r>
      </x:text>
    </x:comment>
    <x:comment ref="U1" authorId="0">
      <x:text>
        <x:r>
          <x:t>Defines when backups are deleted</x:t>
        </x:r>
      </x:text>
    </x:comment>
  </x:commentList>
</x:comments>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da:dynamicArrayProperties xmlns:xda="http://schemas.microsoft.com/office/spreadsheetml/2017/dynamicarray" fDynamic="1" fCollapsed="0"/>
        </x:ext>
      </x:extLst>
    </x:bk>
  </x:futureMetadata>
  <x:cellMetadata count="1">
    <x:bk>
      <x:rc t="1" v="0"/>
    </x:bk>
  </x:cellMetadata>
</x:metadata>
</file>

<file path=xl/sharedStrings.xml><?xml version="1.0" encoding="utf-8"?>
<x:sst xmlns:x="http://schemas.openxmlformats.org/spreadsheetml/2006/main">
  <x:si>
    <x:r>
      <x:rPr>
        <x:b/>
        <x:sz val="11"/>
        <x:color theme="1"/>
        <x:rFont val="Calibri"/>
        <x:family val="2"/>
        <x:scheme val="minor"/>
      </x:rPr>
      <x:t xml:space="preserve">CD3 Automation Toolkit</x:t>
    </x:r>
    <x:r>
      <x:rPr>
        <x:sz val="11"/>
        <x:color theme="1"/>
        <x:rFont val="Calibri"/>
        <x:family val="2"/>
        <x:scheme val="minor"/>
      </x:rPr>
      <x:t xml:space="preserve"> </x:t>
    </x:r>
    <x:r>
      <x:rPr>
        <x:b/>
        <x:sz val="11"/>
        <x:color theme="1"/>
        <x:rFont val="Calibri"/>
        <x:family val="2"/>
        <x:scheme val="minor"/>
      </x:rPr>
      <x:t xml:space="preserve">Release - v2026.1.0</x:t>
    </x:r>
    <x:r>
      <x:rPr>
        <x:sz val="11"/>
        <x:color theme="1"/>
        <x:rFont val="Calibri"/>
        <x:family val="2"/>
        <x:scheme val="minor"/>
      </x:rPr>
      <x:t xml:space="preserve">
Added new sheets for databases, Updated OKE Sheet</x:t>
    </x:r>
  </x:si>
  <x:si>
    <x:r>
      <x:t xml:space="preserve"># Rows after &lt;END&gt; will not be processed (Sample data is provided for reference after &lt;END&gt;).
"Parent Compartment" -</x:t>
    </x:r>
    <x:r>
      <x:rPr>
        <x:sz val="11"/>
        <x:color theme="1"/>
        <x:rFont val="Calibri"/>
        <x:family val="2"/>
        <x:scheme val="minor"/>
      </x:rPr>
      <x:t xml:space="preserve"> Leave it empty or mention 'root', to create under 'root' compartment.</x:t>
    </x:r>
    <x:r>
      <x:rPr>
        <x:b/>
        <x:sz val="11"/>
        <x:color theme="1"/>
        <x:rFont val="Calibri"/>
        <x:family val="2"/>
        <x:scheme val="minor"/>
      </x:rPr>
      <x:t xml:space="preserve">
"Name" - </x:t>
    </x:r>
    <x:r>
      <x:rPr>
        <x:sz val="11"/>
        <x:color theme="1"/>
        <x:rFont val="Calibri"/>
        <x:family val="2"/>
        <x:scheme val="minor"/>
      </x:rPr>
      <x:t xml:space="preserve">(Compartment Name)  is a mandatory field.</x:t>
    </x:r>
    <x:r>
      <x:rPr>
        <x:b/>
        <x:sz val="11"/>
        <x:color theme="1"/>
        <x:rFont val="Calibri"/>
        <x:family val="2"/>
        <x:scheme val="minor"/>
      </x:rPr>
      <x:t xml:space="preserve">
"Region" - </x:t>
    </x:r>
    <x:r>
      <x:rPr>
        <x:sz val="11"/>
        <x:color theme="1"/>
        <x:rFont val="Calibri"/>
        <x:family val="2"/>
        <x:scheme val="minor"/>
      </x:rPr>
      <x:t xml:space="preserve">Specify your tenancy's Home Region for creating Compartments.
</x:t>
    </x:r>
    <x:r>
      <x:rPr>
        <x:b/>
        <x:sz val="11"/>
        <x:color theme="1"/>
        <x:rFont val="Calibri"/>
        <x:family val="2"/>
        <x:scheme val="minor"/>
      </x:rPr>
      <x:t xml:space="preserve">"Defined Tags" </x:t>
    </x:r>
    <x:r>
      <x:rPr>
        <x:sz val="11"/>
        <x:color theme="1"/>
        <x:rFont val="Calibri"/>
        <x:family val="2"/>
        <x:scheme val="minor"/>
      </x:rPr>
      <x:t xml:space="preserve">- Specify the defined tag key and its value in the format - &lt;Namespace&gt;.&lt;TagKey&gt;=&lt;Value&gt; else leave it empty.
                                Multiple Tag Key , Values can be specified using semi colon (;) as the delimiter. 
                               </x:t>
    </x:r>
    <x:r>
      <x:rPr>
        <x:sz val="11"/>
        <x:color theme="5" tint="-0.24998"/>
        <x:rFont val="Calibri"/>
        <x:family val="2"/>
        <x:scheme val="minor"/>
      </x:rPr>
      <x:t xml:space="preserve"> </x:t>
    </x:r>
    <x:r>
      <x:rPr>
        <x:i/>
        <x:sz val="11"/>
        <x:color theme="5" tint="-0.24998"/>
        <x:rFont val="Calibri"/>
        <x:family val="2"/>
        <x:scheme val="minor"/>
      </x:rPr>
      <x:t xml:space="preserve">Example: Operations.CostCenter=01;Users.Name=user01</x:t>
    </x:r>
  </x:si>
  <x:si>
    <x:t xml:space="preserve">Region</x:t>
  </x:si>
  <x:si>
    <x:t xml:space="preserve">Name</x:t>
  </x:si>
  <x:si>
    <x:t xml:space="preserve">Description</x:t>
  </x:si>
  <x:si>
    <x:t xml:space="preserve">Parent Compartment</x:t>
  </x:si>
  <x:si>
    <x:t xml:space="preserve">Defined Tags</x:t>
  </x:si>
  <x:si>
    <x:r>
      <x:t xml:space="preserve"># Rows after &lt;END&gt; will not be processed (Sample data is provided for reference after &lt;END&gt;).
"Name" - </x:t>
    </x:r>
    <x:r>
      <x:rPr>
        <x:sz val="11"/>
        <x:color rgb="FF000000"/>
        <x:rFont val="Calibri"/>
        <x:family val="2"/>
        <x:scheme val="minor"/>
      </x:rPr>
      <x:t xml:space="preserve">(Group  Name) is a mandatory field.</x:t>
    </x:r>
    <x:r>
      <x:rPr>
        <x:b/>
        <x:sz val="11"/>
        <x:color rgb="FF000000"/>
        <x:rFont val="Calibri"/>
        <x:family val="2"/>
        <x:scheme val="minor"/>
      </x:rPr>
      <x:t xml:space="preserve">
"Description" - </x:t>
    </x:r>
    <x:r>
      <x:rPr>
        <x:sz val="11"/>
        <x:color rgb="FF000000"/>
        <x:rFont val="Calibri"/>
        <x:family val="2"/>
        <x:scheme val="minor"/>
      </x:rPr>
      <x:t xml:space="preserve">Mandatory for IDCS tenancies.</x:t>
    </x:r>
    <x:r>
      <x:rPr>
        <x:b/>
        <x:sz val="11"/>
        <x:color rgb="FF000000"/>
        <x:rFont val="Calibri"/>
        <x:family val="2"/>
        <x:scheme val="minor"/>
      </x:rPr>
      <x:t xml:space="preserve">
"Domain Name" - </x:t>
    </x:r>
    <x:r>
      <x:rPr>
        <x:sz val="11"/>
        <x:color rgb="FF000000"/>
        <x:rFont val="Calibri"/>
        <x:family val="2"/>
        <x:scheme val="minor"/>
      </x:rPr>
      <x:t xml:space="preserve">Name of the identity domain where group resides. Leave empty for 'default'  identity domain or IDCS tenancies. It should be in the format of &lt;compartment_name&gt;@&lt;custom_domain_name&gt; for IAM tenancies.</x:t>
    </x:r>
    <x:r>
      <x:rPr>
        <x:b/>
        <x:sz val="11"/>
        <x:color rgb="FF000000"/>
        <x:rFont val="Calibri"/>
        <x:family val="2"/>
        <x:scheme val="minor"/>
      </x:rPr>
      <x:t xml:space="preserve">
"Members" -  </x:t>
    </x:r>
    <x:r>
      <x:rPr>
        <x:sz val="11"/>
        <x:color rgb="FF000000"/>
        <x:rFont val="Calibri"/>
        <x:family val="2"/>
        <x:scheme val="minor"/>
      </x:rPr>
      <x:t xml:space="preserve">comma seperated usernames. Leave empty if no member needs to be added to the group.</x:t>
    </x:r>
    <x:r>
      <x:rPr>
        <x:b/>
        <x:sz val="11"/>
        <x:color rgb="FF000000"/>
        <x:rFont val="Calibri"/>
        <x:family val="2"/>
        <x:scheme val="minor"/>
      </x:rPr>
      <x:t xml:space="preserve">
"Matching Rule" - </x:t>
    </x:r>
    <x:r>
      <x:rPr>
        <x:sz val="11"/>
        <x:color rgb="FF000000"/>
        <x:rFont val="Calibri"/>
        <x:family val="2"/>
        <x:scheme val="minor"/>
      </x:rPr>
      <x:t xml:space="preserve">Specify the matching rule for creating Dynamic Groups; else leave it empty.</x:t>
    </x:r>
    <x:r>
      <x:rPr>
        <x:b/>
        <x:sz val="11"/>
        <x:color rgb="FF000000"/>
        <x:rFont val="Calibri"/>
        <x:family val="2"/>
        <x:scheme val="minor"/>
      </x:rPr>
      <x:t xml:space="preserve">
"Region" - </x:t>
    </x:r>
    <x:r>
      <x:rPr>
        <x:sz val="11"/>
        <x:color rgb="FF000000"/>
        <x:rFont val="Calibri"/>
        <x:family val="2"/>
        <x:scheme val="minor"/>
      </x:rPr>
      <x:t xml:space="preserve">Specify your tenancy's Home Region for creating Groups.</x:t>
    </x:r>
    <x:r>
      <x:rPr>
        <x:b/>
        <x:sz val="11"/>
        <x:color rgb="FF000000"/>
        <x:rFont val="Calibri"/>
        <x:family val="2"/>
        <x:scheme val="minor"/>
      </x:rPr>
      <x:t xml:space="preserve">
"Defined Tags" - S</x:t>
    </x:r>
    <x:r>
      <x:rPr>
        <x:sz val="11"/>
        <x:color rgb="FF000000"/>
        <x:rFont val="Calibri"/>
        <x:family val="2"/>
        <x:scheme val="minor"/>
      </x:rPr>
      <x:t xml:space="preserve">pecify the defined tag key and its value in the format - &lt;Namespace&gt;.&lt;TagKey&gt;=&lt;Value&gt; else leave it empty.
                                Multiple Tag Key , Values can be specified using semi colon (;) as the delimiter. 
                                Example: Operations.CostCenter=01;Users.Name=user01</x:t>
    </x:r>
  </x:si>
  <x:si>
    <x:t xml:space="preserve">Domain Name</x:t>
  </x:si>
  <x:si>
    <x:t xml:space="preserve">Members</x:t>
  </x:si>
  <x:si>
    <x:t xml:space="preserve">Matching Rule</x:t>
  </x:si>
  <x:si>
    <x:r>
      <x:t xml:space="preserve"># Rows after &lt;END&gt; will not be processed (Sample data is provided for reference after &lt;END&gt;).
"User Name" - i</x:t>
    </x:r>
    <x:r>
      <x:rPr>
        <x:sz val="11"/>
        <x:color theme="1"/>
        <x:rFont val="Calibri"/>
        <x:family val="2"/>
        <x:scheme val="minor"/>
      </x:rPr>
      <x:t xml:space="preserve">s a mandatory field.</x:t>
    </x:r>
    <x:r>
      <x:rPr>
        <x:b/>
        <x:sz val="11"/>
        <x:color theme="1"/>
        <x:rFont val="Calibri"/>
        <x:family val="2"/>
        <x:scheme val="minor"/>
      </x:rPr>
      <x:t xml:space="preserve">
"Family Name" -</x:t>
    </x:r>
    <x:r>
      <x:rPr>
        <x:sz val="11"/>
        <x:color theme="1"/>
        <x:rFont val="Calibri"/>
        <x:family val="2"/>
        <x:scheme val="minor"/>
      </x:rPr>
      <x:t xml:space="preserve"> is a mandatory field for IAM tenancies. This is equivalent to Last Name in OCI Console.</x:t>
    </x:r>
    <x:r>
      <x:rPr>
        <x:b/>
        <x:sz val="11"/>
        <x:color theme="1"/>
        <x:rFont val="Calibri"/>
        <x:family val="2"/>
        <x:scheme val="minor"/>
      </x:rPr>
      <x:t xml:space="preserve">
"Description" - </x:t>
    </x:r>
    <x:r>
      <x:rPr>
        <x:sz val="11"/>
        <x:color theme="1"/>
        <x:rFont val="Calibri"/>
        <x:family val="2"/>
        <x:scheme val="minor"/>
      </x:rPr>
      <x:t xml:space="preserve">is a mandatory field for IDCS tenancies.</x:t>
    </x:r>
    <x:r>
      <x:rPr>
        <x:b/>
        <x:sz val="11"/>
        <x:color theme="1"/>
        <x:rFont val="Calibri"/>
        <x:family val="2"/>
        <x:scheme val="minor"/>
      </x:rPr>
      <x:t xml:space="preserve">
"User Email" - </x:t>
    </x:r>
    <x:r>
      <x:rPr>
        <x:sz val="11"/>
        <x:color theme="1"/>
        <x:rFont val="Calibri"/>
        <x:family val="2"/>
        <x:scheme val="minor"/>
      </x:rPr>
      <x:t xml:space="preserve">is an optional field. If left empty, it will be same as User Name.</x:t>
    </x:r>
    <x:r>
      <x:rPr>
        <x:b/>
        <x:sz val="11"/>
        <x:color theme="1"/>
        <x:rFont val="Calibri"/>
        <x:family val="2"/>
        <x:scheme val="minor"/>
      </x:rPr>
      <x:t xml:space="preserve">
"Domain Name" - </x:t>
    </x:r>
    <x:r>
      <x:rPr>
        <x:sz val="11"/>
        <x:color theme="1"/>
        <x:rFont val="Calibri"/>
        <x:family val="2"/>
        <x:scheme val="minor"/>
      </x:rPr>
      <x:t xml:space="preserve">Name of the identity domain where user resides. Leave empty for 'default'  identity domain or IDCS tenancies. It should be in the format of &lt;compartment_name&gt;@&lt;custom_domain_name&gt; for IAM tenancies.</x:t>
    </x:r>
    <x:r>
      <x:rPr>
        <x:b/>
        <x:sz val="11"/>
        <x:color theme="1"/>
        <x:rFont val="Calibri"/>
        <x:family val="2"/>
        <x:scheme val="minor"/>
      </x:rPr>
      <x:t xml:space="preserve">
"Enable Capabilities" - </x:t>
    </x:r>
    <x:r>
      <x:rPr>
        <x:sz val="11"/>
        <x:color theme="1"/>
        <x:rFont val="Calibri"/>
        <x:family val="2"/>
        <x:scheme val="minor"/>
      </x:rPr>
      <x:t xml:space="preserve">Specify comma seperated list of capabilities to be enabled for user. For ex: api_keys, console_password, auth_tokens, customer_secret_keys, db_credentials, oauth2client_credentials, smtp_credentials.</x:t>
    </x:r>
    <x:r>
      <x:rPr>
        <x:b/>
        <x:sz val="11"/>
        <x:color theme="1"/>
        <x:rFont val="Calibri"/>
        <x:family val="2"/>
        <x:scheme val="minor"/>
      </x:rPr>
      <x:t xml:space="preserve">
"Defined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 
                                Example: Operations.CostCenter=01;Users.Name=user01</x:t>
    </x:r>
  </x:si>
  <x:si>
    <x:t xml:space="preserve">User Name</x:t>
  </x:si>
  <x:si>
    <x:t xml:space="preserve">Family Name</x:t>
  </x:si>
  <x:si>
    <x:t xml:space="preserve">User Email</x:t>
  </x:si>
  <x:si>
    <x:t xml:space="preserve">Enable Capabilities</x:t>
  </x:si>
  <x:si>
    <x:r>
      <x:t xml:space="preserve"># Rows after &lt;END&gt; will not be processed (Sample data is provided for reference after &lt;END&gt;).
"Name" - </x:t>
    </x:r>
    <x:r>
      <x:rPr>
        <x:sz val="11"/>
        <x:color theme="1"/>
        <x:rFont val="Calibri"/>
        <x:family val="2"/>
        <x:scheme val="minor"/>
      </x:rPr>
      <x:t xml:space="preserve">(Name) is a mandatory field.
</x:t>
    </x:r>
    <x:r>
      <x:rPr>
        <x:b/>
        <x:sz val="11"/>
        <x:color theme="1"/>
        <x:rFont val="Calibri"/>
        <x:family val="2"/>
        <x:scheme val="minor"/>
      </x:rPr>
      <x:t xml:space="preserve">"Description" - </x:t>
    </x:r>
    <x:r>
      <x:rPr>
        <x:sz val="11"/>
        <x:color theme="1"/>
        <x:rFont val="Calibri"/>
        <x:family val="2"/>
        <x:scheme val="minor"/>
      </x:rPr>
      <x:t xml:space="preserve">(Description) is a mandatory field.
</x:t>
    </x:r>
    <x:r>
      <x:rPr>
        <x:b/>
        <x:sz val="11"/>
        <x:color theme="1"/>
        <x:rFont val="Calibri"/>
        <x:family val="2"/>
        <x:scheme val="minor"/>
      </x:rPr>
      <x:t xml:space="preserve">"Public Networks" - </x:t>
    </x:r>
    <x:r>
      <x:rPr>
        <x:sz val="11"/>
        <x:color theme="1"/>
        <x:rFont val="Calibri"/>
        <x:family val="2"/>
        <x:scheme val="minor"/>
      </x:rPr>
      <x:t xml:space="preserve">It is an optional field. Specify comma separated list of public CIDRs to be included.
</x:t>
    </x:r>
    <x:r>
      <x:rPr>
        <x:b/>
        <x:sz val="11"/>
        <x:color theme="1"/>
        <x:rFont val="Calibri"/>
        <x:family val="2"/>
        <x:scheme val="minor"/>
      </x:rPr>
      <x:t xml:space="preserve">"OCI Networks" - </x:t>
    </x:r>
    <x:r>
      <x:rPr>
        <x:sz val="11"/>
        <x:color theme="1"/>
        <x:rFont val="Calibri"/>
        <x:family val="2"/>
        <x:scheme val="minor"/>
      </x:rPr>
      <x:t xml:space="preserve">It is an optional field. Format: Specify comma separated list of VCN CIDR to be included. For ex: 10.0.2.0/18,10.0.3.0/18
</x:t>
    </x:r>
    <x:r>
      <x:rPr>
        <x:b/>
        <x:sz val="11"/>
        <x:color theme="1"/>
        <x:rFont val="Calibri"/>
        <x:family val="2"/>
        <x:scheme val="minor"/>
      </x:rPr>
      <x:t xml:space="preserve">"Defined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 
                                </x:t>
    </x:r>
    <x:r>
      <x:rPr>
        <x:i/>
        <x:sz val="11"/>
        <x:color theme="5" tint="-0.24998"/>
        <x:rFont val="Calibri"/>
        <x:family val="2"/>
        <x:scheme val="minor"/>
      </x:rPr>
      <x:t xml:space="preserve">Example: Operations.CostCenter=01;Users.Name=user01</x:t>
    </x:r>
  </x:si>
  <x:si>
    <x:t xml:space="preserve">Public Networks</x:t>
  </x:si>
  <x:si>
    <x:t xml:space="preserve">OCI Networks</x:t>
  </x:si>
  <x:si>
    <x:r>
      <x:t xml:space="preserve"># Rows after &lt;END&gt; will not be processed (Sample data is provided for reference after &lt;END&gt;).
"Policy Statements" -</x:t>
    </x:r>
    <x:r>
      <x:rPr>
        <x:sz val="11"/>
        <x:color theme="1"/>
        <x:rFont val="Calibri"/>
        <x:family val="2"/>
        <x:scheme val="minor"/>
      </x:rPr>
      <x:t xml:space="preserve"> $ and * in  the Policy Statements will be replaced by "Policy Statement Groups" and "Policy Statement Compartment" respectively. 
Sample Statement for groups in custom domains:  </x:t>
    </x:r>
    <x:r>
      <x:rPr>
        <x:i/>
        <x:sz val="11"/>
        <x:color theme="5"/>
        <x:rFont val="Calibri (Body)"/>
      </x:rPr>
      <x:t xml:space="preserve">Allow group </x:t>
    </x:r>
    <x:r>
      <x:rPr>
        <x:b/>
        <x:i/>
        <x:sz val="11"/>
        <x:color theme="5"/>
        <x:rFont val="Calibri (Body)"/>
      </x:rPr>
      <x:t xml:space="preserve">'&lt;domain_name&gt;'/'&lt;group_name&gt;' </x:t>
    </x:r>
    <x:r>
      <x:rPr>
        <x:i/>
        <x:sz val="11"/>
        <x:color theme="5"/>
        <x:rFont val="Calibri (Body)"/>
      </x:rPr>
      <x:t xml:space="preserve">to read announcements in tenancy.</x:t>
    </x:r>
    <x:r>
      <x:rPr>
        <x:sz val="11"/>
        <x:color theme="1"/>
        <x:rFont val="Calibri (Body)"/>
      </x:rPr>
      <x:t xml:space="preserve"> (Single quotes are necessary if there is any special character in &lt;domain_name&gt; or &lt;group_name&gt;)</x:t>
    </x:r>
    <x:r>
      <x:rPr>
        <x:b/>
        <x:sz val="11"/>
        <x:color theme="1"/>
        <x:rFont val="Calibri"/>
        <x:family val="2"/>
        <x:scheme val="minor"/>
      </x:rPr>
      <x:t xml:space="preserve">
"Compartment Name"  -</x:t>
    </x:r>
    <x:r>
      <x:rPr>
        <x:sz val="11"/>
        <x:color theme="1"/>
        <x:rFont val="Calibri"/>
        <x:family val="2"/>
        <x:scheme val="minor"/>
      </x:rPr>
      <x:t xml:space="preserve"> Specify 'root' to create the policy in root compartment.</x:t>
    </x:r>
    <x:r>
      <x:rPr>
        <x:b/>
        <x:sz val="11"/>
        <x:color theme="1"/>
        <x:rFont val="Calibri"/>
        <x:family val="2"/>
        <x:scheme val="minor"/>
      </x:rPr>
      <x:t xml:space="preserve">
"Region" -</x:t>
    </x:r>
    <x:r>
      <x:rPr>
        <x:sz val="11"/>
        <x:color theme="1"/>
        <x:rFont val="Calibri"/>
        <x:family val="2"/>
        <x:scheme val="minor"/>
      </x:rPr>
      <x:t xml:space="preserve"> Specify your tenancy's Home Region for creating Policies.
</x:t>
    </x:r>
    <x:r>
      <x:rPr>
        <x:b/>
        <x:sz val="11"/>
        <x:color theme="1"/>
        <x:rFont val="Calibri"/>
        <x:family val="2"/>
        <x:scheme val="minor"/>
      </x:rPr>
      <x:t xml:space="preserve">"Defined Tags"</x:t>
    </x:r>
    <x:r>
      <x:rPr>
        <x:sz val="11"/>
        <x:color theme="1"/>
        <x:rFont val="Calibri"/>
        <x:family val="2"/>
        <x:scheme val="minor"/>
      </x:rPr>
      <x:t xml:space="preserve"> - Specify the defined tag key and its value in the format - &lt;Namespace&gt;.&lt;TagKey&gt;=&lt;Value&gt;  else leave it empty.
                                Multiple Tag Key , Values can be specified using semi colon (;) as the delimiter. 
                                </x:t>
    </x:r>
    <x:r>
      <x:rPr>
        <x:i/>
        <x:sz val="11"/>
        <x:color theme="5" tint="-0.24998"/>
        <x:rFont val="Calibri"/>
        <x:family val="2"/>
        <x:scheme val="minor"/>
      </x:rPr>
      <x:t xml:space="preserve">Example: Operations.CostCenter=01;Users.Name=user01</x:t>
    </x:r>
  </x:si>
  <x:si>
    <x:t xml:space="preserve">Compartment Name</x:t>
  </x:si>
  <x:si>
    <x:t xml:space="preserve">Policy Statements</x:t>
  </x:si>
  <x:si>
    <x:t xml:space="preserve">Policy Statement Groups</x:t>
  </x:si>
  <x:si>
    <x:t xml:space="preserve">Policy Statement Compartment</x:t>
  </x:si>
  <x:si>
    <x:r>
      <x:t xml:space="preserve"># Rows after &lt;END&gt; will not be processed (Sample data is provided for reference after &lt;END&gt;).
"Compartment Name" - </x:t>
    </x:r>
    <x:r>
      <x:rPr>
        <x:sz val="11"/>
        <x:color theme="1"/>
        <x:rFont val="Calibri"/>
        <x:family val="2"/>
        <x:scheme val="minor"/>
      </x:rPr>
      <x:t xml:space="preserve">Specify compartment as 'root' to create the Tags in 'root' compartment.</x:t>
    </x:r>
    <x:r>
      <x:rPr>
        <x:b/>
        <x:sz val="11"/>
        <x:color theme="1"/>
        <x:rFont val="Calibri"/>
        <x:family val="2"/>
        <x:scheme val="minor"/>
      </x:rPr>
      <x:t xml:space="preserve">
"Is Cost Tracking" -</x:t>
    </x:r>
    <x:r>
      <x:rPr>
        <x:sz val="11"/>
        <x:color theme="1"/>
        <x:rFont val="Calibri"/>
        <x:family val="2"/>
        <x:scheme val="minor"/>
      </x:rPr>
      <x:t xml:space="preserve"> Defaults to"FALSE", if left empty.</x:t>
    </x:r>
    <x:r>
      <x:rPr>
        <x:b/>
        <x:sz val="11"/>
        <x:color theme="1"/>
        <x:rFont val="Calibri"/>
        <x:family val="2"/>
        <x:scheme val="minor"/>
      </x:rPr>
      <x:t xml:space="preserve">
"Region" - </x:t>
    </x:r>
    <x:r>
      <x:rPr>
        <x:sz val="11"/>
        <x:color theme="1"/>
        <x:rFont val="Calibri"/>
        <x:family val="2"/>
        <x:scheme val="minor"/>
      </x:rPr>
      <x:t xml:space="preserve">Specify your tenancy's Home Region for creating Tags.
</x:t>
    </x:r>
    <x:r>
      <x:rPr>
        <x:b/>
        <x:sz val="11"/>
        <x:color theme="1"/>
        <x:rFont val="Calibri"/>
        <x:family val="2"/>
        <x:scheme val="minor"/>
      </x:rPr>
      <x:t xml:space="preserve">"Validator"</x:t>
    </x:r>
    <x:r>
      <x:rPr>
        <x:sz val="11"/>
        <x:color theme="1"/>
        <x:rFont val="Calibri"/>
        <x:family val="2"/>
        <x:scheme val="minor"/>
      </x:rPr>
      <x:t xml:space="preserve"> - This field is equivalent to specifying a list of values to Defined Tags during its creation (in OCI Console).
                     For entering values of type "list" use ENUM::&lt;values in double quotes separated by comma&gt;.
                    For type "string" use ENUM::"&lt;value&gt;".</x:t>
    </x:r>
  </x:si>
  <x:si>
    <x:r>
      <x:rPr>
        <x:b/>
        <x:sz val="11"/>
        <x:color theme="1"/>
        <x:rFont val="Calibri"/>
        <x:family val="2"/>
        <x:scheme val="minor"/>
      </x:rPr>
      <x:t xml:space="preserve">"Default Tag Compartment=Default Tag Value " </x:t>
    </x:r>
    <x:r>
      <x:rPr>
        <x:sz val="11"/>
        <x:color theme="1"/>
        <x:rFont val="Calibri"/>
        <x:family val="2"/>
        <x:scheme val="minor"/>
      </x:rPr>
      <x:t xml:space="preserve">- Specify the compartment to which the tag should be assigned as default. Use Semi Colon as the delimeter between two values.
(</x:t>
    </x:r>
    <x:r>
      <x:rPr>
        <x:i/>
        <x:sz val="11"/>
        <x:color theme="5" tint="-0.24998"/>
        <x:rFont val="Calibri (Body)"/>
      </x:rPr>
      <x:t xml:space="preserve">Example</x:t>
    </x:r>
    <x:r>
      <x:rPr>
        <x:sz val="11"/>
        <x:color theme="1"/>
        <x:rFont val="Calibri"/>
        <x:family val="2"/>
        <x:scheme val="minor"/>
      </x:rPr>
      <x:t xml:space="preserve">:OMCDev::OMCDev-VM=${iam.principal.name};OMCDev::OMCDev-VM::demo-Application=) 
</x:t>
    </x:r>
    <x:r>
      <x:rPr>
        <x:b/>
        <x:sz val="11"/>
        <x:color theme="1"/>
        <x:rFont val="Calibri"/>
        <x:family val="2"/>
        <x:scheme val="minor"/>
      </x:rPr>
      <x:t xml:space="preserve">Directives to specify Default Tag Value :</x:t>
    </x:r>
    <x:r>
      <x:rPr>
        <x:sz val="11"/>
        <x:color theme="1"/>
        <x:rFont val="Calibri"/>
        <x:family val="2"/>
        <x:scheme val="minor"/>
      </x:rPr>
      <x:t xml:space="preserve">
 - To use 'User-Assigned Value':  Leave this field empty . (</x:t>
    </x:r>
    <x:r>
      <x:rPr>
        <x:i/>
        <x:sz val="11"/>
        <x:color theme="5" tint="-0.24998"/>
        <x:rFont val="Calibri (Body)"/>
      </x:rPr>
      <x:t xml:space="preserve">Example</x:t>
    </x:r>
    <x:r>
      <x:rPr>
        <x:sz val="11"/>
        <x:color theme="1"/>
        <x:rFont val="Calibri"/>
        <x:family val="2"/>
        <x:scheme val="minor"/>
      </x:rPr>
      <x:t xml:space="preserve">: OMCDev::OMCDev-VM::demo-Application=)
 - To use 'Default Values':
     - (if the Validator is set) mention one of the values from Validator.
     - (If the Validator is empty)  user can enter any value.
Specify Tag Keys in different rows as shown in the example below.(</x:t>
    </x:r>
    <x:r>
      <x:rPr>
        <x:i/>
        <x:sz val="11"/>
        <x:color theme="5" tint="-0.24998"/>
        <x:rFont val="Calibri (Body)"/>
      </x:rPr>
      <x:t xml:space="preserve">Example</x:t>
    </x:r>
    <x:r>
      <x:rPr>
        <x:sz val="11"/>
        <x:color theme="1"/>
        <x:rFont val="Calibri"/>
        <x:family val="2"/>
        <x:scheme val="minor"/>
      </x:rPr>
      <x:t xml:space="preserve">: Tag key - 'internal' of row 5, the entries to columns till 'Namespace Description' will be automatically copied over from the row above it by the Tool Kit .</x:t>
    </x:r>
  </x:si>
  <x:si>
    <x:t xml:space="preserve">Tag Namespace</x:t>
  </x:si>
  <x:si>
    <x:t xml:space="preserve">Namespace Description</x:t>
  </x:si>
  <x:si>
    <x:t xml:space="preserve">Tag Keys</x:t>
  </x:si>
  <x:si>
    <x:t xml:space="preserve">Tag Description</x:t>
  </x:si>
  <x:si>
    <x:t xml:space="preserve">Cost Tracking</x:t>
  </x:si>
  <x:si>
    <x:t xml:space="preserve">Validator</x:t>
  </x:si>
  <x:si>
    <x:t xml:space="preserve">Default Tag Compartment=Default Tag Value</x:t>
  </x:si>
  <x:si>
    <x:r>
      <x:t xml:space="preserve"># Rows after &lt;END&gt; will not be processed (Sample data is provided for reference after &lt;END&gt;).
"Region" -</x:t>
    </x:r>
    <x:r>
      <x:rPr>
        <x:sz val="11"/>
        <x:color theme="1"/>
        <x:rFont val="Calibri"/>
        <x:family val="2"/>
        <x:scheme val="minor"/>
      </x:rPr>
      <x:t xml:space="preserve"> Home Region only</x:t>
    </x:r>
    <x:r>
      <x:rPr>
        <x:b/>
        <x:sz val="11"/>
        <x:color theme="1"/>
        <x:rFont val="Calibri"/>
        <x:family val="2"/>
        <x:scheme val="minor"/>
      </x:rPr>
      <x:t xml:space="preserve">
"Quota Policy" - </x:t>
    </x:r>
    <x:r>
      <x:rPr>
        <x:sz val="11"/>
        <x:color theme="1"/>
        <x:rFont val="Calibri"/>
        <x:family val="2"/>
        <x:scheme val="minor"/>
      </x:rPr>
      <x:t xml:space="preserve">Statements separated by newline
</x:t>
    </x:r>
    <x:r>
      <x:rPr>
        <x:b/>
        <x:sz val="11"/>
        <x:color theme="1"/>
        <x:rFont val="Calibri"/>
        <x:family val="2"/>
        <x:scheme val="minor"/>
      </x:rPr>
      <x:t xml:space="preserve">"Defined Tags"</x:t>
    </x:r>
    <x:r>
      <x:rPr>
        <x:sz val="11"/>
        <x:color theme="1"/>
        <x:rFont val="Calibri"/>
        <x:family val="2"/>
        <x:scheme val="minor"/>
      </x:rPr>
      <x:t xml:space="preserve"> - Specify the defined tag key and its value in the format - &lt;Namespace&gt;.&lt;TagKey&gt;=&lt;Value&gt;  else leave it empty.
                                Multiple Tag Key , Values can be specified using semi colon (;) as the delimiter. 
                              </x:t>
    </x:r>
    <x:r>
      <x:rPr>
        <x:i/>
        <x:sz val="11"/>
        <x:color theme="5"/>
        <x:rFont val="Calibri (Body)"/>
      </x:rPr>
      <x:t xml:space="preserve">  Example: Operations.CostCenter=01;Users.Name=user01</x:t>
    </x:r>
    <x:r>
      <x:rPr>
        <x:b/>
        <x:sz val="11"/>
        <x:color theme="1"/>
        <x:rFont val="Calibri"/>
        <x:family val="2"/>
        <x:scheme val="minor"/>
      </x:rPr>
      <x:t xml:space="preserve">
</x:t>
    </x:r>
  </x:si>
  <x:si>
    <x:t xml:space="preserve">Quota Policy</x:t>
  </x:si>
  <x:si>
    <x:r>
      <x:t xml:space="preserve"># Rows after &lt;END&gt; will not be processed (Sample data is provided for reference after &lt;END&gt;).
"Region" - </x:t>
    </x:r>
    <x:r>
      <x:rPr>
        <x:sz val="11"/>
        <x:color theme="1"/>
        <x:rFont val="Calibri"/>
        <x:family val="2"/>
        <x:scheme val="minor"/>
      </x:rPr>
      <x:t xml:space="preserve">Home Region only</x:t>
    </x:r>
    <x:r>
      <x:rPr>
        <x:b/>
        <x:sz val="11"/>
        <x:color theme="1"/>
        <x:rFont val="Calibri"/>
        <x:family val="2"/>
        <x:scheme val="minor"/>
      </x:rPr>
      <x:t xml:space="preserve">
"Scope" - </x:t>
    </x:r>
    <x:r>
      <x:rPr>
        <x:sz val="11"/>
        <x:color theme="1"/>
        <x:rFont val="Calibri"/>
        <x:family val="2"/>
        <x:scheme val="minor"/>
      </x:rPr>
      <x:t xml:space="preserve">Compartment or Tag</x:t>
    </x:r>
    <x:r>
      <x:rPr>
        <x:b/>
        <x:sz val="11"/>
        <x:color theme="1"/>
        <x:rFont val="Calibri"/>
        <x:family val="2"/>
        <x:scheme val="minor"/>
      </x:rPr>
      <x:t xml:space="preserve">
"Target" - </x:t>
    </x:r>
    <x:r>
      <x:rPr>
        <x:sz val="11"/>
        <x:color theme="1"/>
        <x:rFont val="Calibri"/>
        <x:family val="2"/>
        <x:scheme val="minor"/>
      </x:rPr>
      <x:t xml:space="preserve">Compartment Name or {tagNamespace}.{tagKey}.{tagValue}.</x:t>
    </x:r>
    <x:r>
      <x:rPr>
        <x:b/>
        <x:sz val="11"/>
        <x:color theme="1"/>
        <x:rFont val="Calibri"/>
        <x:family val="2"/>
        <x:scheme val="minor"/>
      </x:rPr>
      <x:t xml:space="preserve">
"Schedule" - </x:t>
    </x:r>
    <x:r>
      <x:rPr>
        <x:sz val="11"/>
        <x:color theme="1"/>
        <x:rFont val="Calibri"/>
        <x:family val="2"/>
        <x:scheme val="minor"/>
      </x:rPr>
      <x:t xml:space="preserve">MONTH or  SINGLE_USE</x:t>
    </x:r>
    <x:r>
      <x:rPr>
        <x:b/>
        <x:sz val="11"/>
        <x:color theme="1"/>
        <x:rFont val="Calibri"/>
        <x:family val="2"/>
        <x:scheme val="minor"/>
      </x:rPr>
      <x:t xml:space="preserve">
"Amount" - T</x:t>
    </x:r>
    <x:r>
      <x:rPr>
        <x:sz val="11"/>
        <x:color theme="1"/>
        <x:rFont val="Calibri"/>
        <x:family val="2"/>
        <x:scheme val="minor"/>
      </x:rPr>
      <x:t xml:space="preserve">he amount of the budget expressed as a whole number in the currency of the customer’s rate card</x:t>
    </x:r>
    <x:r>
      <x:rPr>
        <x:b/>
        <x:sz val="11"/>
        <x:color theme="1"/>
        <x:rFont val="Calibri"/>
        <x:family val="2"/>
        <x:scheme val="minor"/>
      </x:rPr>
      <x:t xml:space="preserve">
"Start Day" - </x:t>
    </x:r>
    <x:r>
      <x:rPr>
        <x:sz val="11"/>
        <x:color theme="1"/>
        <x:rFont val="Calibri"/>
        <x:family val="2"/>
        <x:scheme val="minor"/>
      </x:rPr>
      <x:t xml:space="preserve">The number of days offset from the first day of the month, at which the budget processing period starts. eg. 18. Mandatory for schedule type - MONTH</x:t>
    </x:r>
    <x:r>
      <x:rPr>
        <x:b/>
        <x:sz val="11"/>
        <x:color theme="1"/>
        <x:rFont val="Calibri"/>
        <x:family val="2"/>
        <x:scheme val="minor"/>
      </x:rPr>
      <x:t xml:space="preserve">
"Budget Start Date"/"Budget End Date" - </x:t>
    </x:r>
    <x:r>
      <x:rPr>
        <x:sz val="11"/>
        <x:color theme="1"/>
        <x:rFont val="Calibri"/>
        <x:family val="2"/>
        <x:scheme val="minor"/>
      </x:rPr>
      <x:t xml:space="preserve">eg. 2024-05-20. Mandatory for schedule type - SINGLE_USE</x:t>
    </x:r>
    <x:r>
      <x:rPr>
        <x:b/>
        <x:sz val="11"/>
        <x:color theme="1"/>
        <x:rFont val="Calibri"/>
        <x:family val="2"/>
        <x:scheme val="minor"/>
      </x:rPr>
      <x:t xml:space="preserve">
"Alert Rules" - </x:t>
    </x:r>
    <x:r>
      <x:rPr>
        <x:sz val="11"/>
        <x:color theme="1"/>
        <x:rFont val="Calibri"/>
        <x:family val="2"/>
        <x:scheme val="minor"/>
      </x:rPr>
      <x:t xml:space="preserve">&lt;ACTUAL/FORECAST&gt;::&lt;Threshold value %/Threshold Amount&gt;</x:t>
    </x:r>
    <x:r>
      <x:rPr>
        <x:b/>
        <x:sz val="11"/>
        <x:color theme="1"/>
        <x:rFont val="Calibri"/>
        <x:family val="2"/>
        <x:scheme val="minor"/>
      </x:rPr>
      <x:t xml:space="preserve">
"Alert Recipients": </x:t>
    </x:r>
    <x:r>
      <x:rPr>
        <x:sz val="11"/>
        <x:color theme="1"/>
        <x:rFont val="Calibri"/>
        <x:family val="2"/>
        <x:scheme val="minor"/>
      </x:rPr>
      <x:t xml:space="preserve"> comma seperated email addresses
</x:t>
    </x:r>
    <x:r>
      <x:rPr>
        <x:b/>
        <x:sz val="11"/>
        <x:color theme="1"/>
        <x:rFont val="Calibri"/>
        <x:family val="2"/>
        <x:scheme val="minor"/>
      </x:rPr>
      <x:t xml:space="preserve">"Defined Tags"</x:t>
    </x:r>
    <x:r>
      <x:rPr>
        <x:sz val="11"/>
        <x:color theme="1"/>
        <x:rFont val="Calibri"/>
        <x:family val="2"/>
        <x:scheme val="minor"/>
      </x:rPr>
      <x:t xml:space="preserve"> - Specify the defined tag key and its value in the format - &lt;Namespace&gt;.&lt;TagKey&gt;=&lt;Value&gt;  else leave it empty.
                                Multiple Tag Key , Values can be specified using semi colon (;) as the delimiter. 
                                </x:t>
    </x:r>
    <x:r>
      <x:rPr>
        <x:i/>
        <x:sz val="11"/>
        <x:color theme="5"/>
        <x:rFont val="Calibri (Body)"/>
      </x:rPr>
      <x:t xml:space="preserve">Example: Operations.CostCenter=01;Users.Name=user01</x:t>
    </x:r>
    <x:r>
      <x:rPr>
        <x:sz val="11"/>
        <x:color theme="1"/>
        <x:rFont val="Calibri"/>
        <x:family val="2"/>
        <x:scheme val="minor"/>
      </x:rPr>
      <x:t xml:space="preserve">
</x:t>
    </x:r>
    <x:r>
      <x:rPr>
        <x:b/>
        <x:sz val="11"/>
        <x:color theme="1"/>
        <x:rFont val="Calibri"/>
        <x:family val="2"/>
        <x:scheme val="minor"/>
      </x:rPr>
      <x:t xml:space="preserve">
</x:t>
    </x:r>
  </x:si>
  <x:si>
    <x:t xml:space="preserve">Scope</x:t>
  </x:si>
  <x:si>
    <x:t xml:space="preserve">Target</x:t>
  </x:si>
  <x:si>
    <x:t xml:space="preserve">Schedule</x:t>
  </x:si>
  <x:si>
    <x:t xml:space="preserve">Amount</x:t>
  </x:si>
  <x:si>
    <x:t xml:space="preserve">Start Day</x:t>
  </x:si>
  <x:si>
    <x:t xml:space="preserve">Budget Start Date</x:t>
  </x:si>
  <x:si>
    <x:t xml:space="preserve">Budget End Date</x:t>
  </x:si>
  <x:si>
    <x:t xml:space="preserve">Alert Rules</x:t>
  </x:si>
  <x:si>
    <x:t xml:space="preserve">Alert Recipients</x:t>
  </x:si>
  <x:si>
    <x:t xml:space="preserve">Alert Message</x:t>
  </x:si>
  <x:si>
    <x:r>
      <x:t xml:space="preserve"># Rows after &lt;END&gt; will not be processed (Sample data is provided for reference after &lt;END&gt;);
All fields are mandatory for each VCN except "DNS Label" and "Defined Tag".
Tags apply to the VCNs only and not to its components like IGW,NGW,SGW,DRG,LPG.
"VCN name"</x:t>
    </x:r>
    <x:r>
      <x:rPr>
        <x:sz val="11"/>
        <x:color theme="1"/>
        <x:rFont val="Calibri"/>
        <x:family val="2"/>
        <x:scheme val="minor"/>
      </x:rPr>
      <x:t xml:space="preserve"> -  VCN names should be unique and are case-sensitie across sheets.
</x:t>
    </x:r>
    <x:r>
      <x:rPr>
        <x:b/>
        <x:sz val="11"/>
        <x:color theme="1"/>
        <x:rFont val="Calibri"/>
        <x:family val="2"/>
        <x:scheme val="minor"/>
      </x:rPr>
      <x:t xml:space="preserve">"CIDR Blocks" </x:t>
    </x:r>
    <x:r>
      <x:rPr>
        <x:sz val="11"/>
        <x:color theme="1"/>
        <x:rFont val="Calibri"/>
        <x:family val="2"/>
        <x:scheme val="minor"/>
      </x:rPr>
      <x:t xml:space="preserve">- Enter comma seperated CIDRs to have multiple CIDR blocks attached to VCN.
"</x:t>
    </x:r>
    <x:r>
      <x:rPr>
        <x:b/>
        <x:sz val="11"/>
        <x:color theme="1"/>
        <x:rFont val="Calibri"/>
        <x:family val="2"/>
        <x:scheme val="minor"/>
      </x:rPr>
      <x:t xml:space="preserve">DNS Label"</x:t>
    </x:r>
    <x:r>
      <x:rPr>
        <x:sz val="11"/>
        <x:color theme="1"/>
        <x:rFont val="Calibri"/>
        <x:family val="2"/>
        <x:scheme val="minor"/>
      </x:rPr>
      <x:t xml:space="preserve"> -  Default value is "VCN Name" truncated to 15 chars (when left empty).If specified as </x:t>
    </x:r>
    <x:r>
      <x:rPr>
        <x:b/>
        <x:sz val="11"/>
        <x:color theme="1"/>
        <x:rFont val="Calibri"/>
        <x:family val="2"/>
        <x:scheme val="minor"/>
      </x:rPr>
      <x:t xml:space="preserve">'n'</x:t>
    </x:r>
    <x:r>
      <x:rPr>
        <x:sz val="11"/>
        <x:color theme="1"/>
        <x:rFont val="Calibri"/>
        <x:family val="2"/>
        <x:scheme val="minor"/>
      </x:rPr>
      <x:t xml:space="preserve">, DNS will not be enabled for the VCN.
</x:t>
    </x:r>
    <x:r>
      <x:rPr>
        <x:b/>
        <x:sz val="11"/>
        <x:color theme="1"/>
        <x:rFont val="Calibri"/>
        <x:family val="2"/>
        <x:scheme val="minor"/>
      </x:rPr>
      <x:t xml:space="preserve">Valid Values for columns H,I,J,K,L - </x:t>
    </x:r>
    <x:r>
      <x:rPr>
        <x:sz val="11"/>
        <x:color theme="1"/>
        <x:rFont val="Calibri"/>
        <x:family val="2"/>
        <x:scheme val="minor"/>
      </x:rPr>
      <x:t xml:space="preserve">y|n|&lt;component_name&gt; i.e. specify 'n' when a component(like IGW) is 
                                                                    not required to be configured(</x:t>
    </x:r>
    <x:r>
      <x:rPr>
        <x:sz val="11"/>
        <x:color theme="5"/>
        <x:rFont val="Calibri"/>
        <x:family val="2"/>
        <x:scheme val="minor"/>
      </x:rPr>
      <x:t xml:space="preserve">eg:</x:t>
    </x:r>
    <x:r>
      <x:rPr>
        <x:sz val="11"/>
        <x:color theme="1"/>
        <x:rFont val="Calibri"/>
        <x:family val="2"/>
        <x:scheme val="minor"/>
      </x:rPr>
      <x:t xml:space="preserve"> PHXHub-VCN in sample data), 
                                                                 - specify name of the component- component will be configured with the
                                                                    mentioned name(</x:t>
    </x:r>
    <x:r>
      <x:rPr>
        <x:sz val="11"/>
        <x:color theme="5"/>
        <x:rFont val="Calibri"/>
        <x:family val="2"/>
        <x:scheme val="minor"/>
      </x:rPr>
      <x:t xml:space="preserve">eg:</x:t>
    </x:r>
    <x:r>
      <x:rPr>
        <x:sz val="11"/>
        <x:color theme="1"/>
        <x:rFont val="Calibri"/>
        <x:family val="2"/>
        <x:scheme val="minor"/>
      </x:rPr>
      <x:t xml:space="preserve"> PHX-DRG for the DRG in PHXHub-VCN) ,
                                                                 - specify 'y' if component needs to be configured with default name i.e. 
                                                                    &lt;vcnname&gt;_ngw(</x:t>
    </x:r>
    <x:r>
      <x:rPr>
        <x:sz val="11"/>
        <x:color theme="5"/>
        <x:rFont val="Calibri"/>
        <x:family val="2"/>
        <x:scheme val="minor"/>
      </x:rPr>
      <x:t xml:space="preserve">eg:</x:t>
    </x:r>
    <x:r>
      <x:rPr>
        <x:sz val="11"/>
        <x:color theme="1"/>
        <x:rFont val="Calibri"/>
        <x:family val="2"/>
        <x:scheme val="minor"/>
      </x:rPr>
      <x:t xml:space="preserve"> PHXNonProd-VCN_ngw)
                                                    </x:t>
    </x:r>
    <x:r>
      <x:rPr>
        <x:i/>
        <x:sz val="11"/>
        <x:color theme="5" tint="-0.24998"/>
        <x:rFont val="Calibri (Body)"/>
      </x:rPr>
      <x:t xml:space="preserve">Route Table associated with DRG/IGW/NGW/SGW can be specified in below format:
                                                    y::&lt;Route Table Name&gt; or &lt;component_name::&lt;Route Table Name&gt;</x:t>
    </x:r>
    <x:r>
      <x:rPr>
        <x:sz val="11"/>
        <x:color theme="1"/>
        <x:rFont val="Calibri"/>
        <x:family val="2"/>
        <x:scheme val="minor"/>
      </x:rPr>
      <x:t xml:space="preserve">
</x:t>
    </x:r>
  </x:si>
  <x:si>
    <x:r>
      <x:rPr>
        <x:b/>
        <x:u val="single"/>
        <x:sz val="11"/>
        <x:color theme="5" tint="-0.49998"/>
        <x:rFont val="Calibri"/>
        <x:family val="2"/>
        <x:scheme val="minor"/>
      </x:rPr>
      <x:t xml:space="preserve">Note</x:t>
    </x:r>
    <x:r>
      <x:rPr>
        <x:b/>
        <x:sz val="11"/>
        <x:color theme="1"/>
        <x:rFont val="Calibri"/>
        <x:family val="2"/>
        <x:scheme val="minor"/>
      </x:rPr>
      <x:t xml:space="preserve">-</x:t>
    </x:r>
    <x:r>
      <x:rPr>
        <x:sz val="11"/>
        <x:color theme="1"/>
        <x:rFont val="Calibri"/>
        <x:family val="2"/>
        <x:scheme val="minor"/>
      </x:rPr>
      <x:t xml:space="preserve"> 
</x:t>
    </x:r>
    <x:r>
      <x:rPr>
        <x:b/>
        <x:sz val="11"/>
        <x:color theme="1"/>
        <x:rFont val="Calibri"/>
        <x:family val="2"/>
        <x:scheme val="minor"/>
      </x:rPr>
      <x:t xml:space="preserve">DRG Required -</x:t>
    </x:r>
    <x:r>
      <x:rPr>
        <x:sz val="11"/>
        <x:color theme="1"/>
        <x:rFont val="Calibri"/>
        <x:family val="2"/>
        <x:scheme val="minor"/>
      </x:rPr>
      <x:t xml:space="preserve"> Make sure to specify unique names while declaring multiple DRGs for a region. Accepts DRG OCID also.
</x:t>
    </x:r>
    <x:r>
      <x:rPr>
        <x:b/>
        <x:sz val="11"/>
        <x:color theme="1"/>
        <x:rFont val="Calibri"/>
        <x:family val="2"/>
        <x:scheme val="minor"/>
      </x:rPr>
      <x:t xml:space="preserve">LPG Required - </x:t>
    </x:r>
    <x:r>
      <x:rPr>
        <x:sz val="11"/>
        <x:color theme="1"/>
        <x:rFont val="Calibri"/>
        <x:family val="2"/>
        <x:scheme val="minor"/>
      </x:rPr>
      <x:t xml:space="preserve"> &lt;y|n|&lt;component_name&gt;</x:t>
    </x:r>
    <x:r>
      <x:rPr>
        <x:b/>
        <x:sz val="11"/>
        <x:color theme="1"/>
        <x:rFont val="Calibri"/>
        <x:family val="2"/>
        <x:scheme val="minor"/>
      </x:rPr>
      <x:t xml:space="preserve">  </x:t>
    </x:r>
    <x:r>
      <x:rPr>
        <x:sz val="11"/>
        <x:color theme="1"/>
        <x:rFont val="Calibri"/>
        <x:family val="2"/>
        <x:scheme val="minor"/>
      </x:rPr>
      <x:t xml:space="preserve">Specify comma seperated values based on number of LPGs required for each VCN.
</x:t>
    </x:r>
    <x:r>
      <x:rPr>
        <x:i/>
        <x:sz val="11"/>
        <x:color theme="1"/>
        <x:rFont val="Calibri"/>
        <x:family val="2"/>
        <x:scheme val="minor"/>
      </x:rPr>
      <x:t xml:space="preserve">(</x:t>
    </x:r>
    <x:r>
      <x:rPr>
        <x:i/>
        <x:sz val="11"/>
        <x:color theme="5"/>
        <x:rFont val="Calibri"/>
        <x:family val="2"/>
        <x:scheme val="minor"/>
      </x:rPr>
      <x:t xml:space="preserve">example:</x:t>
    </x:r>
    <x:r>
      <x:rPr>
        <x:i/>
        <x:sz val="11"/>
        <x:color theme="1"/>
        <x:rFont val="Calibri"/>
        <x:family val="2"/>
        <x:scheme val="minor"/>
      </x:rPr>
      <x:t xml:space="preserve">  For creating 3 LPGs for PHXHub-VCN :- mention LPG Required as 'y,y,y' or '&lt;custom-name1&gt;,&lt;custom-name2&gt;,&lt;custom-name3&gt;' ; you cannot specify a combination like 'y,y,&lt;custom-name&gt;' )</x:t>
    </x:r>
    <x:r>
      <x:rPr>
        <x:sz val="11"/>
        <x:color theme="1"/>
        <x:rFont val="Calibri"/>
        <x:family val="2"/>
        <x:scheme val="minor"/>
      </x:rPr>
      <x:t xml:space="preserve">
LPGs will be peered with other VCN LPGs in the order of VCNs specified.</x:t>
    </x:r>
    <x:r>
      <x:rPr>
        <x:b/>
        <x:sz val="11"/>
        <x:color theme="1"/>
        <x:rFont val="Calibri"/>
        <x:family val="2"/>
        <x:scheme val="minor"/>
      </x:rPr>
      <x:t xml:space="preserve">
"Hub/Spoke/Peer/None" -</x:t>
    </x:r>
    <x:r>
      <x:rPr>
        <x:sz val="11"/>
        <x:color theme="1"/>
        <x:rFont val="Calibri"/>
        <x:family val="2"/>
        <x:scheme val="minor"/>
      </x:rPr>
      <x:t xml:space="preserve"> Specify 'hub' if the VCN is a hub, 
                                                 - specify 'spoke:&lt;hub vcn name&gt;' if VCN is a spoke of a hub VCN, 
                                                 - specify 'peer:&lt;vcn name&gt;' if a VCN needs to be normal peered with some other VCN 
                                                 - specify 'none' in case it is none of these.
</x:t>
    </x:r>
    <x:r>
      <x:rPr>
        <x:b/>
        <x:sz val="11"/>
        <x:color theme="1"/>
        <x:rFont val="Calibri"/>
        <x:family val="2"/>
        <x:scheme val="minor"/>
      </x:rPr>
      <x:t xml:space="preserve">"Defined Tags"</x:t>
    </x:r>
    <x:r>
      <x:rPr>
        <x:sz val="11"/>
        <x:color theme="1"/>
        <x:rFont val="Calibri"/>
        <x:family val="2"/>
        <x:scheme val="minor"/>
      </x:rPr>
      <x:t xml:space="preserve"> - Specify the defined tag key and its value in the format - &lt;Namespace&gt;.&lt;TagKey&gt;=&lt;Value&gt;  else leave it empty.
                                Multiple Tag Key , Values can be specified using semi colon (;) as the delimiter. 
                              </x:t>
    </x:r>
    <x:r>
      <x:rPr>
        <x:i/>
        <x:sz val="11"/>
        <x:color theme="5" tint="-0.24998"/>
        <x:rFont val="Calibri"/>
        <x:family val="2"/>
        <x:scheme val="minor"/>
      </x:rPr>
      <x:t xml:space="preserve">  Example: Operations.CostCenter=01;Users.Name=user01</x:t>
    </x:r>
  </x:si>
  <x:si>
    <x:t xml:space="preserve">VCN Name</x:t>
  </x:si>
  <x:si>
    <x:t xml:space="preserve">CIDR Blocks</x:t>
  </x:si>
  <x:si>
    <x:t xml:space="preserve">Is Oracle GUA Allocation Enabled</x:t>
  </x:si>
  <x:si>
    <x:t xml:space="preserve">ULA IPv6 CIDR</x:t>
  </x:si>
  <x:si>
    <x:t xml:space="preserve">BYOIP IPv6 Details</x:t>
  </x:si>
  <x:si>
    <x:t xml:space="preserve">DRG Required</x:t>
  </x:si>
  <x:si>
    <x:t xml:space="preserve">IGW Required</x:t>
  </x:si>
  <x:si>
    <x:t xml:space="preserve">NGW Required</x:t>
  </x:si>
  <x:si>
    <x:t xml:space="preserve">SGW Required</x:t>
  </x:si>
  <x:si>
    <x:t xml:space="preserve">LPG Required</x:t>
  </x:si>
  <x:si>
    <x:t xml:space="preserve">Hub/Spoke/Peer/None</x:t>
  </x:si>
  <x:si>
    <x:t xml:space="preserve">DNS Label</x:t>
  </x:si>
  <x:si>
    <x:r>
      <x:t xml:space="preserve"># Rows after &lt;END&gt; will not be processed (Sample data is provided for reference after &lt;END&gt;).
</x:t>
    </x:r>
    <x:r>
      <x:rPr>
        <x:sz val="11"/>
        <x:color theme="1"/>
        <x:rFont val="Calibri"/>
        <x:family val="2"/>
        <x:scheme val="minor"/>
      </x:rPr>
      <x:t xml:space="preserve">- Columns Region, Compartment Name, DRG Name are mandatory.
- Leave columns DRG RT Name,  Import DRG Route Distribution Name and Import DRG   Route Distribution Statements empty to use Autogenerated ones.
- Compartment Name specifies compartment where DRG has to be created. DRG Attachment is created in same compartment as target VCN, IPSEC or RPC by default.
- Leave column Attached To empty if only DRG Route Table or DRG Import Route Distribution is to be created for the DRG.
Columns DRG Name and DRG RT Name accept OCIDs also.
</x:t>
    </x:r>
    <x:r>
      <x:rPr>
        <x:b/>
        <x:sz val="11"/>
        <x:color theme="1"/>
        <x:rFont val="Calibri"/>
        <x:family val="2"/>
        <x:scheme val="minor"/>
      </x:rPr>
      <x:t xml:space="preserve">"Defined Tags"</x:t>
    </x:r>
    <x:r>
      <x:rPr>
        <x:sz val="11"/>
        <x:color theme="1"/>
        <x:rFont val="Calibri"/>
        <x:family val="2"/>
        <x:scheme val="minor"/>
      </x:rPr>
      <x:t xml:space="preserve"> - Specify the defined tag key and its value in the format - &lt;Namespace&gt;.&lt;TagKey&gt;=&lt;Value&gt;  else leave it empty.
Multiple Tag Key , Values can be specified using semi colon (;) as the delimeter. 
</x:t>
    </x:r>
    <x:r>
      <x:rPr>
        <x:i/>
        <x:sz val="11"/>
        <x:color theme="5" tint="-0.49998"/>
        <x:rFont val="Calibri (Body)"/>
      </x:rPr>
      <x:t xml:space="preserve">Example:</x:t>
    </x:r>
    <x:r>
      <x:rPr>
        <x:i/>
        <x:sz val="11"/>
        <x:color theme="1"/>
        <x:rFont val="Calibri"/>
        <x:family val="2"/>
        <x:scheme val="minor"/>
      </x:rPr>
      <x:t xml:space="preserve"> Operations.CostCenter=01;Users.Name=user01</x:t>
    </x:r>
    <x:r>
      <x:rPr>
        <x:sz val="11"/>
        <x:color theme="1"/>
        <x:rFont val="Calibri"/>
        <x:family val="2"/>
        <x:scheme val="minor"/>
      </x:rPr>
      <x:t xml:space="preserve">
</x:t>
    </x:r>
  </x:si>
  <x:si>
    <x:r>
      <x:t xml:space="preserve">"Attached To</x:t>
    </x:r>
    <x:r>
      <x:rPr>
        <x:sz val="11"/>
        <x:color theme="1"/>
        <x:rFont val="Calibri"/>
        <x:family val="2"/>
        <x:scheme val="minor"/>
      </x:rPr>
      <x:t xml:space="preserve">" - Valid format:
VCN::&lt;vcn_name&gt;
RPC::&lt;target_region&gt;::&lt;target_drg_name&gt; 
(See sample data after end tag for RPC between 2 regions)
</x:t>
    </x:r>
    <x:r>
      <x:rPr>
        <x:b/>
        <x:sz val="11"/>
        <x:color theme="1"/>
        <x:rFont val="Calibri"/>
        <x:family val="2"/>
        <x:scheme val="minor"/>
      </x:rPr>
      <x:t xml:space="preserve">"Import DRG Route Distribution Statements"</x:t>
    </x:r>
    <x:r>
      <x:rPr>
        <x:sz val="11"/>
        <x:color theme="1"/>
        <x:rFont val="Calibri"/>
        <x:family val="2"/>
        <x:scheme val="minor"/>
      </x:rPr>
      <x:t xml:space="preserve"> - Valid format: &lt;matchtype&gt;::&lt;type|ocid&gt;::&lt;priority&gt;  Multiple statements are seperated by newline in the same cell(\n is not supported)
 </x:t>
    </x:r>
    <x:r>
      <x:rPr>
        <x:sz val="11"/>
        <x:color theme="5" tint="-0.49998"/>
        <x:rFont val="Calibri (Body)"/>
      </x:rPr>
      <x:t xml:space="preserve">eg</x:t>
    </x:r>
    <x:r>
      <x:rPr>
        <x:sz val="11"/>
        <x:color theme="1"/>
        <x:rFont val="Calibri"/>
        <x:family val="2"/>
        <x:scheme val="minor"/>
      </x:rPr>
      <x:t xml:space="preserve">: 
</x:t>
    </x:r>
    <x:r>
      <x:rPr>
        <x:i/>
        <x:sz val="11"/>
        <x:color theme="1"/>
        <x:rFont val="Calibri"/>
        <x:family val="2"/>
        <x:scheme val="minor"/>
      </x:rPr>
      <x:t xml:space="preserve">ALL::::1
       DRG_ATTACHMENT_TYPE::VCN::2
       DRG_ATTACHMENT_TYPE::IPSEC_TUNNEL::2
       DRG_ATTACHMENT_TYPE::REMOTE_PEERING_CONNECTION::2
       DRG_ATTACHMENT_TYPE::VIRTUAL_CIRCUIT::2
       DRG_ATTACHMENT_ID::&lt;OCID&gt;::3</x:t>
    </x:r>
  </x:si>
  <x:si>
    <x:t xml:space="preserve">DRG Name</x:t>
  </x:si>
  <x:si>
    <x:t xml:space="preserve">Attached To</x:t>
  </x:si>
  <x:si>
    <x:t xml:space="preserve">RPC Display Name</x:t>
  </x:si>
  <x:si>
    <x:t xml:space="preserve">DRG RT Name</x:t>
  </x:si>
  <x:si>
    <x:t xml:space="preserve">Import DRG Route Distribution Name</x:t>
  </x:si>
  <x:si>
    <x:t xml:space="preserve">Import DRG Route Distribution Statements</x:t>
  </x:si>
  <x:si>
    <x:r>
      <x:t xml:space="preserve">#Properties used during Networking Objects Creation
"onprem_destinations" -</x:t>
    </x:r>
    <x:r>
      <x:rPr>
        <x:sz val="11"/>
        <x:color theme="1"/>
        <x:rFont val="Calibri"/>
        <x:family val="2"/>
        <x:scheme val="minor"/>
      </x:rPr>
      <x:t xml:space="preserve"> represents On Prem CIDRs for DRG routing; should not be left empty.
</x:t>
    </x:r>
    <x:r>
      <x:rPr>
        <x:b/>
        <x:sz val="11"/>
        <x:color theme="1"/>
        <x:rFont val="Calibri"/>
        <x:family val="2"/>
        <x:scheme val="minor"/>
      </x:rPr>
      <x:t xml:space="preserve">"ngw_destination"</x:t>
    </x:r>
    <x:r>
      <x:rPr>
        <x:sz val="11"/>
        <x:color theme="1"/>
        <x:rFont val="Calibri"/>
        <x:family val="2"/>
        <x:scheme val="minor"/>
      </x:rPr>
      <x:t xml:space="preserve"> -  represents destination CIDRs for NAT Gatway; accepts comma seperated list; defaults to 0.0.0.0/0 if left empty.
</x:t>
    </x:r>
    <x:r>
      <x:rPr>
        <x:b/>
        <x:sz val="11"/>
        <x:color theme="1"/>
        <x:rFont val="Calibri"/>
        <x:family val="2"/>
        <x:scheme val="minor"/>
      </x:rPr>
      <x:t xml:space="preserve">"igw_destination"</x:t>
    </x:r>
    <x:r>
      <x:rPr>
        <x:sz val="11"/>
        <x:color theme="1"/>
        <x:rFont val="Calibri"/>
        <x:family val="2"/>
        <x:scheme val="minor"/>
      </x:rPr>
      <x:t xml:space="preserve"> - represents destination CIDRs for Internet Gatway; accepts comma seperated list; defaults to 0.0.0.0/0 if left empty.
</x:t>
    </x:r>
  </x:si>
  <x:si>
    <x:t xml:space="preserve">Property</x:t>
  </x:si>
  <x:si>
    <x:t xml:space="preserve">Value</x:t>
  </x:si>
  <x:si>
    <x:t xml:space="preserve">onprem_destinations</x:t>
  </x:si>
  <x:si>
    <x:t xml:space="preserve">10.0.0.0/8</x:t>
  </x:si>
  <x:si>
    <x:t xml:space="preserve">ngw_destination</x:t>
  </x:si>
  <x:si>
    <x:t xml:space="preserve">0.0.0.0/0</x:t>
  </x:si>
  <x:si>
    <x:t xml:space="preserve">igw_destination</x:t>
  </x:si>
  <x:si>
    <x:r>
      <x:t xml:space="preserve"># Rows after &lt;END&gt; will not be processed (Sample data is provided for reference after &lt;END&gt;);
"DHCP option" -</x:t>
    </x:r>
    <x:r>
      <x:rPr>
        <x:sz val="11"/>
        <x:color theme="1"/>
        <x:rFont val="Calibri"/>
        <x:family val="2"/>
        <x:scheme val="minor"/>
      </x:rPr>
      <x:t xml:space="preserve"> Will be created in the same compartment as the VCN. Specify the same value as in Subnets Tab(Case-sensitive).</x:t>
    </x:r>
    <x:r>
      <x:rPr>
        <x:b/>
        <x:sz val="11"/>
        <x:color theme="1"/>
        <x:rFont val="Calibri"/>
        <x:family val="2"/>
        <x:scheme val="minor"/>
      </x:rPr>
      <x:t xml:space="preserve">
"Server Type" - </x:t>
    </x:r>
    <x:r>
      <x:rPr>
        <x:sz val="11"/>
        <x:color theme="1"/>
        <x:rFont val="Calibri"/>
        <x:family val="2"/>
        <x:scheme val="minor"/>
      </x:rPr>
      <x:t xml:space="preserve">This</x:t>
    </x:r>
    <x:r>
      <x:rPr>
        <x:b/>
        <x:sz val="11"/>
        <x:color theme="1"/>
        <x:rFont val="Calibri"/>
        <x:family val="2"/>
        <x:scheme val="minor"/>
      </x:rPr>
      <x:t xml:space="preserve"> </x:t>
    </x:r>
    <x:r>
      <x:rPr>
        <x:sz val="11"/>
        <x:color theme="1"/>
        <x:rFont val="Calibri"/>
        <x:family val="2"/>
        <x:scheme val="minor"/>
      </x:rPr>
      <x:t xml:space="preserve">field is case-sensitive.
</x:t>
    </x:r>
    <x:r>
      <x:rPr>
        <x:b/>
        <x:sz val="11"/>
        <x:color theme="1"/>
        <x:rFont val="Calibri"/>
        <x:family val="2"/>
        <x:scheme val="minor"/>
      </x:rPr>
      <x:t xml:space="preserve">"Defined Tags"</x:t>
    </x:r>
    <x:r>
      <x:rPr>
        <x:sz val="11"/>
        <x:color theme="1"/>
        <x:rFont val="Calibri"/>
        <x:family val="2"/>
        <x:scheme val="minor"/>
      </x:rPr>
      <x:t xml:space="preserve"> - Specify the defined tag key and its value in the format - &lt;Namespace&gt;.&lt;TagKey&gt;=&lt;Value&gt;  else leave it empty.
                                Multiple Tag Key , Values can be specified using semi colon (;) as the delimiter. 
                               </x:t>
    </x:r>
    <x:r>
      <x:rPr>
        <x:i/>
        <x:sz val="11"/>
        <x:color theme="5" tint="-0.24998"/>
        <x:rFont val="Calibri"/>
        <x:family val="2"/>
        <x:scheme val="minor"/>
      </x:rPr>
      <x:t xml:space="preserve"> Example: Operations.CostCenter=01;Users.Name=user01</x:t>
    </x:r>
    <x:r>
      <x:rPr>
        <x:b/>
        <x:sz val="11"/>
        <x:color theme="1"/>
        <x:rFont val="Calibri"/>
        <x:family val="2"/>
        <x:scheme val="minor"/>
      </x:rPr>
      <x:t xml:space="preserve">
</x:t>
    </x:r>
    <x:r>
      <x:rPr>
        <x:b/>
        <x:u val="single"/>
        <x:sz val="11"/>
        <x:color theme="5" tint="-0.49998"/>
        <x:rFont val="Calibri"/>
        <x:family val="2"/>
        <x:scheme val="minor"/>
      </x:rPr>
      <x:t xml:space="preserve"> Note </x:t>
    </x:r>
    <x:r>
      <x:rPr>
        <x:b/>
        <x:sz val="11"/>
        <x:color theme="1"/>
        <x:rFont val="Calibri"/>
        <x:family val="2"/>
        <x:scheme val="minor"/>
      </x:rPr>
      <x:t xml:space="preserve">- "Custom DNS Server" </x:t>
    </x:r>
    <x:r>
      <x:rPr>
        <x:sz val="11"/>
        <x:color theme="1"/>
        <x:rFont val="Calibri"/>
        <x:family val="2"/>
        <x:scheme val="minor"/>
      </x:rPr>
      <x:t xml:space="preserve">cannot be left empty if the</x:t>
    </x:r>
    <x:r>
      <x:rPr>
        <x:b/>
        <x:sz val="11"/>
        <x:color theme="1"/>
        <x:rFont val="Calibri"/>
        <x:family val="2"/>
        <x:scheme val="minor"/>
      </x:rPr>
      <x:t xml:space="preserve"> "Server Type" </x:t>
    </x:r>
    <x:r>
      <x:rPr>
        <x:sz val="11"/>
        <x:color theme="1"/>
        <x:rFont val="Calibri"/>
        <x:family val="2"/>
        <x:scheme val="minor"/>
      </x:rPr>
      <x:t xml:space="preserve">is </x:t>
    </x:r>
    <x:r>
      <x:rPr>
        <x:b/>
        <x:sz val="11"/>
        <x:color theme="1"/>
        <x:rFont val="Calibri"/>
        <x:family val="2"/>
        <x:scheme val="minor"/>
      </x:rPr>
      <x:t xml:space="preserve">CustomDnsServer.</x:t>
    </x:r>
  </x:si>
  <x:si>
    <x:t xml:space="preserve">DHCP Option Name</x:t>
  </x:si>
  <x:si>
    <x:t xml:space="preserve">Server Type(VcnLocalPlusInternet|CustomDnsServer)</x:t>
  </x:si>
  <x:si>
    <x:t xml:space="preserve">Search Domain</x:t>
  </x:si>
  <x:si>
    <x:t xml:space="preserve">Custom DNS Server</x:t>
  </x:si>
  <x:si>
    <x:r>
      <x:t xml:space="preserve"># Rows after &lt;END&gt; will not be processed (Sample data is provided for reference after &lt;END&gt;);
This sheet is used for creating Subnets/VLANs based on the column 'Subnet or VLAN'. For type - Subnet, specify 'Subnet' in the column and for type - VLAN, specify VLAN::&lt;vlan_tag&gt;. See the sample data.
"VCN Name" - </x:t>
    </x:r>
    <x:r>
      <x:rPr>
        <x:sz val="11"/>
        <x:color theme="1"/>
        <x:rFont val="Calibri"/>
        <x:family val="2"/>
        <x:scheme val="minor"/>
      </x:rPr>
      <x:t xml:space="preserve">Must be same as entered in VCNs sheet. </x:t>
    </x:r>
    <x:r>
      <x:rPr>
        <x:b/>
        <x:sz val="11"/>
        <x:color theme="1"/>
        <x:rFont val="Calibri"/>
        <x:family val="2"/>
        <x:scheme val="minor"/>
      </x:rPr>
      <x:t xml:space="preserve">
"DNS Label" </x:t>
    </x:r>
    <x:r>
      <x:rPr>
        <x:sz val="11"/>
        <x:color theme="1"/>
        <x:rFont val="Calibri"/>
        <x:family val="2"/>
        <x:scheme val="minor"/>
      </x:rPr>
      <x:t xml:space="preserve">-  Default value is "Display Name" truncated to 15 chars (when left empty).If specified as 'n', DNS will not be enabled for the Subnet.
Make sure "DNS Label" for VCN is enabled for its subnet DNS to be enabled. </x:t>
    </x:r>
    <x:r>
      <x:rPr>
        <x:i/>
        <x:sz val="11"/>
        <x:color theme="5" tint="-0.24998"/>
        <x:rFont val="Calibri"/>
        <x:family val="2"/>
        <x:scheme val="minor"/>
      </x:rPr>
      <x:t xml:space="preserve">Applicable only for type Subnet. Leave blank for VLAN.</x:t>
    </x:r>
    <x:r>
      <x:rPr>
        <x:sz val="11"/>
        <x:color theme="1"/>
        <x:rFont val="Calibri"/>
        <x:family val="2"/>
        <x:scheme val="minor"/>
      </x:rPr>
      <x:t xml:space="preserve">
</x:t>
    </x:r>
    <x:r>
      <x:rPr>
        <x:b/>
        <x:sz val="11"/>
        <x:color theme="1"/>
        <x:rFont val="Calibri"/>
        <x:family val="2"/>
        <x:scheme val="minor"/>
      </x:rPr>
      <x:t xml:space="preserve">"DHCP Option Name"</x:t>
    </x:r>
    <x:r>
      <x:rPr>
        <x:sz val="11"/>
        <x:color theme="1"/>
        <x:rFont val="Calibri"/>
        <x:family val="2"/>
        <x:scheme val="minor"/>
      </x:rPr>
      <x:t xml:space="preserve"> - Defaults to default dhcp options of the VCN when left blank. </x:t>
    </x:r>
    <x:r>
      <x:rPr>
        <x:i/>
        <x:sz val="11"/>
        <x:color theme="5" tint="-0.24998"/>
        <x:rFont val="Calibri"/>
        <x:family val="2"/>
        <x:scheme val="minor"/>
      </x:rPr>
      <x:t xml:space="preserve">Applicable only for type Subnet. Leave blank for VLAN.</x:t>
    </x:r>
    <x:r>
      <x:rPr>
        <x:sz val="11"/>
        <x:color theme="1"/>
        <x:rFont val="Calibri"/>
        <x:family val="2"/>
        <x:scheme val="minor"/>
      </x:rPr>
      <x:t xml:space="preserve">
</x:t>
    </x:r>
    <x:r>
      <x:rPr>
        <x:b/>
        <x:sz val="11"/>
        <x:color theme="1"/>
        <x:rFont val="Calibri"/>
        <x:family val="2"/>
        <x:scheme val="minor"/>
      </x:rPr>
      <x:t xml:space="preserve">                                      </x:t>
    </x:r>
    <x:r>
      <x:rPr>
        <x:sz val="11"/>
        <x:color theme="1"/>
        <x:rFont val="Calibri"/>
        <x:family val="2"/>
        <x:scheme val="minor"/>
      </x:rPr>
      <x:t xml:space="preserve">- Specify 'n' or leave it blank to use Default DHCP Options for the Subnets. </x:t>
    </x:r>
    <x:r>
      <x:rPr>
        <x:i/>
        <x:sz val="11"/>
        <x:color theme="5" tint="-0.24998"/>
        <x:rFont val="Calibri"/>
        <x:family val="2"/>
        <x:scheme val="minor"/>
      </x:rPr>
      <x:t xml:space="preserve">Applicable only for type Subnet. Leave blank for VLAN.</x:t>
    </x:r>
    <x:r>
      <x:rPr>
        <x:sz val="11"/>
        <x:color theme="1"/>
        <x:rFont val="Calibri"/>
        <x:family val="2"/>
        <x:scheme val="minor"/>
      </x:rPr>
      <x:t xml:space="preserve">
</x:t>
    </x:r>
    <x:r>
      <x:rPr>
        <x:b/>
        <x:sz val="11"/>
        <x:color theme="1"/>
        <x:rFont val="Calibri"/>
        <x:family val="2"/>
        <x:scheme val="minor"/>
      </x:rPr>
      <x:t xml:space="preserve">"Seclist Names"</x:t>
    </x:r>
    <x:r>
      <x:rPr>
        <x:sz val="11"/>
        <x:color theme="1"/>
        <x:rFont val="Calibri"/>
        <x:family val="2"/>
        <x:scheme val="minor"/>
      </x:rPr>
      <x:t xml:space="preserve"> - Specify comma seperated names of SLs to be attached to the subnet. </x:t>
    </x:r>
    <x:r>
      <x:rPr>
        <x:i/>
        <x:sz val="11"/>
        <x:color theme="5" tint="-0.24998"/>
        <x:rFont val="Calibri"/>
        <x:family val="2"/>
        <x:scheme val="minor"/>
      </x:rPr>
      <x:t xml:space="preserve">Applicable only for type Subnet. Leave blank for VLAN.</x:t>
    </x:r>
    <x:r>
      <x:rPr>
        <x:sz val="11"/>
        <x:color theme="1"/>
        <x:rFont val="Calibri"/>
        <x:family val="2"/>
        <x:scheme val="minor"/>
      </x:rPr>
      <x:t xml:space="preserve">
                              - If left blank, a seclist with the name as that of subnet will be attached. 
                              - Specify 'n' to not attach any custom security list to the subnet.
</x:t>
    </x:r>
    <x:r>
      <x:rPr>
        <x:b/>
        <x:sz val="11"/>
        <x:color theme="1"/>
        <x:rFont val="Calibri"/>
        <x:family val="2"/>
        <x:scheme val="minor"/>
      </x:rPr>
      <x:t xml:space="preserve">"NSGs" </x:t>
    </x:r>
    <x:r>
      <x:rPr>
        <x:sz val="11"/>
        <x:color theme="1"/>
        <x:rFont val="Calibri"/>
        <x:family val="2"/>
        <x:scheme val="minor"/>
      </x:rPr>
      <x:t xml:space="preserve">- Accepts comma seperated list of NSG names VLAN needs to be part of, leave it blank if VLAN doesnot need to be part of any NSG. NSGs should be created via NSGs tab and attached to the VLANs in this tab.
                </x:t>
    </x:r>
    <x:r>
      <x:rPr>
        <x:i/>
        <x:sz val="11"/>
        <x:color theme="5" tint="-0.24998"/>
        <x:rFont val="Calibri"/>
        <x:family val="2"/>
        <x:scheme val="minor"/>
      </x:rPr>
      <x:t xml:space="preserve">Applicable only for type VLAN. Leave blank for Subnet</x:t>
    </x:r>
    <x:r>
      <x:rPr>
        <x:b/>
        <x:sz val="11"/>
        <x:color theme="1"/>
        <x:rFont val="Calibri"/>
        <x:family val="2"/>
        <x:scheme val="minor"/>
      </x:rPr>
      <x:t xml:space="preserve">.</x:t>
    </x:r>
  </x:si>
  <x:si>
    <x:r>
      <x:rPr>
        <x:b/>
        <x:sz val="11"/>
        <x:rFont val="Calibri"/>
        <x:family val="2"/>
        <x:scheme val="minor"/>
      </x:rPr>
      <x:t xml:space="preserve">"Route Table Name" </x:t>
    </x:r>
    <x:r>
      <x:rPr>
        <x:sz val="11"/>
        <x:rFont val="Calibri"/>
        <x:family val="2"/>
        <x:scheme val="minor"/>
      </x:rPr>
      <x:t xml:space="preserve">- Specify the name of the route table that needs to be created and attached to subnet/vlan.
                                        - If left blank, route table with the same name as that of subnet will be attached. 
                                        - Specify 'n' to not attach any custom route table to the subnet.
</x:t>
    </x:r>
    <x:r>
      <x:rPr>
        <x:b/>
        <x:sz val="11"/>
        <x:rFont val="Calibri"/>
        <x:family val="2"/>
        <x:scheme val="minor"/>
      </x:rPr>
      <x:t xml:space="preserve">"Defined Tags"</x:t>
    </x:r>
    <x:r>
      <x:rPr>
        <x:sz val="11"/>
        <x:rFont val="Calibri"/>
        <x:family val="2"/>
        <x:scheme val="minor"/>
      </x:rPr>
      <x:t xml:space="preserve"> - Specify the defined tag key and its value in the format - &lt;Namespace&gt;.&lt;TagKey&gt;=&lt;Value&gt;  else leave it empty.
                                Multiple Tag Key , Values can be specified using semi colon (;) as the delimeter. 
                               </x:t>
    </x:r>
    <x:r>
      <x:rPr>
        <x:i/>
        <x:sz val="11"/>
        <x:color theme="5" tint="-0.24998"/>
        <x:rFont val="Calibri"/>
        <x:family val="2"/>
        <x:scheme val="minor"/>
      </x:rPr>
      <x:t xml:space="preserve"> Example: Operations.CostCenter=01;Users.Name=user01</x:t>
    </x:r>
    <x:r>
      <x:rPr>
        <x:b/>
        <x:u val="single"/>
        <x:sz val="11"/>
        <x:color theme="5" tint="-0.49998"/>
        <x:rFont val="Calibri"/>
        <x:family val="2"/>
        <x:scheme val="minor"/>
      </x:rPr>
      <x:t xml:space="preserve">
Note-</x:t>
    </x:r>
    <x:r>
      <x:rPr>
        <x:sz val="11"/>
        <x:color theme="1"/>
        <x:rFont val="Calibri"/>
        <x:family val="2"/>
        <x:scheme val="minor"/>
      </x:rPr>
      <x:t xml:space="preserve">
Initial Route Rules for IGW, NGW and SGW, On Prem and VCN peering for each subnet will be created based on the parameter values: Configure IGW Route, Configure NGW Route and Configure SGW Route, Configure OnPrem Route and Configure VCNPeering Route respectively for each subnet. Pre-requisite is to have these objects created using parameters: IGW Required, NGW Required and SGW Required of the VCNs Tab.
Subnets/VLANs in a  VCN can share same route table and seclist depending upon name specified.</x:t>
    </x:r>
  </x:si>
  <x:si>
    <x:t xml:space="preserve">Display Name</x:t>
  </x:si>
  <x:si>
    <x:t xml:space="preserve">Subnet or VLAN</x:t>
  </x:si>
  <x:si>
    <x:t xml:space="preserve">CIDR Block</x:t>
  </x:si>
  <x:si>
    <x:t xml:space="preserve">IPv6CIDR Block</x:t>
  </x:si>
  <x:si>
    <x:t xml:space="preserve">Availability Domain(AD1|AD2|AD3|Regional)</x:t>
  </x:si>
  <x:si>
    <x:t xml:space="preserve">Type(private|public)</x:t>
  </x:si>
  <x:si>
    <x:t xml:space="preserve">Route Table Name</x:t>
  </x:si>
  <x:si>
    <x:t xml:space="preserve">Seclist Names</x:t>
  </x:si>
  <x:si>
    <x:t xml:space="preserve">NSGs</x:t>
  </x:si>
  <x:si>
    <x:t xml:space="preserve">Add Default Seclist</x:t>
  </x:si>
  <x:si>
    <x:t xml:space="preserve">Configure SGW Route(n|object_storage|all_services)</x:t>
  </x:si>
  <x:si>
    <x:t xml:space="preserve">Configure NGW Route(y|n)</x:t>
  </x:si>
  <x:si>
    <x:t xml:space="preserve">Configure IGW Route(y|n)</x:t>
  </x:si>
  <x:si>
    <x:t xml:space="preserve">Configure OnPrem Route(y|n)</x:t>
  </x:si>
  <x:si>
    <x:t xml:space="preserve">Configure VCNPeering Route(y|n)</x:t>
  </x:si>
  <x:si>
    <x:r>
      <x:t xml:space="preserve">DRG Route Rules will be exported here for DRGv2. Only Static Rules will be exported. Dynamic Rules generated via route distribution statements will be skipped.
"Defined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 </x:t>
    </x:r>
    <x:r>
      <x:rPr>
        <x:b/>
        <x:sz val="11"/>
        <x:color theme="1"/>
        <x:rFont val="Calibri"/>
        <x:family val="2"/>
        <x:scheme val="minor"/>
      </x:rPr>
      <x:t xml:space="preserve">
                            </x:t>
    </x:r>
    <x:r>
      <x:rPr>
        <x:i/>
        <x:sz val="11"/>
        <x:color theme="5" tint="-0.49998"/>
        <x:rFont val="Calibri (Body)"/>
      </x:rPr>
      <x:t xml:space="preserve">    Example: Operations.CostCenter=01;Users.Name=user01</x:t>
    </x:r>
  </x:si>
  <x:si>
    <x:t xml:space="preserve">Destination CIDR</x:t>
  </x:si>
  <x:si>
    <x:t xml:space="preserve">Next Hop Attachment</x:t>
  </x:si>
  <x:si>
    <x:t xml:space="preserve">Destination Type</x:t>
  </x:si>
  <x:si>
    <x:t xml:space="preserve">Route Type</x:t>
  </x:si>
  <x:si>
    <x:r>
      <x:t xml:space="preserve">Route Rules will be exported here
"Defined Tags" -</x:t>
    </x:r>
    <x:r>
      <x:rPr>
        <x:sz val="11"/>
        <x:color theme="1"/>
        <x:rFont val="Calibri"/>
        <x:family val="2"/>
        <x:scheme val="minor"/>
      </x:rPr>
      <x:t xml:space="preserve"> Specify the defined tag key and its value in the format - &lt;Namespace&gt;.&lt;TagKey&gt;=&lt;Value&gt;  else leave it empty.
                                Multiple Tag Key , Values can be specified using semi colon (;) as the delimiter. 
                               </x:t>
    </x:r>
    <x:r>
      <x:rPr>
        <x:i/>
        <x:sz val="11"/>
        <x:color theme="5" tint="-0.24998"/>
        <x:rFont val="Calibri"/>
        <x:family val="2"/>
        <x:scheme val="minor"/>
      </x:rPr>
      <x:t xml:space="preserve"> Example: Operations.CostCenter=01;Users.Name=user01</x:t>
    </x:r>
  </x:si>
  <x:si>
    <x:t xml:space="preserve">Route Destination Object</x:t>
  </x:si>
  <x:si>
    <x:t xml:space="preserve">Rule Description</x:t>
  </x:si>
  <x:si>
    <x:r>
      <x:t xml:space="preserve">SecRules will be exported here
"Defined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 
                                </x:t>
    </x:r>
    <x:r>
      <x:rPr>
        <x:i/>
        <x:sz val="11"/>
        <x:color theme="5" tint="-0.24998"/>
        <x:rFont val="Calibri"/>
        <x:family val="2"/>
        <x:scheme val="minor"/>
      </x:rPr>
      <x:t xml:space="preserve">Example: Operations.CostCenter=01;Users.Name=user01</x:t>
    </x:r>
  </x:si>
  <x:si>
    <x:t xml:space="preserve">SecList Name</x:t>
  </x:si>
  <x:si>
    <x:t xml:space="preserve">Rule Type</x:t>
  </x:si>
  <x:si>
    <x:t xml:space="preserve">Protocol</x:t>
  </x:si>
  <x:si>
    <x:t xml:space="preserve">isStateless</x:t>
  </x:si>
  <x:si>
    <x:t xml:space="preserve">Source</x:t>
  </x:si>
  <x:si>
    <x:t xml:space="preserve">SPortMin</x:t>
  </x:si>
  <x:si>
    <x:t xml:space="preserve">SPortMax</x:t>
  </x:si>
  <x:si>
    <x:t xml:space="preserve">Destination</x:t>
  </x:si>
  <x:si>
    <x:t xml:space="preserve">DPortMin</x:t>
  </x:si>
  <x:si>
    <x:t xml:space="preserve">DPortMax</x:t>
  </x:si>
  <x:si>
    <x:t xml:space="preserve">ICMPType</x:t>
  </x:si>
  <x:si>
    <x:t xml:space="preserve">ICMPCode</x:t>
  </x:si>
  <x:si>
    <x:r>
      <x:t xml:space="preserve"># Rows after &lt;END&gt; will not be processed (Sample data is provided for reference after &lt;END&gt;);
"Source Type" </x:t>
    </x:r>
    <x:r>
      <x:rPr>
        <x:sz val="11"/>
        <x:color theme="1"/>
        <x:rFont val="Calibri"/>
        <x:family val="2"/>
        <x:scheme val="minor"/>
      </x:rPr>
      <x:t xml:space="preserve">or</x:t>
    </x:r>
    <x:r>
      <x:rPr>
        <x:b/>
        <x:sz val="11"/>
        <x:color theme="1"/>
        <x:rFont val="Calibri"/>
        <x:family val="2"/>
        <x:scheme val="minor"/>
      </x:rPr>
      <x:t xml:space="preserve"> "Destination Type" - </x:t>
    </x:r>
    <x:r>
      <x:rPr>
        <x:sz val="11"/>
        <x:color theme="1"/>
        <x:rFont val="Calibri"/>
        <x:family val="2"/>
        <x:scheme val="minor"/>
      </x:rPr>
      <x:t xml:space="preserve">Values for these fields are - cidr(for CIDR_BLOCK), nsg(for NETWORK_SECURITY_GROUP) and service(for SERVICE_CIDR_BLOCK)
</x:t>
    </x:r>
    <x:r>
      <x:rPr>
        <x:b/>
        <x:sz val="11"/>
        <x:color theme="1"/>
        <x:rFont val="Calibri"/>
        <x:family val="2"/>
        <x:scheme val="minor"/>
      </x:rPr>
      <x:t xml:space="preserve">"Defined Tags" </x:t>
    </x:r>
    <x:r>
      <x:rPr>
        <x:sz val="11"/>
        <x:color theme="1"/>
        <x:rFont val="Calibri"/>
        <x:family val="2"/>
        <x:scheme val="minor"/>
      </x:rPr>
      <x:t xml:space="preserve">- Specify the defined tag key and its value in the format - &lt;Namespace&gt;.&lt;TagKey&gt;=&lt;Value&gt;  else leave it empty.
                                Multiple Tag Key , Values can be specified using semi colon (;) as the delimiter. 
                                </x:t>
    </x:r>
    <x:r>
      <x:rPr>
        <x:i/>
        <x:sz val="11"/>
        <x:color theme="5" tint="-0.24998"/>
        <x:rFont val="Calibri"/>
        <x:family val="2"/>
        <x:scheme val="minor"/>
      </x:rPr>
      <x:t xml:space="preserve">Example: Operations.CostCenter=01;Users.Name=user01
</x:t>
    </x:r>
    <x:r>
      <x:rPr>
        <x:b/>
        <x:i/>
        <x:sz val="11"/>
        <x:rFont val="Calibri"/>
        <x:family val="2"/>
        <x:scheme val="minor"/>
      </x:rPr>
      <x:t xml:space="preserve">"</x:t>
    </x:r>
    <x:r>
      <x:rPr>
        <x:b/>
        <x:sz val="11"/>
        <x:rFont val="Calibri"/>
        <x:family val="2"/>
        <x:scheme val="minor"/>
      </x:rPr>
      <x:t xml:space="preserve">Freeform Tags" - </x:t>
    </x:r>
    <x:r>
      <x:rPr>
        <x:sz val="11"/>
        <x:rFont val="Calibri"/>
        <x:family val="2"/>
        <x:scheme val="minor"/>
      </x:rPr>
      <x:t xml:space="preserve">Specify the freeform tags if any in the format - &lt;Tagkey&gt;=&lt;TagValue&gt; else leave it empty.
                                </x:t>
    </x:r>
    <x:r>
      <x:rPr>
        <x:i/>
        <x:sz val="11"/>
        <x:color theme="5" tint="-0.24998"/>
        <x:rFont val="Calibri"/>
        <x:family val="2"/>
        <x:scheme val="minor"/>
      </x:rPr>
      <x:t xml:space="preserve"> Example: Network=Test1;Network2=Test40</x:t>
    </x:r>
    <x:r>
      <x:rPr>
        <x:b/>
        <x:sz val="11"/>
        <x:color theme="1"/>
        <x:rFont val="Calibri"/>
        <x:family val="2"/>
        <x:scheme val="minor"/>
      </x:rPr>
      <x:t xml:space="preserve">
</x:t>
    </x:r>
    <x:r>
      <x:rPr>
        <x:b/>
        <x:u val="single"/>
        <x:sz val="11"/>
        <x:color theme="5" tint="-0.49998"/>
        <x:rFont val="Calibri"/>
        <x:family val="2"/>
        <x:scheme val="minor"/>
      </x:rPr>
      <x:t xml:space="preserve">Note-</x:t>
    </x:r>
    <x:r>
      <x:rPr>
        <x:b/>
        <x:sz val="11"/>
        <x:color theme="1"/>
        <x:rFont val="Calibri"/>
        <x:family val="2"/>
        <x:scheme val="minor"/>
      </x:rPr>
      <x:t xml:space="preserve"> DO NOT change or re-arrange the columns/column names of this Tab.</x:t>
    </x:r>
  </x:si>
  <x:si>
    <x:t xml:space="preserve">NSG Name</x:t>
  </x:si>
  <x:si>
    <x:t xml:space="preserve">Direction</x:t>
  </x:si>
  <x:si>
    <x:t xml:space="preserve">Source Type</x:t>
  </x:si>
  <x:si>
    <x:t xml:space="preserve">FreeForm Tags</x:t>
  </x:si>
  <x:si>
    <x:r>
      <x:t xml:space="preserve"># Rows after &lt;END&gt; will not be processed (Sample data is provided for reference after &lt;END&gt;);
"Compartment Name"-</x:t>
    </x:r>
    <x:r>
      <x:rPr>
        <x:sz val="11"/>
        <x:color theme="1"/>
        <x:rFont val="Calibri"/>
        <x:family val="2"/>
        <x:scheme val="minor"/>
      </x:rPr>
      <x:t xml:space="preserve"> Compartment name for the  Views/Zones</x:t>
    </x:r>
    <x:r>
      <x:rPr>
        <x:b/>
        <x:sz val="11"/>
        <x:color theme="1"/>
        <x:rFont val="Calibri"/>
        <x:family val="2"/>
        <x:scheme val="minor"/>
      </x:rPr>
      <x:t xml:space="preserve">
"View Name"- </x:t>
    </x:r>
    <x:r>
      <x:rPr>
        <x:sz val="11"/>
        <x:color theme="1"/>
        <x:rFont val="Calibri"/>
        <x:family val="2"/>
        <x:scheme val="minor"/>
      </x:rPr>
      <x:t xml:space="preserve">Should be unique in a region</x:t>
    </x:r>
    <x:r>
      <x:rPr>
        <x:b/>
        <x:sz val="11"/>
        <x:color theme="1"/>
        <x:rFont val="Calibri"/>
        <x:family val="2"/>
        <x:scheme val="minor"/>
      </x:rPr>
      <x:t xml:space="preserve">
"Zone" - </x:t>
    </x:r>
    <x:r>
      <x:rPr>
        <x:sz val="11"/>
        <x:color theme="1"/>
        <x:rFont val="Calibri"/>
        <x:family val="2"/>
        <x:scheme val="minor"/>
      </x:rPr>
      <x:t xml:space="preserve">Zone Name under the specified view</x:t>
    </x:r>
    <x:r>
      <x:rPr>
        <x:b/>
        <x:sz val="11"/>
        <x:color theme="1"/>
        <x:rFont val="Calibri"/>
        <x:family val="2"/>
        <x:scheme val="minor"/>
      </x:rPr>
      <x:t xml:space="preserve">
"Domain" - </x:t>
    </x:r>
    <x:r>
      <x:rPr>
        <x:sz val="11"/>
        <x:color theme="1"/>
        <x:rFont val="Calibri"/>
        <x:family val="2"/>
        <x:scheme val="minor"/>
      </x:rPr>
      <x:t xml:space="preserve">Full domain name (including zone name)</x:t>
    </x:r>
    <x:r>
      <x:rPr>
        <x:b/>
        <x:sz val="11"/>
        <x:color theme="1"/>
        <x:rFont val="Calibri"/>
        <x:family val="2"/>
        <x:scheme val="minor"/>
      </x:rPr>
      <x:t xml:space="preserve">
"RDATA" - </x:t>
    </x:r>
    <x:r>
      <x:rPr>
        <x:sz val="11"/>
        <x:color theme="1"/>
        <x:rFont val="Calibri"/>
        <x:family val="2"/>
        <x:scheme val="minor"/>
      </x:rPr>
      <x:t xml:space="preserve">Provide multi values as supported by the specified RType, separated by newline</x:t>
    </x:r>
    <x:r>
      <x:rPr>
        <x:b/>
        <x:sz val="11"/>
        <x:color theme="1"/>
        <x:rFont val="Calibri"/>
        <x:family val="2"/>
        <x:scheme val="minor"/>
      </x:rPr>
      <x:t xml:space="preserve">
"Defined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 
</x:t>
    </x:r>
    <x:r>
      <x:rPr>
        <x:b/>
        <x:sz val="11"/>
        <x:color theme="1"/>
        <x:rFont val="Calibri"/>
        <x:family val="2"/>
        <x:scheme val="minor"/>
      </x:rPr>
      <x:t xml:space="preserve">                                </x:t>
    </x:r>
    <x:r>
      <x:rPr>
        <x:i/>
        <x:sz val="11"/>
        <x:color theme="5" tint="-0.24998"/>
        <x:rFont val="Calibri"/>
        <x:family val="2"/>
        <x:scheme val="minor"/>
      </x:rPr>
      <x:t xml:space="preserve">Example: Operations.CostCenter=01;Users.Name=user01</x:t>
    </x:r>
    <x:r>
      <x:rPr>
        <x:sz val="11"/>
        <x:color theme="1"/>
        <x:rFont val="Calibri"/>
        <x:family val="2"/>
        <x:scheme val="minor"/>
      </x:rPr>
      <x:t xml:space="preserve">
***********There must be only Single Row  for Domain and RType combination
*********** Rows are duplicated in case of multiple child resources</x:t>
    </x:r>
    <x:r>
      <x:rPr>
        <x:b/>
        <x:sz val="11"/>
        <x:color theme="1"/>
        <x:rFont val="Calibri"/>
        <x:family val="2"/>
        <x:scheme val="minor"/>
      </x:rPr>
      <x:t xml:space="preserve">
</x:t>
    </x:r>
  </x:si>
  <x:si>
    <x:t xml:space="preserve">View Name</x:t>
  </x:si>
  <x:si>
    <x:t xml:space="preserve">Zone</x:t>
  </x:si>
  <x:si>
    <x:t xml:space="preserve">Domain</x:t>
  </x:si>
  <x:si>
    <x:t xml:space="preserve">RType</x:t>
  </x:si>
  <x:si>
    <x:t xml:space="preserve">RDATA</x:t>
  </x:si>
  <x:si>
    <x:t xml:space="preserve">TTL</x:t>
  </x:si>
  <x:si>
    <x:r>
      <x:t xml:space="preserve"># Rows after &lt;END&gt; will not be processed (Sample data is provided for reference after &lt;END&gt;);
This sheet is to manage DNS Resolvers associated with the VCNs.
"Compartment Name" - </x:t>
    </x:r>
    <x:r>
      <x:rPr>
        <x:sz val="11"/>
        <x:color theme="1"/>
        <x:rFont val="Calibri"/>
        <x:family val="2"/>
        <x:scheme val="minor"/>
      </x:rPr>
      <x:t xml:space="preserve">Compartment name for VCN</x:t>
    </x:r>
    <x:r>
      <x:rPr>
        <x:b/>
        <x:sz val="11"/>
        <x:color theme="1"/>
        <x:rFont val="Calibri"/>
        <x:family val="2"/>
        <x:scheme val="minor"/>
      </x:rPr>
      <x:t xml:space="preserve">
"Display Name" -  </x:t>
    </x:r>
    <x:r>
      <x:rPr>
        <x:sz val="11"/>
        <x:color theme="1"/>
        <x:rFont val="Calibri"/>
        <x:family val="2"/>
        <x:scheme val="minor"/>
      </x:rPr>
      <x:t xml:space="preserve">Display Name is same as the VCN Name by default. </x:t>
    </x:r>
    <x:r>
      <x:rPr>
        <x:b/>
        <x:sz val="11"/>
        <x:color theme="1"/>
        <x:rFont val="Calibri"/>
        <x:family val="2"/>
        <x:scheme val="minor"/>
      </x:rPr>
      <x:t xml:space="preserve">
"Associated Private Views" - </x:t>
    </x:r>
    <x:r>
      <x:rPr>
        <x:sz val="11"/>
        <x:color theme="1"/>
        <x:rFont val="Calibri"/>
        <x:family val="2"/>
        <x:scheme val="minor"/>
      </x:rPr>
      <x:t xml:space="preserve">Format: </x:t>
    </x:r>
    <x:r>
      <x:rPr>
        <x:b/>
        <x:i/>
        <x:sz val="11"/>
        <x:color theme="1"/>
        <x:rFont val="Calibri"/>
        <x:family val="2"/>
        <x:scheme val="minor"/>
      </x:rPr>
      <x:t xml:space="preserve">&lt;view_compartment&gt;@&lt;view_name.</x:t>
    </x:r>
    <x:r>
      <x:rPr>
        <x:sz val="11"/>
        <x:color theme="1"/>
        <x:rFont val="Calibri"/>
        <x:family val="2"/>
        <x:scheme val="minor"/>
      </x:rPr>
      <x:t xml:space="preserve"> Multiple views are seperated by newline in the same cell(\n is not supported).
"</x:t>
    </x:r>
    <x:r>
      <x:rPr>
        <x:b/>
        <x:sz val="11"/>
        <x:color theme="1"/>
        <x:rFont val="Calibri"/>
        <x:family val="2"/>
        <x:scheme val="minor"/>
      </x:rPr>
      <x:t xml:space="preserve">Endpoint Display Name</x:t>
    </x:r>
    <x:r>
      <x:rPr>
        <x:sz val="11"/>
        <x:color theme="1"/>
        <x:rFont val="Calibri"/>
        <x:family val="2"/>
        <x:scheme val="minor"/>
      </x:rPr>
      <x:t xml:space="preserve">" - Provide endpoint display name, new row need to be created for each endpoint in a resolver. Duplicate Names are not allowed for a single resolver.
"</x:t>
    </x:r>
    <x:r>
      <x:rPr>
        <x:b/>
        <x:sz val="11"/>
        <x:color theme="1"/>
        <x:rFont val="Calibri"/>
        <x:family val="2"/>
        <x:scheme val="minor"/>
      </x:rPr>
      <x:t xml:space="preserve">Endpoint Type:IP Address</x:t>
    </x:r>
    <x:r>
      <x:rPr>
        <x:sz val="11"/>
        <x:color theme="1"/>
        <x:rFont val="Calibri"/>
        <x:family val="2"/>
        <x:scheme val="minor"/>
      </x:rPr>
      <x:t xml:space="preserve">" - Format </x:t>
    </x:r>
    <x:r>
      <x:rPr>
        <x:b/>
        <x:i/>
        <x:sz val="11"/>
        <x:color theme="1"/>
        <x:rFont val="Calibri"/>
        <x:family val="2"/>
        <x:scheme val="minor"/>
      </x:rPr>
      <x:t xml:space="preserve">Type:IP</x:t>
    </x:r>
    <x:r>
      <x:rPr>
        <x:sz val="11"/>
        <x:color theme="1"/>
        <x:rFont val="Calibri"/>
        <x:family val="2"/>
        <x:scheme val="minor"/>
      </x:rPr>
      <x:t xml:space="preserve">, Type could be </x:t>
    </x:r>
    <x:r>
      <x:rPr>
        <x:b/>
        <x:i/>
        <x:sz val="11"/>
        <x:color theme="1"/>
        <x:rFont val="Calibri"/>
        <x:family val="2"/>
        <x:scheme val="minor"/>
      </x:rPr>
      <x:t xml:space="preserve">Forwarding</x:t>
    </x:r>
    <x:r>
      <x:rPr>
        <x:sz val="11"/>
        <x:color theme="1"/>
        <x:rFont val="Calibri"/>
        <x:family val="2"/>
        <x:scheme val="minor"/>
      </x:rPr>
      <x:t xml:space="preserve"> or </x:t>
    </x:r>
    <x:r>
      <x:rPr>
        <x:b/>
        <x:i/>
        <x:sz val="11"/>
        <x:color theme="1"/>
        <x:rFont val="Calibri"/>
        <x:family val="2"/>
        <x:scheme val="minor"/>
      </x:rPr>
      <x:t xml:space="preserve">Listening</x:t>
    </x:r>
    <x:r>
      <x:rPr>
        <x:sz val="11"/>
        <x:color theme="1"/>
        <x:rFont val="Calibri"/>
        <x:family val="2"/>
        <x:scheme val="minor"/>
      </x:rPr>
      <x:t xml:space="preserve">. IP can be left as null if not predefined.
"</x:t>
    </x:r>
    <x:r>
      <x:rPr>
        <x:b/>
        <x:sz val="11"/>
        <x:color theme="1"/>
        <x:rFont val="Calibri"/>
        <x:family val="2"/>
        <x:scheme val="minor"/>
      </x:rPr>
      <x:t xml:space="preserve">Endpoint NSGs</x:t>
    </x:r>
    <x:r>
      <x:rPr>
        <x:sz val="11"/>
        <x:color theme="1"/>
        <x:rFont val="Calibri"/>
        <x:family val="2"/>
        <x:scheme val="minor"/>
      </x:rPr>
      <x:t xml:space="preserve">"-</x:t>
    </x:r>
    <x:r>
      <x:rPr>
        <x:b/>
        <x:sz val="11"/>
        <x:color theme="1"/>
        <x:rFont val="Calibri"/>
        <x:family val="2"/>
        <x:scheme val="minor"/>
      </x:rPr>
      <x:t xml:space="preserve"> </x:t>
    </x:r>
    <x:r>
      <x:rPr>
        <x:sz val="11"/>
        <x:color theme="1"/>
        <x:rFont val="Calibri"/>
        <x:family val="2"/>
        <x:scheme val="minor"/>
      </x:rPr>
      <x:t xml:space="preserve">NSGs attached to the endpint. 
</x:t>
    </x:r>
    <x:r>
      <x:rPr>
        <x:b/>
        <x:sz val="11"/>
        <x:color theme="1"/>
        <x:rFont val="Calibri"/>
        <x:family val="2"/>
        <x:scheme val="minor"/>
      </x:rPr>
      <x:t xml:space="preserve">"Rules" - </x:t>
    </x:r>
    <x:r>
      <x:rPr>
        <x:sz val="11"/>
        <x:color theme="1"/>
        <x:rFont val="Calibri"/>
        <x:family val="2"/>
        <x:scheme val="minor"/>
      </x:rPr>
      <x:t xml:space="preserve">Format: </x:t>
    </x:r>
    <x:r>
      <x:rPr>
        <x:b/>
        <x:i/>
        <x:sz val="11"/>
        <x:color theme="1"/>
        <x:rFont val="Calibri"/>
        <x:family val="2"/>
        <x:scheme val="minor"/>
      </x:rPr>
      <x:t xml:space="preserve">Type::Clients::Destination IP.</x:t>
    </x:r>
    <x:r>
      <x:rPr>
        <x:sz val="11"/>
        <x:color theme="1"/>
        <x:rFont val="Calibri"/>
        <x:family val="2"/>
        <x:scheme val="minor"/>
      </x:rPr>
      <x:t xml:space="preserve"> Multiple rules are seperated by newline in the same cell(\n is not supported)(Rules are processed only for Forwarding Endpoints)
</x:t>
    </x:r>
    <x:r>
      <x:rPr>
        <x:b/>
        <x:sz val="11"/>
        <x:color theme="1"/>
        <x:rFont val="Calibri"/>
        <x:family val="2"/>
        <x:scheme val="minor"/>
      </x:rPr>
      <x:t xml:space="preserve">"Defined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 
</x:t>
    </x:r>
    <x:r>
      <x:rPr>
        <x:b/>
        <x:sz val="11"/>
        <x:color theme="1"/>
        <x:rFont val="Calibri"/>
        <x:family val="2"/>
        <x:scheme val="minor"/>
      </x:rPr>
      <x:t xml:space="preserve">                                </x:t>
    </x:r>
    <x:r>
      <x:rPr>
        <x:i/>
        <x:sz val="11"/>
        <x:color theme="5" tint="-0.24998"/>
        <x:rFont val="Calibri"/>
        <x:family val="2"/>
        <x:scheme val="minor"/>
      </x:rPr>
      <x:t xml:space="preserve">Example: Operations.CostCenter=01;Users.Name=user01 </x:t>
    </x:r>
    <x:r>
      <x:rPr>
        <x:b/>
        <x:sz val="11"/>
        <x:color theme="1"/>
        <x:rFont val="Calibri"/>
        <x:family val="2"/>
        <x:scheme val="minor"/>
      </x:rPr>
      <x:t xml:space="preserve">
******Associated Private Views can be null/blank
</x:t>
    </x:r>
  </x:si>
  <x:si>
    <x:t xml:space="preserve">Associated Private Views</x:t>
  </x:si>
  <x:si>
    <x:t xml:space="preserve">Endpoint Display Name</x:t>
  </x:si>
  <x:si>
    <x:t xml:space="preserve">Endpoint Subnet Name</x:t>
  </x:si>
  <x:si>
    <x:t xml:space="preserve">Endpoint Type:IP Address</x:t>
  </x:si>
  <x:si>
    <x:t xml:space="preserve">Endpoint NSGs</x:t>
  </x:si>
  <x:si>
    <x:t xml:space="preserve">Rules</x:t>
  </x:si>
  <x:si>
    <x:r>
      <x:t xml:space="preserve"># Rows after &lt;END&gt; will not be processed (Sample data is provided for reference after &lt;END&gt;);
</x:t>
    </x:r>
    <x:r>
      <x:rPr>
        <x:b/>
        <x:u val="single"/>
        <x:sz val="11"/>
        <x:color theme="5" tint="-0.49998"/>
        <x:rFont val="Calibri"/>
        <x:family val="2"/>
        <x:scheme val="minor"/>
      </x:rPr>
      <x:t xml:space="preserve">Note-</x:t>
    </x:r>
    <x:r>
      <x:rPr>
        <x:b/>
        <x:sz val="11"/>
        <x:color theme="1"/>
        <x:rFont val="Calibri"/>
        <x:family val="2"/>
        <x:scheme val="minor"/>
      </x:rPr>
      <x:t xml:space="preserve">All fields are mandatory except "Fault Domain" and "Defined Tags".
"Defined Tags" -</x:t>
    </x:r>
    <x:r>
      <x:rPr>
        <x:sz val="11"/>
        <x:color theme="1"/>
        <x:rFont val="Calibri"/>
        <x:family val="2"/>
        <x:scheme val="minor"/>
      </x:rPr>
      <x:t xml:space="preserve"> Specify the defined tag key and its value in the format - &lt;Namespace&gt;.&lt;TagKey&gt;=&lt;Value&gt;  else leave it empty.
                                Multiple Tag Key , Values can be specified using semi colon (;) as the delimiter. 
                               </x:t>
    </x:r>
    <x:r>
      <x:rPr>
        <x:i/>
        <x:sz val="11"/>
        <x:color theme="5" tint="-0.24998"/>
        <x:rFont val="Calibri"/>
        <x:family val="2"/>
        <x:scheme val="minor"/>
      </x:rPr>
      <x:t xml:space="preserve"> Example: Operations.CostCenter=01;Users.Name=user01</x:t>
    </x:r>
  </x:si>
  <x:si>
    <x:t xml:space="preserve">Availability Domain(AD1|AD2|AD3)</x:t>
  </x:si>
  <x:si>
    <x:t xml:space="preserve">Shape</x:t>
  </x:si>
  <x:si>
    <x:t xml:space="preserve">Fault Domain</x:t>
  </x:si>
  <x:si>
    <x:r>
      <x:t xml:space="preserve"># Rows after &lt;END&gt; will not be processed (Sample data is provided for reference after &lt;END&gt;);
</x:t>
    </x:r>
    <x:r>
      <x:rPr>
        <x:b/>
        <x:i/>
        <x:u val="single"/>
        <x:sz val="11"/>
        <x:color theme="5" tint="-0.24998"/>
        <x:rFont val="Calibri"/>
        <x:family val="2"/>
        <x:scheme val="minor"/>
      </x:rPr>
      <x:t xml:space="preserve">Note-</x:t>
    </x:r>
    <x:r>
      <x:rPr>
        <x:sz val="11"/>
        <x:rFont val="Calibri"/>
        <x:family val="2"/>
        <x:scheme val="minor"/>
      </x:rPr>
      <x:t xml:space="preserve">The Tool Kit does not support Export or Creation of Instances with multiple VNICs currently. CD3 Automation toolkit will not export instances launched by OKE.
Please create a column called </x:t>
    </x:r>
    <x:r>
      <x:rPr>
        <x:b/>
        <x:sz val="11"/>
        <x:rFont val="Calibri"/>
        <x:family val="2"/>
        <x:scheme val="minor"/>
      </x:rPr>
      <x:t xml:space="preserve">Cloud Init Script </x:t>
    </x:r>
    <x:r>
      <x:rPr>
        <x:sz val="11"/>
        <x:rFont val="Calibri"/>
        <x:family val="2"/>
        <x:scheme val="minor"/>
      </x:rPr>
      <x:t xml:space="preserve">to execute cloud-init. The script file should be placed under scripts directory and ame of the script should be specified in the column.</x:t>
    </x:r>
    <x:r>
      <x:rPr>
        <x:b/>
        <x:sz val="11"/>
        <x:color theme="1"/>
        <x:rFont val="Calibri"/>
        <x:family val="2"/>
        <x:scheme val="minor"/>
      </x:rPr>
      <x:t xml:space="preserve">
"Pub Address" - </x:t>
    </x:r>
    <x:r>
      <x:rPr>
        <x:sz val="11"/>
        <x:color theme="1"/>
        <x:rFont val="Calibri"/>
        <x:family val="2"/>
        <x:scheme val="minor"/>
      </x:rPr>
      <x:t xml:space="preserve">Represents whether public address needs to be assigned to the instance or not(TRUE|FALSE).
</x:t>
    </x:r>
    <x:r>
      <x:rPr>
        <x:b/>
        <x:sz val="11"/>
        <x:color theme="1"/>
        <x:rFont val="Calibri"/>
        <x:family val="2"/>
        <x:scheme val="minor"/>
      </x:rPr>
      <x:t xml:space="preserve">"SSH Key Var Name" -</x:t>
    </x:r>
    <x:r>
      <x:rPr>
        <x:sz val="11"/>
        <x:color theme="1"/>
        <x:rFont val="Calibri"/>
        <x:family val="2"/>
        <x:scheme val="minor"/>
      </x:rPr>
      <x:t xml:space="preserve"> Accepts SSH Key value or the name of the key defined under variable  instance_ssh_keys in variables_&lt;region&gt;.tf file containing SSH key; Multiple keys should be separated by \n
</x:t>
    </x:r>
    <x:r>
      <x:rPr>
        <x:b/>
        <x:sz val="11"/>
        <x:color theme="1"/>
        <x:rFont val="Calibri"/>
        <x:family val="2"/>
        <x:scheme val="minor"/>
      </x:rPr>
      <x:t xml:space="preserve"> "Remote Execute" - </x:t>
    </x:r>
    <x:r>
      <x:rPr>
        <x:sz val="11"/>
        <x:color theme="1"/>
        <x:rFont val="Calibri"/>
        <x:family val="2"/>
        <x:scheme val="minor"/>
      </x:rPr>
      <x:t xml:space="preserve">To execute script(Ansible/Shell) remotely during provisioning. </x:t>
    </x:r>
    <x:r>
      <x:rPr>
        <x:b/>
        <x:sz val="11"/>
        <x:color theme="1"/>
        <x:rFont val="Calibri"/>
        <x:family val="2"/>
        <x:scheme val="minor"/>
      </x:rPr>
      <x:t xml:space="preserve">Format is: </x:t>
    </x:r>
    <x:r>
      <x:rPr>
        <x:b/>
        <x:i/>
        <x:sz val="11"/>
        <x:color theme="1"/>
        <x:rFont val="Calibri"/>
        <x:family val="2"/>
        <x:scheme val="minor"/>
      </x:rPr>
      <x:t xml:space="preserve">bastion_ip@&lt;scriptname&gt; 
                                      </x:t>
    </x:r>
    <x:r>
      <x:rPr>
        <x:sz val="11"/>
        <x:color theme="1"/>
        <x:rFont val="Calibri"/>
        <x:family val="2"/>
        <x:scheme val="minor"/>
      </x:rPr>
      <x:t xml:space="preserve">Use file extension as .sh for shell scripts and .yaml or .yml for ansible scripts.
                                      Also update the private keys to connect to bastion  and the target server. Update the files bastion-ssh-key  
                                      and server-ssh-key under scripts folder.
                                      Please skip bastion_ip if there is direct connectivity with target servers via VPN. See Sample data in Rows 5 and 6.
</x:t>
    </x:r>
    <x:r>
      <x:rPr>
        <x:b/>
        <x:sz val="11"/>
        <x:color theme="1"/>
        <x:rFont val="Calibri"/>
        <x:family val="2"/>
        <x:scheme val="minor"/>
      </x:rPr>
      <x:t xml:space="preserve">"Source Details" </x:t>
    </x:r>
    <x:r>
      <x:rPr>
        <x:sz val="11"/>
        <x:color theme="1"/>
        <x:rFont val="Calibri"/>
        <x:family val="2"/>
        <x:scheme val="minor"/>
      </x:rPr>
      <x:t xml:space="preserve">- Specify if the instance is to be launched from Image or Boot Volume.
</x:t>
    </x:r>
    <x:r>
      <x:rPr>
        <x:b/>
        <x:sz val="11"/>
        <x:color theme="1"/>
        <x:rFont val="Calibri"/>
        <x:family val="2"/>
        <x:scheme val="minor"/>
      </x:rPr>
      <x:t xml:space="preserve">"Boot Volume Size In GBs" -  </x:t>
    </x:r>
    <x:r>
      <x:rPr>
        <x:sz val="11"/>
        <x:color theme="1"/>
        <x:rFont val="Calibri"/>
        <x:family val="2"/>
        <x:scheme val="minor"/>
      </x:rPr>
      <x:t xml:space="preserve">Leave it blank to use OCI default size.
                                    Format - </x:t>
    </x:r>
    <x:r>
      <x:rPr>
        <x:i/>
        <x:sz val="11"/>
        <x:color theme="1"/>
        <x:rFont val="Calibri"/>
        <x:family val="2"/>
        <x:scheme val="minor"/>
      </x:rPr>
      <x:t xml:space="preserve">Accepts the ocid directly or variable name</x:t>
    </x:r>
    <x:r>
      <x:rPr>
        <x:sz val="11"/>
        <x:color theme="1"/>
        <x:rFont val="Calibri"/>
        <x:family val="2"/>
        <x:scheme val="minor"/>
      </x:rPr>
      <x:t xml:space="preserve"> - </x:t>
    </x:r>
    <x:r>
      <x:rPr>
        <x:i/>
        <x:sz val="11"/>
        <x:color theme="5" tint="-0.24998"/>
        <x:rFont val="Calibri"/>
        <x:family val="2"/>
        <x:scheme val="minor"/>
      </x:rPr>
      <x:t xml:space="preserve">image::&lt;variable containing image ocid under instance_source_ocids&gt;</x:t>
    </x:r>
    <x:r>
      <x:rPr>
        <x:sz val="11"/>
        <x:color theme="1"/>
        <x:rFont val="Calibri"/>
        <x:family val="2"/>
        <x:scheme val="minor"/>
      </x:rPr>
      <x:t xml:space="preserve"> (or) </x:t>
    </x:r>
    <x:r>
      <x:rPr>
        <x:sz val="11"/>
        <x:color theme="5"/>
        <x:rFont val="Calibri (Body)"/>
      </x:rPr>
      <x:t xml:space="preserve"> </x:t>
    </x:r>
    <x:r>
      <x:rPr>
        <x:i/>
        <x:sz val="11"/>
        <x:color theme="5" tint="-0.24998"/>
        <x:rFont val="Calibri"/>
        <x:family val="2"/>
        <x:scheme val="minor"/>
      </x:rPr>
      <x:t xml:space="preserve">image::&lt;variable containing the market place image name under instance_source_ocids&gt;</x:t>
    </x:r>
    <x:r>
      <x:rPr>
        <x:sz val="11"/>
        <x:color theme="1"/>
        <x:rFont val="Calibri"/>
        <x:family val="2"/>
        <x:scheme val="minor"/>
      </x:rPr>
      <x:t xml:space="preserve"> </x:t>
    </x:r>
    <x:r>
      <x:rPr>
        <x:i/>
        <x:sz val="11"/>
        <x:color theme="1"/>
        <x:rFont val="Calibri"/>
        <x:family val="2"/>
        <x:scheme val="minor"/>
      </x:rPr>
      <x:t xml:space="preserve"> (or)  </x:t>
    </x:r>
    <x:r>
      <x:rPr>
        <x:i/>
        <x:sz val="11"/>
        <x:color theme="5" tint="-0.24998"/>
        <x:rFont val="Calibri"/>
        <x:family val="2"/>
        <x:scheme val="minor"/>
      </x:rPr>
      <x:t xml:space="preserve">bootVolume::&lt;variable  containing boot volume ocid under instance_source_ocids&gt;</x:t>
    </x:r>
    <x:r>
      <x:rPr>
        <x:sz val="11"/>
        <x:color theme="1"/>
        <x:rFont val="Calibri"/>
        <x:family val="2"/>
        <x:scheme val="minor"/>
      </x:rPr>
      <x:t xml:space="preserve">
</x:t>
    </x:r>
    <x:r>
      <x:rPr>
        <x:b/>
        <x:sz val="11"/>
        <x:color theme="1"/>
        <x:rFont val="Calibri"/>
        <x:family val="2"/>
        <x:scheme val="minor"/>
      </x:rPr>
      <x:t xml:space="preserve">
</x:t>
    </x:r>
  </x:si>
  <x:si>
    <x:r>
      <x:t xml:space="preserve">Enter Network Details as : </x:t>
    </x:r>
    <x:r>
      <x:rPr>
        <x:sz val="11"/>
        <x:color theme="1"/>
        <x:rFont val="Calibri"/>
        <x:family val="2"/>
        <x:scheme val="minor"/>
      </x:rPr>
      <x:t xml:space="preserve">&lt;Network-Compartment-Name&gt;@&lt;vcn-name&gt;::&lt;subnet-name&gt;</x:t>
    </x:r>
    <x:r>
      <x:rPr>
        <x:b/>
        <x:sz val="11"/>
        <x:color theme="1"/>
        <x:rFont val="Calibri"/>
        <x:family val="2"/>
        <x:scheme val="minor"/>
      </x:rPr>
      <x:t xml:space="preserve">
If the shape is VM.Standard.E3.Flex then specify it as VM.Standard.E3.Flex::&lt;ocpus&gt;
"Create_Is PV Encryption In Transit Enabled" - </x:t>
    </x:r>
    <x:r>
      <x:rPr>
        <x:sz val="11"/>
        <x:color theme="1"/>
        <x:rFont val="Calibri"/>
        <x:family val="2"/>
        <x:scheme val="minor"/>
      </x:rPr>
      <x:t xml:space="preserve">Use this attribute for setting the parameter while launching a new instance. Specify true or false.Defaults to false when left empty.</x:t>
    </x:r>
    <x:r>
      <x:rPr>
        <x:b/>
        <x:sz val="11"/>
        <x:color theme="1"/>
        <x:rFont val="Calibri"/>
        <x:family val="2"/>
        <x:scheme val="minor"/>
      </x:rPr>
      <x:t xml:space="preserve">
"Update_Is PV Encryption In Transit Enabled" - </x:t>
    </x:r>
    <x:r>
      <x:rPr>
        <x:sz val="11"/>
        <x:color theme="1"/>
        <x:rFont val="Calibri"/>
        <x:family val="2"/>
        <x:scheme val="minor"/>
      </x:rPr>
      <x:t xml:space="preserve">Use this attribute for setting the parameter for an existing instance. Leave it empty while launching a new instance.</x:t>
    </x:r>
    <x:r>
      <x:rPr>
        <x:b/>
        <x:sz val="11"/>
        <x:color theme="1"/>
        <x:rFont val="Calibri"/>
        <x:family val="2"/>
        <x:scheme val="minor"/>
      </x:rPr>
      <x:t xml:space="preserve">
"Defined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x:t>
    </x:r>
    <x:r>
      <x:rPr>
        <x:b/>
        <x:sz val="11"/>
        <x:color theme="1"/>
        <x:rFont val="Calibri"/>
        <x:family val="2"/>
        <x:scheme val="minor"/>
      </x:rPr>
      <x:t xml:space="preserve">. 
                                 </x:t>
    </x:r>
    <x:r>
      <x:rPr>
        <x:i/>
        <x:sz val="11"/>
        <x:color theme="5" tint="-0.24998"/>
        <x:rFont val="Calibri (Body)"/>
      </x:rPr>
      <x:t xml:space="preserve">Example: Operations.CostCenter=01;Users.Name=user01</x:t>
    </x:r>
    <x:r>
      <x:rPr>
        <x:b/>
        <x:sz val="11"/>
        <x:color theme="1"/>
        <x:rFont val="Calibri"/>
        <x:family val="2"/>
        <x:scheme val="minor"/>
      </x:rPr>
      <x:t xml:space="preserve">
"Backup Policy" - </x:t>
    </x:r>
    <x:r>
      <x:rPr>
        <x:sz val="11"/>
        <x:color theme="1"/>
        <x:rFont val="Calibri"/>
        <x:family val="2"/>
        <x:scheme val="minor"/>
      </x:rPr>
      <x:t xml:space="preserve">Leave it empty to not attach any backup policy to the boot volume.
                                   Values can be either of the following: Gold | Silver | Bronze</x:t>
    </x:r>
    <x:r>
      <x:rPr>
        <x:b/>
        <x:sz val="11"/>
        <x:color theme="1"/>
        <x:rFont val="Calibri"/>
        <x:family val="2"/>
        <x:scheme val="minor"/>
      </x:rPr>
      <x:t xml:space="preserve">
"Custom Policy Compartment Name" - </x:t>
    </x:r>
    <x:r>
      <x:rPr>
        <x:sz val="11"/>
        <x:color theme="1"/>
        <x:rFont val="Calibri"/>
        <x:family val="2"/>
        <x:scheme val="minor"/>
      </x:rPr>
      <x:t xml:space="preserve">Specify the name of the compartment where the custom policy is created.</x:t>
    </x:r>
    <x:r>
      <x:rPr>
        <x:b/>
        <x:sz val="11"/>
        <x:color theme="1"/>
        <x:rFont val="Calibri"/>
        <x:family val="2"/>
        <x:scheme val="minor"/>
      </x:rPr>
      <x:t xml:space="preserve">
"NSGs" -</x:t>
    </x:r>
    <x:r>
      <x:rPr>
        <x:sz val="11"/>
        <x:color theme="1"/>
        <x:rFont val="Calibri"/>
        <x:family val="2"/>
        <x:scheme val="minor"/>
      </x:rPr>
      <x:t xml:space="preserve"> Accepts comma seperated list of NSG names instance needs to be part of, leave it blank if instance doesnot need to be part of any NSG.</x:t>
    </x:r>
    <x:r>
      <x:rPr>
        <x:b/>
        <x:sz val="11"/>
        <x:color theme="1"/>
        <x:rFont val="Calibri"/>
        <x:family val="2"/>
        <x:scheme val="minor"/>
      </x:rPr>
      <x:t xml:space="preserve">
"DedicatedVMHost" - </x:t>
    </x:r>
    <x:r>
      <x:rPr>
        <x:sz val="11"/>
        <x:color theme="1"/>
        <x:rFont val="Calibri"/>
        <x:family val="2"/>
        <x:scheme val="minor"/>
      </x:rPr>
      <x:t xml:space="preserve">Leave this field empty if the instance does not need to be launched on dedicated vm host.
</x:t>
    </x:r>
    <x:r>
      <x:rPr>
        <x:b/>
        <x:sz val="11"/>
        <x:color theme="1"/>
        <x:rFont val="Calibri"/>
        <x:family val="2"/>
        <x:scheme val="minor"/>
      </x:rPr>
      <x:t xml:space="preserve">"Plugins Columns" - These are hidden columns in excel (after Update_Is PV Encryption In Transit Enabled ) eg "Plugin Vulnerability Scanning" - </x:t>
    </x:r>
    <x:r>
      <x:rPr>
        <x:sz val="11"/>
        <x:color theme="1"/>
        <x:rFont val="Calibri"/>
        <x:family val="2"/>
        <x:scheme val="minor"/>
      </x:rPr>
      <x:t xml:space="preserve">Use this column to enable or disable the 'Vulnerability Scanning' plugin for this instance. Valid values are Enabled or Disabled. Enable/Disable 
other plugins by adding new columns with name as - "Plugin &lt;Plugin_Name_As_It_Appears_In_Console&gt;" eg for 'Bastion', column name will be 'Plugin Bastion'
</x:t>
    </x:r>
    <x:r>
      <x:rPr>
        <x:b/>
        <x:i/>
        <x:sz val="11"/>
        <x:color theme="5" tint="-0.24998"/>
        <x:rFont val="Calibri (Body)"/>
      </x:rPr>
      <x:t xml:space="preserve">Note</x:t>
    </x:r>
    <x:r>
      <x:rPr>
        <x:sz val="11"/>
        <x:color theme="1"/>
        <x:rFont val="Calibri"/>
        <x:family val="2"/>
        <x:scheme val="minor"/>
      </x:rPr>
      <x:t xml:space="preserve"> - Please add column 'Is Live Migration preferred' and set the value to True to enable live migration for the instance. It will be enabled if it is compatible.</x:t>
    </x:r>
  </x:si>
  <x:si>
    <x:t xml:space="preserve">Network Details</x:t>
  </x:si>
  <x:si>
    <x:t xml:space="preserve">Pub Address</x:t>
  </x:si>
  <x:si>
    <x:t xml:space="preserve">IP Address</x:t>
  </x:si>
  <x:si>
    <x:t xml:space="preserve">Source Details</x:t>
  </x:si>
  <x:si>
    <x:t xml:space="preserve">Memory In GBs</x:t>
  </x:si>
  <x:si>
    <x:t xml:space="preserve">Boot Volume Size In GBs</x:t>
  </x:si>
  <x:si>
    <x:t xml:space="preserve">Create_Is PV Encryption In Transit Enabled</x:t>
  </x:si>
  <x:si>
    <x:t xml:space="preserve">Update_Is PV Encryption In Transit Enabled</x:t>
  </x:si>
  <x:si>
    <x:t xml:space="preserve">Plugin WebLogic Management Service</x:t>
  </x:si>
  <x:si>
    <x:t xml:space="preserve">Plugin Vulnerability Scanning</x:t>
  </x:si>
  <x:si>
    <x:t xml:space="preserve">Plugin Oracle Java Management Service</x:t>
  </x:si>
  <x:si>
    <x:t xml:space="preserve">Plugin OS Management Hub Agent</x:t>
  </x:si>
  <x:si>
    <x:t xml:space="preserve">Plugin Management Agent</x:t>
  </x:si>
  <x:si>
    <x:t xml:space="preserve">Plugin Fleet Application Management Service</x:t>
  </x:si>
  <x:si>
    <x:t xml:space="preserve">Plugin Custom Logs Monitoring</x:t>
  </x:si>
  <x:si>
    <x:t xml:space="preserve">Plugin Compute RDMA GPU Monitoring</x:t>
  </x:si>
  <x:si>
    <x:t xml:space="preserve">Plugin Compute Instance Run Command</x:t>
  </x:si>
  <x:si>
    <x:t xml:space="preserve">Plugin Compute Instance Monitoring</x:t>
  </x:si>
  <x:si>
    <x:t xml:space="preserve">Plugin Compute HPC RDMA Auto-Configuration</x:t>
  </x:si>
  <x:si>
    <x:t xml:space="preserve">Plugin Compute HPC RDMA Authentication</x:t>
  </x:si>
  <x:si>
    <x:t xml:space="preserve">Plugin Cloud Guard Workload Protection</x:t>
  </x:si>
  <x:si>
    <x:t xml:space="preserve">Plugin Block Volume Management</x:t>
  </x:si>
  <x:si>
    <x:t xml:space="preserve">Plugin OS Management Service Agent</x:t>
  </x:si>
  <x:si>
    <x:t xml:space="preserve">Plugin Bastion</x:t>
  </x:si>
  <x:si>
    <x:t xml:space="preserve">SSH Key Var Name</x:t>
  </x:si>
  <x:si>
    <x:t xml:space="preserve">Backup Policy</x:t>
  </x:si>
  <x:si>
    <x:t xml:space="preserve">Custom Policy Compartment Name</x:t>
  </x:si>
  <x:si>
    <x:t xml:space="preserve">Dedicated VM Host</x:t>
  </x:si>
  <x:si>
    <x:t xml:space="preserve">Remote Execute</x:t>
  </x:si>
  <x:si>
    <x:r>
      <x:t xml:space="preserve"># Rows after &lt;END&gt; will not be processed (Sample data is provided for reference after &lt;END&gt;);
"Attached To Instance"  - </x:t>
    </x:r>
    <x:r>
      <x:rPr>
        <x:sz val="11"/>
        <x:color theme="1"/>
        <x:rFont val="Calibri"/>
        <x:family val="2"/>
        <x:scheme val="minor"/>
      </x:rPr>
      <x:t xml:space="preserve">Make sure to enter the exact name as entered in "Display Name" column of Instances Tab.
</x:t>
    </x:r>
    <x:r>
      <x:rPr>
        <x:b/>
        <x:sz val="11"/>
        <x:color theme="1"/>
        <x:rFont val="Calibri"/>
        <x:family val="2"/>
        <x:scheme val="minor"/>
      </x:rPr>
      <x:t xml:space="preserve">"Backup Policy" </x:t>
    </x:r>
    <x:r>
      <x:rPr>
        <x:sz val="11"/>
        <x:color theme="1"/>
        <x:rFont val="Calibri"/>
        <x:family val="2"/>
        <x:scheme val="minor"/>
      </x:rPr>
      <x:t xml:space="preserve">- Leave it empty to not attach any backup policy to the block volume. Values can be either of the following: Gold | Silver | Bronze
</x:t>
    </x:r>
    <x:r>
      <x:rPr>
        <x:b/>
        <x:sz val="11"/>
        <x:color theme="1"/>
        <x:rFont val="Calibri"/>
        <x:family val="2"/>
        <x:scheme val="minor"/>
      </x:rPr>
      <x:t xml:space="preserve">"Source Details" - </x:t>
    </x:r>
    <x:r>
      <x:rPr>
        <x:sz val="11"/>
        <x:color theme="1"/>
        <x:rFont val="Calibri"/>
        <x:family val="2"/>
        <x:scheme val="minor"/>
      </x:rPr>
      <x:t xml:space="preserve">Leave it empty for new volume or Specify if the block volume is to be created from volume or volumeBackup or blockVolumeReplica.
                                    Format - </x:t>
    </x:r>
    <x:r>
      <x:rPr>
        <x:i/>
        <x:sz val="11"/>
        <x:color theme="1"/>
        <x:rFont val="Calibri"/>
        <x:family val="2"/>
        <x:scheme val="minor"/>
      </x:rPr>
      <x:t xml:space="preserve">Accepts the ocid directly or variable nam</x:t>
    </x:r>
    <x:r>
      <x:rPr>
        <x:sz val="11"/>
        <x:color theme="1"/>
        <x:rFont val="Calibri"/>
        <x:family val="2"/>
        <x:scheme val="minor"/>
      </x:rPr>
      <x:t xml:space="preserve">e - </x:t>
    </x:r>
    <x:r>
      <x:rPr>
        <x:i/>
        <x:sz val="11"/>
        <x:color theme="5" tint="-0.24998"/>
        <x:rFont val="Calibri (Body)"/>
      </x:rPr>
      <x:t xml:space="preserve">volume::&lt;variable containing volume ocid under blockvolume_source_ocids&gt; (or)  volumeBackup::&lt;variable containing volume backup ocid under blockvolume_source_ocids&gt;  (or)  blockVolumeReplica::&lt;variable containing volume replica  ocid under blockvolume_source_ocid&gt;</x:t>
    </x:r>
    <x:r>
      <x:rPr>
        <x:b/>
        <x:sz val="11"/>
        <x:color theme="1"/>
        <x:rFont val="Calibri"/>
        <x:family val="2"/>
        <x:scheme val="minor"/>
      </x:rPr>
      <x:t xml:space="preserve">
"Autotune Type" - </x:t>
    </x:r>
    <x:r>
      <x:rPr>
        <x:sz val="11"/>
        <x:color theme="1"/>
        <x:rFont val="Calibri"/>
        <x:family val="2"/>
        <x:scheme val="minor"/>
      </x:rPr>
      <x:t xml:space="preserve">Leave it empty for default autotune setting. Values can be either of the following: PERFORMANCE_BASED|DETACHED_VOLUME|BOTH.
</x:t>
    </x:r>
    <x:r>
      <x:rPr>
        <x:b/>
        <x:sz val="11"/>
        <x:color theme="1"/>
        <x:rFont val="Calibri"/>
        <x:family val="2"/>
        <x:scheme val="minor"/>
      </x:rPr>
      <x:t xml:space="preserve">"Max VPUS Per GB"</x:t>
    </x:r>
    <x:r>
      <x:rPr>
        <x:sz val="11"/>
        <x:color theme="1"/>
        <x:rFont val="Calibri"/>
        <x:family val="2"/>
        <x:scheme val="minor"/>
      </x:rPr>
      <x:t xml:space="preserve"> - Mandatory if 'Autotune Type' column value is PERFORMANCE_BASED or BOTH.
</x:t>
    </x:r>
    <x:r>
      <x:rPr>
        <x:b/>
        <x:sz val="11"/>
        <x:color theme="1"/>
        <x:rFont val="Calibri"/>
        <x:family val="2"/>
        <x:scheme val="minor"/>
      </x:rPr>
      <x:t xml:space="preserve">"Block Volume Replica (Region::AD::Name)"</x:t>
    </x:r>
    <x:r>
      <x:rPr>
        <x:sz val="11"/>
        <x:color theme="1"/>
        <x:rFont val="Calibri"/>
        <x:family val="2"/>
        <x:scheme val="minor"/>
      </x:rPr>
      <x:t xml:space="preserve"> - Specify value in format - Region::AD::Name to create volume replication. Region and AD is mandatory. Name is optional. Leave it empty for no volume replication.
</x:t>
    </x:r>
    <x:r>
      <x:rPr>
        <x:b/>
        <x:sz val="11"/>
        <x:color theme="1"/>
        <x:rFont val="Calibri"/>
        <x:family val="2"/>
        <x:scheme val="minor"/>
      </x:rPr>
      <x:t xml:space="preserve">"Cross Region Replication" - </x:t>
    </x:r>
    <x:r>
      <x:rPr>
        <x:sz val="11"/>
        <x:color theme="1"/>
        <x:rFont val="Calibri"/>
        <x:family val="2"/>
        <x:scheme val="minor"/>
      </x:rPr>
      <x:t xml:space="preserve">On|Off. To enable replication, chose </x:t>
    </x:r>
    <x:r>
      <x:rPr>
        <x:b/>
        <x:sz val="11"/>
        <x:color theme="1"/>
        <x:rFont val="Calibri"/>
        <x:family val="2"/>
        <x:scheme val="minor"/>
      </x:rPr>
      <x:t xml:space="preserve">On</x:t>
    </x:r>
    <x:r>
      <x:rPr>
        <x:sz val="11"/>
        <x:color theme="1"/>
        <x:rFont val="Calibri"/>
        <x:family val="2"/>
        <x:scheme val="minor"/>
      </x:rPr>
      <x:t xml:space="preserve"> and fill details in column -</x:t>
    </x:r>
    <x:r>
      <x:rPr>
        <x:b/>
        <x:sz val="11"/>
        <x:color theme="1"/>
        <x:rFont val="Calibri"/>
        <x:family val="2"/>
        <x:scheme val="minor"/>
      </x:rPr>
      <x:t xml:space="preserve"> "Block Volume Replica (Region::AD::Name)". </x:t>
    </x:r>
    <x:r>
      <x:rPr>
        <x:sz val="11"/>
        <x:color theme="1"/>
        <x:rFont val="Calibri"/>
        <x:family val="2"/>
        <x:scheme val="minor"/>
      </x:rPr>
      <x:t xml:space="preserve">To disable replication and delete the replica, chose Off and remove the data from column -</x:t>
    </x:r>
    <x:r>
      <x:rPr>
        <x:b/>
        <x:sz val="11"/>
        <x:color theme="1"/>
        <x:rFont val="Calibri"/>
        <x:family val="2"/>
        <x:scheme val="minor"/>
      </x:rPr>
      <x:t xml:space="preserve"> "Block Volume Replica (Region::AD::Name)"
"Custom Policy Compartment Name" </x:t>
    </x:r>
    <x:r>
      <x:rPr>
        <x:sz val="11"/>
        <x:color theme="1"/>
        <x:rFont val="Calibri"/>
        <x:family val="2"/>
        <x:scheme val="minor"/>
      </x:rPr>
      <x:t xml:space="preserve">- Specify the name of the compartment where the custom policy is created.
</x:t>
    </x:r>
    <x:r>
      <x:rPr>
        <x:b/>
        <x:sz val="11"/>
        <x:color theme="1"/>
        <x:rFont val="Calibri"/>
        <x:family val="2"/>
        <x:scheme val="minor"/>
      </x:rPr>
      <x:t xml:space="preserve">"Defined Tags"</x:t>
    </x:r>
    <x:r>
      <x:rPr>
        <x:sz val="11"/>
        <x:color theme="1"/>
        <x:rFont val="Calibri"/>
        <x:family val="2"/>
        <x:scheme val="minor"/>
      </x:rPr>
      <x:t xml:space="preserve"> - Specify the defined tag key and its value in the format - &lt;Namespace&gt;.&lt;TagKey&gt;=&lt;Value&gt;  else leave it empty.
                                Multiple Tag Key , Values can be specified using semi colon (;) as the delimiter. 
                              </x:t>
    </x:r>
    <x:r>
      <x:rPr>
        <x:i/>
        <x:sz val="11"/>
        <x:color theme="5" tint="-0.24998"/>
        <x:rFont val="Calibri"/>
        <x:family val="2"/>
        <x:scheme val="minor"/>
      </x:rPr>
      <x:t xml:space="preserve">  Example: Operations.CostCenter=01;Users.Name=user01</x:t>
    </x:r>
  </x:si>
  <x:si>
    <x:t xml:space="preserve">Block Name</x:t>
  </x:si>
  <x:si>
    <x:t xml:space="preserve">VPUs per GB</x:t>
  </x:si>
  <x:si>
    <x:t xml:space="preserve">Size In GBs</x:t>
  </x:si>
  <x:si>
    <x:t xml:space="preserve">Attached To Instance</x:t>
  </x:si>
  <x:si>
    <x:t xml:space="preserve">Attach Type(iscsi|paravirtualized)</x:t>
  </x:si>
  <x:si>
    <x:t xml:space="preserve">Device</x:t>
  </x:si>
  <x:si>
    <x:t xml:space="preserve">Autotune Type</x:t>
  </x:si>
  <x:si>
    <x:t xml:space="preserve">Max VPUS Per GB</x:t>
  </x:si>
  <x:si>
    <x:t xml:space="preserve">Block Volume Replica (Region::AD::Name)</x:t>
  </x:si>
  <x:si>
    <x:t xml:space="preserve">Cross Region Replication</x:t>
  </x:si>
  <x:si>
    <x:t xml:space="preserve">Is PV Encryption In Transit Enabled</x:t>
  </x:si>
  <x:si>
    <x:r>
      <x:t xml:space="preserve"># Rows after &lt;END&gt; will not be processed (Sample data is provided for reference after &lt;END&gt;);
Columns: Region, Compartment Name, Availability Domain, MountTarget Name, MountTarget SubnetName, FSS name, Path are mandatory.
Freeform and Defined Tags - </x:t>
    </x:r>
    <x:r>
      <x:rPr>
        <x:sz val="11"/>
        <x:color theme="1"/>
        <x:rFont val="Calibri"/>
        <x:family val="2"/>
        <x:scheme val="minor"/>
      </x:rPr>
      <x:t xml:space="preserve">If specified, Applies to FSS object only and not to other components like Mount Target.</x:t>
    </x:r>
    <x:r>
      <x:rPr>
        <x:b/>
        <x:sz val="11"/>
        <x:color theme="1"/>
        <x:rFont val="Calibri"/>
        <x:family val="2"/>
        <x:scheme val="minor"/>
      </x:rPr>
      <x:t xml:space="preserve">
Enter Network Details as : </x:t>
    </x:r>
    <x:r>
      <x:rPr>
        <x:sz val="11"/>
        <x:color theme="1"/>
        <x:rFont val="Calibri"/>
        <x:family val="2"/>
        <x:scheme val="minor"/>
      </x:rPr>
      <x:t xml:space="preserve">&lt;Network-Compartment-Name&gt;@&lt;vcn-name&gt;::&lt;subnet-name&gt;</x:t>
    </x:r>
    <x:r>
      <x:rPr>
        <x:i/>
        <x:sz val="11"/>
        <x:color theme="1"/>
        <x:rFont val="Calibri"/>
        <x:family val="2"/>
        <x:scheme val="minor"/>
      </x:rPr>
      <x:t xml:space="preserve">
</x:t>
    </x:r>
    <x:r>
      <x:rPr>
        <x:b/>
        <x:sz val="11"/>
        <x:color theme="1"/>
        <x:rFont val="Calibri"/>
        <x:family val="2"/>
        <x:scheme val="minor"/>
      </x:rPr>
      <x:t xml:space="preserve">Source Snapshot:</x:t>
    </x:r>
    <x:r>
      <x:rPr>
        <x:i/>
        <x:sz val="11"/>
        <x:color theme="1"/>
        <x:rFont val="Calibri"/>
        <x:family val="2"/>
        <x:scheme val="minor"/>
      </x:rPr>
      <x:t xml:space="preserve"> </x:t>
    </x:r>
    <x:r>
      <x:rPr>
        <x:sz val="11"/>
        <x:color theme="1"/>
        <x:rFont val="Calibri"/>
        <x:family val="2"/>
        <x:scheme val="minor"/>
      </x:rPr>
      <x:t xml:space="preserve">Accepts OCID of the source snapshot  or the name of the key defined under variable  fss_source_ocids in variables_&lt;region&gt;.tf file
</x:t>
    </x:r>
    <x:r>
      <x:rPr>
        <x:b/>
        <x:sz val="11"/>
        <x:color theme="1"/>
        <x:rFont val="Calibri"/>
        <x:family val="2"/>
        <x:scheme val="minor"/>
      </x:rPr>
      <x:t xml:space="preserve">Snapshot Policy - </x:t>
    </x:r>
    <x:r>
      <x:rPr>
        <x:sz val="11"/>
        <x:color theme="1"/>
        <x:rFont val="Calibri"/>
        <x:family val="2"/>
        <x:scheme val="minor"/>
      </x:rPr>
      <x:t xml:space="preserve">Accepts OCID of the snapshot policy or the name in format: &lt;snaphot_policy_compartment_name&gt;@&lt;snaphost_policy_name&gt;</x:t>
    </x:r>
    <x:r>
      <x:rPr>
        <x:b/>
        <x:i/>
        <x:sz val="11"/>
        <x:color theme="1"/>
        <x:rFont val="Calibri"/>
        <x:family val="2"/>
        <x:scheme val="minor"/>
      </x:rPr>
      <x:t xml:space="preserve">
</x:t>
    </x:r>
    <x:r>
      <x:rPr>
        <x:b/>
        <x:sz val="11"/>
        <x:color theme="1"/>
        <x:rFont val="Calibri"/>
        <x:family val="2"/>
        <x:scheme val="minor"/>
      </x:rPr>
      <x:t xml:space="preserve">Replication Information: </x:t>
    </x:r>
    <x:r>
      <x:rPr>
        <x:sz val="11"/>
        <x:color theme="1"/>
        <x:rFont val="Calibri"/>
        <x:family val="2"/>
        <x:scheme val="minor"/>
      </x:rPr>
      <x:t xml:space="preserve">Format - TargetFSS(OCID or Name)::ReplicationInterval::ReplicationName. Multiple replication values are seperated by newline in the same cell(\n is not supported). Ensure Target FSS for replication must not have exports created.</x:t>
    </x:r>
    <x:r>
      <x:rPr>
        <x:b/>
        <x:sz val="11"/>
        <x:color theme="1"/>
        <x:rFont val="Calibri"/>
        <x:family val="2"/>
        <x:scheme val="minor"/>
      </x:rPr>
      <x:t xml:space="preserve">
"Defined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 
                           </x:t>
    </x:r>
    <x:r>
      <x:rPr>
        <x:sz val="11"/>
        <x:color theme="5" tint="-0.24998"/>
        <x:rFont val="Calibri"/>
        <x:family val="2"/>
        <x:scheme val="minor"/>
      </x:rPr>
      <x:t xml:space="preserve"> </x:t>
    </x:r>
    <x:r>
      <x:rPr>
        <x:i/>
        <x:sz val="11"/>
        <x:color theme="5" tint="-0.24998"/>
        <x:rFont val="Calibri"/>
        <x:family val="2"/>
        <x:scheme val="minor"/>
      </x:rPr>
      <x:t xml:space="preserve"> Example: Operations.CostCenter=01;Users.Name=user01</x:t>
    </x:r>
    <x:r>
      <x:rPr>
        <x:b/>
        <x:sz val="11"/>
        <x:color theme="1"/>
        <x:rFont val="Calibri"/>
        <x:family val="2"/>
        <x:scheme val="minor"/>
      </x:rPr>
      <x:t xml:space="preserve">
</x:t>
    </x:r>
  </x:si>
  <x:si>
    <x:r>
      <x:rPr>
        <x:b/>
        <x:u val="single"/>
        <x:sz val="11"/>
        <x:color theme="5" tint="-0.24998"/>
        <x:rFont val="Calibri"/>
        <x:family val="2"/>
        <x:scheme val="minor"/>
      </x:rPr>
      <x:t xml:space="preserve">Note:</x:t>
    </x:r>
    <x:r>
      <x:rPr>
        <x:b/>
        <x:sz val="11"/>
        <x:color theme="1"/>
        <x:rFont val="Calibri"/>
        <x:family val="2"/>
        <x:scheme val="minor"/>
      </x:rPr>
      <x:t xml:space="preserve">
</x:t>
    </x:r>
    <x:r>
      <x:rPr>
        <x:sz val="11"/>
        <x:color theme="1"/>
        <x:rFont val="Calibri"/>
        <x:family val="2"/>
        <x:scheme val="minor"/>
      </x:rPr>
      <x:t xml:space="preserve">Default value for columns if left blank: sourceCIDR- 0.0.0.0/0, Access- READ_WRITE, GID- 65534, UID- 65534, IDSquash- NONE and Require PS Port- false.
Mount target IP will take default values from OCI if left blank.
Resources will be created based on 'MountTarget Name' and 'FSS Name' columns.
Below sample data shows example of  multiple FSS(FSS1 and FSS2) using single MT(MT1) , 1 FSS(FSS3) using multiple MTs(MT2 and MT3) and also 1 FSS(FSS4) using 1 MT(MT4).</x:t>
    </x:r>
    <x:r>
      <x:rPr>
        <x:b/>
        <x:sz val="11"/>
        <x:color theme="1"/>
        <x:rFont val="Calibri"/>
        <x:family val="2"/>
        <x:scheme val="minor"/>
      </x:rPr>
      <x:t xml:space="preserve"> </x:t>
    </x:r>
    <x:r>
      <x:rPr>
        <x:sz val="11"/>
        <x:color theme="1"/>
        <x:rFont val="Calibri"/>
        <x:family val="2"/>
        <x:scheme val="minor"/>
      </x:rPr>
      <x:t xml:space="preserve">onlyMT is Mount target without any FSS. onlyFSS is File System without any Mount Target or Export (used for replication)</x:t>
    </x:r>
  </x:si>
  <x:si>
    <x:t xml:space="preserve">MountTarget Name</x:t>
  </x:si>
  <x:si>
    <x:t xml:space="preserve">MountTarget IP</x:t>
  </x:si>
  <x:si>
    <x:t xml:space="preserve">MountTarget Hostname</x:t>
  </x:si>
  <x:si>
    <x:t xml:space="preserve">FSS Name</x:t>
  </x:si>
  <x:si>
    <x:t xml:space="preserve">Source Snapshot</x:t>
  </x:si>
  <x:si>
    <x:t xml:space="preserve">Snapshot Policy</x:t>
  </x:si>
  <x:si>
    <x:t xml:space="preserve">Replication Information</x:t>
  </x:si>
  <x:si>
    <x:t xml:space="preserve">Path</x:t>
  </x:si>
  <x:si>
    <x:t xml:space="preserve">Source CIDR</x:t>
  </x:si>
  <x:si>
    <x:t xml:space="preserve">Access (READ_ONLY|READ_WRITE)</x:t>
  </x:si>
  <x:si>
    <x:t xml:space="preserve">GID</x:t>
  </x:si>
  <x:si>
    <x:t xml:space="preserve">UID</x:t>
  </x:si>
  <x:si>
    <x:t xml:space="preserve">IDSquash (NONE|ALL|ROOT)</x:t>
  </x:si>
  <x:si>
    <x:t xml:space="preserve">Require PS Port (true|false)</x:t>
  </x:si>
  <x:si>
    <x:t xml:space="preserve">Is Anonymous Access Allowed</x:t>
  </x:si>
  <x:si>
    <x:t xml:space="preserve">Allowed Auth</x:t>
  </x:si>
  <x:si>
    <x:r>
      <x:t xml:space="preserve"># Rows after &lt;END&gt; will not be processed (Sample data is provided for reference after &lt;END&gt;);
</x:t>
    </x:r>
    <x:r>
      <x:rPr>
        <x:sz val="11"/>
        <x:color theme="1"/>
        <x:rFont val="Calibri"/>
        <x:family val="2"/>
        <x:scheme val="minor"/>
      </x:rPr>
      <x:t xml:space="preserve">Allowed values for </x:t>
    </x:r>
    <x:r>
      <x:rPr>
        <x:b/>
        <x:sz val="11"/>
        <x:color theme="1"/>
        <x:rFont val="Calibri"/>
        <x:family val="2"/>
        <x:scheme val="minor"/>
      </x:rPr>
      <x:t xml:space="preserve">"Network Type" - FLANNEL_OVERLAY </x:t>
    </x:r>
    <x:r>
      <x:rPr>
        <x:sz val="11"/>
        <x:color theme="1"/>
        <x:rFont val="Calibri"/>
        <x:family val="2"/>
        <x:scheme val="minor"/>
      </x:rPr>
      <x:t xml:space="preserve">or</x:t>
    </x:r>
    <x:r>
      <x:rPr>
        <x:b/>
        <x:sz val="11"/>
        <x:color theme="1"/>
        <x:rFont val="Calibri"/>
        <x:family val="2"/>
        <x:scheme val="minor"/>
      </x:rPr>
      <x:t xml:space="preserve"> OCI_VCN_IP_NATIVE
</x:t>
    </x:r>
    <x:r>
      <x:rPr>
        <x:sz val="11"/>
        <x:color theme="1"/>
        <x:rFont val="Calibri"/>
        <x:family val="2"/>
        <x:scheme val="minor"/>
      </x:rPr>
      <x:t xml:space="preserve">Enter </x:t>
    </x:r>
    <x:r>
      <x:rPr>
        <x:b/>
        <x:sz val="11"/>
        <x:color theme="1"/>
        <x:rFont val="Calibri"/>
        <x:family val="2"/>
        <x:scheme val="minor"/>
      </x:rPr>
      <x:t xml:space="preserve">Network Details</x:t>
    </x:r>
    <x:r>
      <x:rPr>
        <x:sz val="11"/>
        <x:color theme="1"/>
        <x:rFont val="Calibri"/>
        <x:family val="2"/>
        <x:scheme val="minor"/>
      </x:rPr>
      <x:t xml:space="preserve"> as : &lt;Network-Compartment-Name&gt;@&lt;vcn-name&gt;::&lt;subnet-name&gt;</x:t>
    </x:r>
    <x:r>
      <x:rPr>
        <x:b/>
        <x:sz val="11"/>
        <x:color theme="1"/>
        <x:rFont val="Calibri"/>
        <x:family val="2"/>
        <x:scheme val="minor"/>
      </x:rPr>
      <x:t xml:space="preserve"> </x:t>
    </x:r>
    <x:r>
      <x:rPr>
        <x:sz val="11"/>
        <x:color theme="1"/>
        <x:rFont val="Calibri"/>
        <x:family val="2"/>
        <x:scheme val="minor"/>
      </x:rPr>
      <x:t xml:space="preserve">or the </x:t>
    </x:r>
    <x:r>
      <x:rPr>
        <x:b/>
        <x:sz val="11"/>
        <x:color theme="1"/>
        <x:rFont val="Calibri"/>
        <x:family val="2"/>
        <x:scheme val="minor"/>
      </x:rPr>
      <x:t xml:space="preserve">ocid
"API Endpoint Pub Address" </x:t>
    </x:r>
    <x:r>
      <x:rPr>
        <x:sz val="11"/>
        <x:color theme="1"/>
        <x:rFont val="Calibri"/>
        <x:family val="2"/>
        <x:scheme val="minor"/>
      </x:rPr>
      <x:t xml:space="preserve">- Represents whether public address needs to be assigned to the control plane or not(TRUE|FALSE).</x:t>
    </x:r>
    <x:r>
      <x:rPr>
        <x:b/>
        <x:sz val="11"/>
        <x:color theme="1"/>
        <x:rFont val="Calibri"/>
        <x:family val="2"/>
        <x:scheme val="minor"/>
      </x:rPr>
      <x:t xml:space="preserve">
"SSH Key Var Name" - </x:t>
    </x:r>
    <x:r>
      <x:rPr>
        <x:sz val="11"/>
        <x:color theme="1"/>
        <x:rFont val="Calibri"/>
        <x:family val="2"/>
        <x:scheme val="minor"/>
      </x:rPr>
      <x:t xml:space="preserve">Accepts SSH Key value or the name name of the key defined under variable  oke_ssh_keys in variables_&lt;region&gt;.tf filecontaining SSH key; Multiple keys should be separated by \n</x:t>
    </x:r>
    <x:r>
      <x:rPr>
        <x:b/>
        <x:sz val="11"/>
        <x:color theme="1"/>
        <x:rFont val="Calibri"/>
        <x:family val="2"/>
        <x:scheme val="minor"/>
      </x:rPr>
      <x:t xml:space="preserve">
</x:t>
    </x:r>
    <x:r>
      <x:rPr>
        <x:sz val="11"/>
        <x:color theme="1"/>
        <x:rFont val="Calibri"/>
        <x:family val="2"/>
        <x:scheme val="minor"/>
      </x:rPr>
      <x:t xml:space="preserve">Columns with nsgs accept comma seperated list of NSG names or ocids that needs to be part of the particular component, leave it blank if it doesnot need to be part of any NSG.
</x:t>
    </x:r>
    <x:r>
      <x:rPr>
        <x:b/>
        <x:sz val="11"/>
        <x:color theme="1"/>
        <x:rFont val="Calibri"/>
        <x:family val="2"/>
        <x:scheme val="minor"/>
      </x:rPr>
      <x:t xml:space="preserve">"Node Placement Configs" - </x:t>
    </x:r>
    <x:r>
      <x:rPr>
        <x:sz val="11"/>
        <x:color theme="1"/>
        <x:rFont val="Calibri"/>
        <x:family val="2"/>
        <x:scheme val="minor"/>
      </x:rPr>
      <x:t xml:space="preserve">See sample data below. Accepts multiple confugrations for nodes seperated by ;  </x:t>
    </x:r>
    <x:r>
      <x:rPr>
        <x:b/>
        <x:sz val="11"/>
        <x:color theme="1"/>
        <x:rFont val="Calibri"/>
        <x:family val="2"/>
        <x:scheme val="minor"/>
      </x:rPr>
      <x:t xml:space="preserve">Format</x:t>
    </x:r>
    <x:r>
      <x:rPr>
        <x:sz val="11"/>
        <x:color theme="1"/>
        <x:rFont val="Calibri"/>
        <x:family val="2"/>
        <x:scheme val="minor"/>
      </x:rPr>
      <x:t xml:space="preserve"> - &lt;Network_Details&gt;:&lt;Availability_Domain&gt;:&lt;Fault_Domains&gt;:&lt;Capacity_Reservation_OCID&gt;
Specify None for &lt;Fault_Domains&gt; or &lt;Capacity_Reservation_OCID&gt; if nothing needs to be specified. </x:t>
    </x:r>
    <x:r>
      <x:rPr>
        <x:b/>
        <x:sz val="11"/>
        <x:color theme="1"/>
        <x:rFont val="Calibri"/>
        <x:family val="2"/>
        <x:scheme val="minor"/>
      </x:rPr>
      <x:t xml:space="preserve">
</x:t>
    </x:r>
  </x:si>
  <x:si>
    <x:r>
      <x:t xml:space="preserve">If the shape is VM.Standard.E3.Flex then specify it as VM.Standard.E3.Flex::&lt;ocpus&gt;
"Memory(in GB)"-</x:t>
    </x:r>
    <x:r>
      <x:rPr>
        <x:sz val="11"/>
        <x:color theme="1"/>
        <x:rFont val="Calibri"/>
        <x:family val="2"/>
        <x:scheme val="minor"/>
      </x:rPr>
      <x:t xml:space="preserve"> required For Flex Shapes Only</x:t>
    </x:r>
    <x:r>
      <x:rPr>
        <x:b/>
        <x:sz val="11"/>
        <x:color theme="1"/>
        <x:rFont val="Calibri"/>
        <x:family val="2"/>
        <x:scheme val="minor"/>
      </x:rPr>
      <x:t xml:space="preserve">
"Source Details" - </x:t>
    </x:r>
    <x:r>
      <x:rPr>
        <x:sz val="11"/>
        <x:color theme="1"/>
        <x:rFont val="Calibri"/>
        <x:family val="2"/>
        <x:scheme val="minor"/>
      </x:rPr>
      <x:t xml:space="preserve">Format </x:t>
    </x:r>
    <x:r>
      <x:rPr>
        <x:b/>
        <x:sz val="11"/>
        <x:color theme="1"/>
        <x:rFont val="Calibri"/>
        <x:family val="2"/>
        <x:scheme val="minor"/>
      </x:rPr>
      <x:t xml:space="preserve">- image::&lt;variable containing image ocid under oke_source_ocids&gt;
"Pod Communication Network Details" -</x:t>
    </x:r>
    <x:r>
      <x:rPr>
        <x:sz val="11"/>
        <x:color theme="1"/>
        <x:rFont val="Calibri"/>
        <x:family val="2"/>
        <x:scheme val="minor"/>
      </x:rPr>
      <x:t xml:space="preserve"> mandatory if Network Type is OCI_VCN_IP_NATIVE</x:t>
    </x:r>
    <x:r>
      <x:rPr>
        <x:b/>
        <x:sz val="11"/>
        <x:color theme="1"/>
        <x:rFont val="Calibri"/>
        <x:family val="2"/>
        <x:scheme val="minor"/>
      </x:rPr>
      <x:t xml:space="preserve">
</x:t>
    </x:r>
    <x:r>
      <x:rPr>
        <x:sz val="11"/>
        <x:color theme="1"/>
        <x:rFont val="Calibri"/>
        <x:family val="2"/>
        <x:scheme val="minor"/>
      </x:rPr>
      <x:t xml:space="preserve">Region, Compartment Name, Cluster Name, Network Type, Cluster Kubernetes Version, Pod Security Policies Enforced, Load Balancer Subnets, API Endpoint Subnet fields are mandatory fields.</x:t>
    </x:r>
    <x:r>
      <x:rPr>
        <x:b/>
        <x:sz val="11"/>
        <x:color theme="1"/>
        <x:rFont val="Calibri"/>
        <x:family val="2"/>
        <x:scheme val="minor"/>
      </x:rPr>
      <x:t xml:space="preserve">
"Defined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 
                                 Example: Operations.CostCenter=01;Users.Name=user01</x:t>
    </x:r>
    <x:r>
      <x:rPr>
        <x:b/>
        <x:sz val="11"/>
        <x:color theme="1"/>
        <x:rFont val="Calibri"/>
        <x:family val="2"/>
        <x:scheme val="minor"/>
      </x:rPr>
      <x:t xml:space="preserve">
</x:t>
    </x:r>
    <x:r>
      <x:rPr>
        <x:sz val="11"/>
        <x:color theme="1"/>
        <x:rFont val="Calibri"/>
        <x:family val="2"/>
        <x:scheme val="minor"/>
      </x:rPr>
      <x:t xml:space="preserve">Refer the comments attached to the columns for more details on how to fill in the particular column.</x:t>
    </x:r>
    <x:r>
      <x:rPr>
        <x:b/>
        <x:sz val="11"/>
        <x:color theme="1"/>
        <x:rFont val="Calibri"/>
        <x:family val="2"/>
        <x:scheme val="minor"/>
      </x:rPr>
      <x:t xml:space="preserve">											</x:t>
    </x:r>
  </x:si>
  <x:si>
    <x:t xml:space="preserve">Cluster Name</x:t>
  </x:si>
  <x:si>
    <x:t xml:space="preserve">Cluster Type</x:t>
  </x:si>
  <x:si>
    <x:t xml:space="preserve">Cluster Kubernetes Version</x:t>
  </x:si>
  <x:si>
    <x:t xml:space="preserve">Network Type</x:t>
  </x:si>
  <x:si>
    <x:t xml:space="preserve">Pod Security Policies Enforced</x:t>
  </x:si>
  <x:si>
    <x:t xml:space="preserve">Load Balancer Network Details</x:t>
  </x:si>
  <x:si>
    <x:t xml:space="preserve">API Endpoint Network Details</x:t>
  </x:si>
  <x:si>
    <x:t xml:space="preserve">API Endpoint Pub Address</x:t>
  </x:si>
  <x:si>
    <x:t xml:space="preserve">Service CIDR Block</x:t>
  </x:si>
  <x:si>
    <x:t xml:space="preserve">Pod CIDR Block</x:t>
  </x:si>
  <x:si>
    <x:t xml:space="preserve">API Endpoint NSGs</x:t>
  </x:si>
  <x:si>
    <x:t xml:space="preserve">CompartmentName@Node Pool Name:Node Pool Type</x:t>
  </x:si>
  <x:si>
    <x:t xml:space="preserve">Nodepool Kubernetes Version</x:t>
  </x:si>
  <x:si>
    <x:t xml:space="preserve">Number of Nodes</x:t>
  </x:si>
  <x:si>
    <x:t xml:space="preserve">Nodepool NSGs</x:t>
  </x:si>
  <x:si>
    <x:t xml:space="preserve">Node Placement Configs</x:t>
  </x:si>
  <x:si>
    <x:t xml:space="preserve">Max Pods Per Node</x:t>
  </x:si>
  <x:si>
    <x:t xml:space="preserve">Pod NSGs</x:t>
  </x:si>
  <x:si>
    <x:t xml:space="preserve">Pod Communication Network Details</x:t>
  </x:si>
  <x:si>
    <x:t xml:space="preserve">OKE Labels</x:t>
  </x:si>
  <x:si>
    <x:t xml:space="preserve">Nodepool Defined Tags</x:t>
  </x:si>
  <x:si>
    <x:t xml:space="preserve">Node Defined Tags</x:t>
  </x:si>
  <x:si>
    <x:t xml:space="preserve">LB Defined Tags</x:t>
  </x:si>
  <x:si>
    <x:t xml:space="preserve">Volume Defined Tags</x:t>
  </x:si>
  <x:si>
    <x:t xml:space="preserve">Taints key,value,effect</x:t>
  </x:si>
  <x:si>
    <x:r>
      <x:t xml:space="preserve"># Rows after &lt;END&gt; will not be processed (Sample data is provided for reference after &lt;END&gt;);
Enter Network Details as : </x:t>
    </x:r>
    <x:r>
      <x:rPr>
        <x:sz val="11"/>
        <x:color theme="1"/>
        <x:rFont val="Calibri"/>
        <x:family val="2"/>
        <x:scheme val="minor"/>
      </x:rPr>
      <x:t xml:space="preserve">&lt;Network-Compartment-Name&gt;@&lt;vcn-name&gt;::&lt;subnet-name&gt;
Specify a single regional subnet name (recommended) or two comma seperated subnet names(AD specific) for public Load Balancer and provide a single subnet(Regional or AD specific) for Private load Balancer.
Multiple NSGs and Hostnames can be added as comma separated values.
If you have multiple certificates for a Load Balanacer - specify them in separate rows(example shown below for my_lbr1).
</x:t>
    </x:r>
    <x:r>
      <x:rPr>
        <x:b/>
        <x:sz val="11"/>
        <x:color theme="1"/>
        <x:rFont val="Calibri"/>
        <x:family val="2"/>
        <x:scheme val="minor"/>
      </x:rPr>
      <x:t xml:space="preserve">"Defined Tags"</x:t>
    </x:r>
    <x:r>
      <x:rPr>
        <x:sz val="11"/>
        <x:color theme="1"/>
        <x:rFont val="Calibri"/>
        <x:family val="2"/>
        <x:scheme val="minor"/>
      </x:rPr>
      <x:t xml:space="preserve"> - Specify the defined tag key and its value in the format - &lt;Namespace&gt;.&lt;TagKey&gt;=&lt;Value&gt;  else leave it empty.
                             Multiple Tag Key , Values can be specified using semi colon (;) as the delimiter. 
                            </x:t>
    </x:r>
    <x:r>
      <x:rPr>
        <x:i/>
        <x:sz val="11"/>
        <x:color theme="5" tint="-0.24998"/>
        <x:rFont val="Calibri"/>
        <x:family val="2"/>
        <x:scheme val="minor"/>
      </x:rPr>
      <x:t xml:space="preserve"> Example: Operations.CostCenter=01;Users.Name=user01</x:t>
    </x:r>
    <x:r>
      <x:rPr>
        <x:sz val="11"/>
        <x:color theme="1"/>
        <x:rFont val="Calibri"/>
        <x:family val="2"/>
        <x:scheme val="minor"/>
      </x:rPr>
      <x:t xml:space="preserve">
</x:t>
    </x:r>
  </x:si>
  <x:si>
    <x:t xml:space="preserve">LBR Name</x:t>
  </x:si>
  <x:si>
    <x:t xml:space="preserve">Shape(10Mbps|100Mbps|400Mbps|8000Mbps|flexible)</x:t>
  </x:si>
  <x:si>
    <x:t xml:space="preserve">Minimum Bandwidth In Mbps (Flexible shapes only)</x:t>
  </x:si>
  <x:si>
    <x:t xml:space="preserve">Maximum Bandwidth In Mbps (Flexible shapes only)</x:t>
  </x:si>
  <x:si>
    <x:t xml:space="preserve">Is Private(True|False)</x:t>
  </x:si>
  <x:si>
    <x:t xml:space="preserve">Reserved IP (Y|N|OCID)</x:t>
  </x:si>
  <x:si>
    <x:t xml:space="preserve">LBR Hostname(Name:Hostname)</x:t>
  </x:si>
  <x:si>
    <x:t xml:space="preserve">Certificate Name</x:t>
  </x:si>
  <x:si>
    <x:t xml:space="preserve">CA Cert</x:t>
  </x:si>
  <x:si>
    <x:t xml:space="preserve">Passphrase</x:t>
  </x:si>
  <x:si>
    <x:t xml:space="preserve">Private Key</x:t>
  </x:si>
  <x:si>
    <x:t xml:space="preserve">Public Cert</x:t>
  </x:si>
  <x:si>
    <x:t xml:space="preserve">Cipher Suite Name</x:t>
  </x:si>
  <x:si>
    <x:t xml:space="preserve">Ciphers</x:t>
  </x:si>
  <x:si>
    <x:r>
      <x:t xml:space="preserve"># Rows after &lt;END&gt; will not be processed (Sample data is provided for reference after &lt;END&gt;);
"Backend ServerComp@ServerName:Port"-</x:t>
    </x:r>
    <x:r>
      <x:rPr>
        <x:sz val="11"/>
        <x:color theme="1"/>
        <x:rFont val="Calibri"/>
        <x:family val="2"/>
        <x:scheme val="minor"/>
      </x:rPr>
      <x:t xml:space="preserve"> Specify comma separated list of backends. You can specify Display Name or IP address for </x:t>
    </x:r>
    <x:r>
      <x:rPr>
        <x:b/>
        <x:sz val="11"/>
        <x:color theme="1"/>
        <x:rFont val="Calibri"/>
        <x:family val="2"/>
        <x:scheme val="minor"/>
      </x:rPr>
      <x:t xml:space="preserve">ServerName. ServerComp </x:t>
    </x:r>
    <x:r>
      <x:rPr>
        <x:sz val="11"/>
        <x:color theme="1"/>
        <x:rFont val="Calibri"/>
        <x:family val="2"/>
        <x:scheme val="minor"/>
      </x:rPr>
      <x:t xml:space="preserve">is the name of compartment where instance resides. </x:t>
    </x:r>
    <x:r>
      <x:rPr>
        <x:b/>
        <x:sz val="11"/>
        <x:color theme="1"/>
        <x:rFont val="Calibri"/>
        <x:family val="2"/>
        <x:scheme val="minor"/>
      </x:rPr>
      <x:t xml:space="preserve">ServerComp@ </x:t>
    </x:r>
    <x:r>
      <x:rPr>
        <x:sz val="11"/>
        <x:color theme="1"/>
        <x:rFont val="Calibri"/>
        <x:family val="2"/>
        <x:scheme val="minor"/>
      </x:rPr>
      <x:t xml:space="preserve">can be skipped while specifying IP Address for </x:t>
    </x:r>
    <x:r>
      <x:rPr>
        <x:b/>
        <x:sz val="11"/>
        <x:color theme="1"/>
        <x:rFont val="Calibri"/>
        <x:family val="2"/>
        <x:scheme val="minor"/>
      </x:rPr>
      <x:t xml:space="preserve">ServerName.
"Backup" - </x:t>
    </x:r>
    <x:r>
      <x:rPr>
        <x:sz val="11"/>
        <x:color theme="1"/>
        <x:rFont val="Calibri"/>
        <x:family val="2"/>
        <x:scheme val="minor"/>
      </x:rPr>
      <x:t xml:space="preserve">Speciy comma seperated Backend Server Names to mark as backup, else leave it empty
</x:t>
    </x:r>
    <x:r>
      <x:rPr>
        <x:b/>
        <x:sz val="11"/>
        <x:color theme="1"/>
        <x:rFont val="Calibri"/>
        <x:family val="2"/>
        <x:scheme val="minor"/>
      </x:rPr>
      <x:t xml:space="preserve">"Verify Peer Certificate" </x:t>
    </x:r>
    <x:r>
      <x:rPr>
        <x:sz val="11"/>
        <x:color theme="1"/>
        <x:rFont val="Calibri"/>
        <x:family val="2"/>
        <x:scheme val="minor"/>
      </x:rPr>
      <x:t xml:space="preserve">- Accespts Boolean value ( true | false )</x:t>
    </x:r>
    <x:r>
      <x:rPr>
        <x:b/>
        <x:sz val="11"/>
        <x:color theme="1"/>
        <x:rFont val="Calibri"/>
        <x:family val="2"/>
        <x:scheme val="minor"/>
      </x:rPr>
      <x:t xml:space="preserve">
</x:t>
    </x:r>
    <x:r>
      <x:rPr>
        <x:sz val="11"/>
        <x:color theme="1"/>
        <x:rFont val="Calibri"/>
        <x:family val="2"/>
        <x:scheme val="minor"/>
      </x:rPr>
      <x:t xml:space="preserve">(Multiple Backend Sets for a Load Balancer can be specified in separate rows as shown in </x:t>
    </x:r>
    <x:r>
      <x:rPr>
        <x:i/>
        <x:sz val="11"/>
        <x:color theme="5" tint="-0.24998"/>
        <x:rFont val="Calibri"/>
        <x:family val="2"/>
        <x:scheme val="minor"/>
      </x:rPr>
      <x:t xml:space="preserve">example: </x:t>
    </x:r>
    <x:r>
      <x:rPr>
        <x:sz val="11"/>
        <x:color theme="1"/>
        <x:rFont val="Calibri"/>
        <x:family val="2"/>
        <x:scheme val="minor"/>
      </x:rPr>
      <x:t xml:space="preserve">my_lbr1)</x:t>
    </x:r>
    <x:r>
      <x:rPr>
        <x:b/>
        <x:sz val="11"/>
        <x:color theme="1"/>
        <x:rFont val="Calibri"/>
        <x:family val="2"/>
        <x:scheme val="minor"/>
      </x:rPr>
      <x:t xml:space="preserve">
"Certificate Name or OCID" </x:t>
    </x:r>
    <x:r>
      <x:rPr>
        <x:sz val="11"/>
        <x:color theme="1"/>
        <x:rFont val="Calibri"/>
        <x:family val="2"/>
        <x:scheme val="minor"/>
      </x:rPr>
      <x:t xml:space="preserve">-  Enter the name for Load Balancer Managed Certificates and  the OCID for OCI Managed Certificates</x:t>
    </x:r>
    <x:r>
      <x:rPr>
        <x:b/>
        <x:sz val="11"/>
        <x:color theme="1"/>
        <x:rFont val="Calibri"/>
        <x:family val="2"/>
        <x:scheme val="minor"/>
      </x:rPr>
      <x:t xml:space="preserve">
"Trusted Certificate Authority IDs"</x:t>
    </x:r>
    <x:r>
      <x:rPr>
        <x:sz val="11"/>
        <x:color theme="1"/>
        <x:rFont val="Calibri"/>
        <x:family val="2"/>
        <x:scheme val="minor"/>
      </x:rPr>
      <x:t xml:space="preserve"> - Enter the OCID of Trusted Certificate Authority</x:t>
    </x:r>
  </x:si>
  <x:si>
    <x:t xml:space="preserve">Certificate Name or OCID</x:t>
  </x:si>
  <x:si>
    <x:t xml:space="preserve">Trusted Certificate Authority IDs</x:t>
  </x:si>
  <x:si>
    <x:t xml:space="preserve">Backend Set Name</x:t>
  </x:si>
  <x:si>
    <x:t xml:space="preserve">Backend ServerComp@ServerName:Port</x:t>
  </x:si>
  <x:si>
    <x:t xml:space="preserve">Backend Policy(LEAST_CONNECTIONS|ROUND_ROBIN|IP_HASH)</x:t>
  </x:si>
  <x:si>
    <x:t xml:space="preserve">Backend HealthCheck Protocol(HTTP|TCP)</x:t>
  </x:si>
  <x:si>
    <x:t xml:space="preserve">Backend HealthCheck Port</x:t>
  </x:si>
  <x:si>
    <x:t xml:space="preserve">Backend HealthCheck URL</x:t>
  </x:si>
  <x:si>
    <x:t xml:space="preserve">Backend HealthCheck Interval In Millis</x:t>
  </x:si>
  <x:si>
    <x:t xml:space="preserve">Cookie Session(n|LB|Backend Server)</x:t>
  </x:si>
  <x:si>
    <x:t xml:space="preserve">Cookie Name</x:t>
  </x:si>
  <x:si>
    <x:t xml:space="preserve">Disable Fallback(TRUE|FALSE)</x:t>
  </x:si>
  <x:si>
    <x:t xml:space="preserve">Cookie Path</x:t>
  </x:si>
  <x:si>
    <x:t xml:space="preserve">UseSSL(y|n)</x:t>
  </x:si>
  <x:si>
    <x:t xml:space="preserve">Backup &lt;Backend Server Name&gt;</x:t>
  </x:si>
  <x:si>
    <x:t xml:space="preserve">SSL Protocols</x:t>
  </x:si>
  <x:si>
    <x:t xml:space="preserve">Verify Depth</x:t>
  </x:si>
  <x:si>
    <x:t xml:space="preserve">Verify Peer Certificate</x:t>
  </x:si>
  <x:si>
    <x:r>
      <x:t xml:space="preserve"># Rows after &lt;END&gt; will not be processed (Sample data is provided for reference after &lt;END&gt;);
</x:t>
    </x:r>
    <x:r>
      <x:rPr>
        <x:b/>
        <x:i/>
        <x:sz val="11"/>
        <x:color theme="5" tint="-0.49998"/>
        <x:rFont val="Calibri"/>
        <x:family val="2"/>
        <x:scheme val="minor"/>
      </x:rPr>
      <x:t xml:space="preserve">Note-</x:t>
    </x:r>
    <x:r>
      <x:rPr>
        <x:sz val="11"/>
        <x:color theme="1"/>
        <x:rFont val="Calibri"/>
        <x:family val="2"/>
        <x:scheme val="minor"/>
      </x:rPr>
      <x:t xml:space="preserve">To create a</x:t>
    </x:r>
    <x:r>
      <x:rPr>
        <x:b/>
        <x:sz val="11"/>
        <x:color theme="1"/>
        <x:rFont val="Calibri"/>
        <x:family val="2"/>
        <x:scheme val="minor"/>
      </x:rPr>
      <x:t xml:space="preserve"> HTTPS Listener,</x:t>
    </x:r>
    <x:r>
      <x:rPr>
        <x:sz val="11"/>
        <x:color theme="1"/>
        <x:rFont val="Calibri"/>
        <x:family val="2"/>
        <x:scheme val="minor"/>
      </x:rPr>
      <x:t xml:space="preserve"> specify </x:t>
    </x:r>
    <x:r>
      <x:rPr>
        <x:b/>
        <x:sz val="11"/>
        <x:color theme="1"/>
        <x:rFont val="Calibri"/>
        <x:family val="2"/>
        <x:scheme val="minor"/>
      </x:rPr>
      <x:t xml:space="preserve">"Listener Protocol"</x:t>
    </x:r>
    <x:r>
      <x:rPr>
        <x:sz val="11"/>
        <x:color theme="1"/>
        <x:rFont val="Calibri"/>
        <x:family val="2"/>
        <x:scheme val="minor"/>
      </x:rPr>
      <x:t xml:space="preserve"> as</x:t>
    </x:r>
    <x:r>
      <x:rPr>
        <x:b/>
        <x:sz val="11"/>
        <x:color theme="1"/>
        <x:rFont val="Calibri"/>
        <x:family val="2"/>
        <x:scheme val="minor"/>
      </x:rPr>
      <x:t xml:space="preserve"> HTTP </x:t>
    </x:r>
    <x:r>
      <x:rPr>
        <x:sz val="11"/>
        <x:color theme="1"/>
        <x:rFont val="Calibri"/>
        <x:family val="2"/>
        <x:scheme val="minor"/>
      </x:rPr>
      <x:t xml:space="preserve">and</x:t>
    </x:r>
    <x:r>
      <x:rPr>
        <x:b/>
        <x:sz val="11"/>
        <x:color theme="1"/>
        <x:rFont val="Calibri"/>
        <x:family val="2"/>
        <x:scheme val="minor"/>
      </x:rPr>
      <x:t xml:space="preserve"> "UseSSL" </x:t>
    </x:r>
    <x:r>
      <x:rPr>
        <x:sz val="11"/>
        <x:color theme="1"/>
        <x:rFont val="Calibri"/>
        <x:family val="2"/>
        <x:scheme val="minor"/>
      </x:rPr>
      <x:t xml:space="preserve">as</x:t>
    </x:r>
    <x:r>
      <x:rPr>
        <x:b/>
        <x:sz val="11"/>
        <x:color theme="1"/>
        <x:rFont val="Calibri"/>
        <x:family val="2"/>
        <x:scheme val="minor"/>
      </x:rPr>
      <x:t xml:space="preserve"> 'y'.
"LBR Hostnames" - </x:t>
    </x:r>
    <x:r>
      <x:rPr>
        <x:sz val="11"/>
        <x:color theme="1"/>
        <x:rFont val="Calibri"/>
        <x:family val="2"/>
        <x:scheme val="minor"/>
      </x:rPr>
      <x:t xml:space="preserve">Enter only the 'Name' of the hostname; </x:t>
    </x:r>
    <x:r>
      <x:rPr>
        <x:sz val="11"/>
        <x:color theme="5" tint="-0.24998"/>
        <x:rFont val="Calibri"/>
        <x:family val="2"/>
        <x:scheme val="minor"/>
      </x:rPr>
      <x:t xml:space="preserve">(</x:t>
    </x:r>
    <x:r>
      <x:rPr>
        <x:i/>
        <x:sz val="11"/>
        <x:color theme="5" tint="-0.24998"/>
        <x:rFont val="Calibri"/>
        <x:family val="2"/>
        <x:scheme val="minor"/>
      </x:rPr>
      <x:t xml:space="preserve">example</x:t>
    </x:r>
    <x:r>
      <x:rPr>
        <x:i/>
        <x:sz val="11"/>
        <x:color theme="1"/>
        <x:rFont val="Calibri"/>
        <x:family val="2"/>
        <x:scheme val="minor"/>
      </x:rPr>
      <x:t xml:space="preserve"> is as show below for Listener1</x:t>
    </x:r>
    <x:r>
      <x:rPr>
        <x:sz val="11"/>
        <x:color theme="1"/>
        <x:rFont val="Calibri"/>
        <x:family val="2"/>
        <x:scheme val="minor"/>
      </x:rPr>
      <x:t xml:space="preserve">)
</x:t>
    </x:r>
    <x:r>
      <x:rPr>
        <x:b/>
        <x:sz val="11"/>
        <x:color theme="1"/>
        <x:rFont val="Calibri"/>
        <x:family val="2"/>
        <x:scheme val="minor"/>
      </x:rPr>
      <x:t xml:space="preserve">"LBR Hostnames"</x:t>
    </x:r>
    <x:r>
      <x:rPr>
        <x:sz val="11"/>
        <x:color theme="1"/>
        <x:rFont val="Calibri"/>
        <x:family val="2"/>
        <x:scheme val="minor"/>
      </x:rPr>
      <x:t xml:space="preserve">  and </x:t>
    </x:r>
    <x:r>
      <x:rPr>
        <x:b/>
        <x:sz val="11"/>
        <x:color theme="1"/>
        <x:rFont val="Calibri"/>
        <x:family val="2"/>
        <x:scheme val="minor"/>
      </x:rPr>
      <x:t xml:space="preserve">"Rule Set Names"</x:t>
    </x:r>
    <x:r>
      <x:rPr>
        <x:sz val="11"/>
        <x:color theme="1"/>
        <x:rFont val="Calibri"/>
        <x:family val="2"/>
        <x:scheme val="minor"/>
      </x:rPr>
      <x:t xml:space="preserve"> can be comma separated values.
Listeners for each Backend Set is to be entered in separate rows.(</x:t>
    </x:r>
    <x:r>
      <x:rPr>
        <x:sz val="11"/>
        <x:color theme="5" tint="-0.24998"/>
        <x:rFont val="Calibri"/>
        <x:family val="2"/>
        <x:scheme val="minor"/>
      </x:rPr>
      <x:t xml:space="preserve">e</x:t>
    </x:r>
    <x:r>
      <x:rPr>
        <x:i/>
        <x:sz val="11"/>
        <x:color theme="5" tint="-0.24998"/>
        <x:rFont val="Calibri"/>
        <x:family val="2"/>
        <x:scheme val="minor"/>
      </x:rPr>
      <x:t xml:space="preserve">xample:</x:t>
    </x:r>
    <x:r>
      <x:rPr>
        <x:i/>
        <x:sz val="11"/>
        <x:color theme="1"/>
        <x:rFont val="Calibri"/>
        <x:family val="2"/>
        <x:scheme val="minor"/>
      </x:rPr>
      <x:t xml:space="preserve"> Listener1 and Listener1-2</x:t>
    </x:r>
    <x:r>
      <x:rPr>
        <x:sz val="11"/>
        <x:color theme="1"/>
        <x:rFont val="Calibri"/>
        <x:family val="2"/>
        <x:scheme val="minor"/>
      </x:rPr>
      <x:t xml:space="preserve">)
</x:t>
    </x:r>
    <x:r>
      <x:rPr>
        <x:b/>
        <x:sz val="11"/>
        <x:color theme="1"/>
        <x:rFont val="Calibri"/>
        <x:family val="2"/>
        <x:scheme val="minor"/>
      </x:rPr>
      <x:t xml:space="preserve">"Verify Peer Certificate"</x:t>
    </x:r>
    <x:r>
      <x:rPr>
        <x:sz val="11"/>
        <x:color theme="1"/>
        <x:rFont val="Calibri"/>
        <x:family val="2"/>
        <x:scheme val="minor"/>
      </x:rPr>
      <x:t xml:space="preserve"> - Accepts Boolean Values ( true | false )</x:t>
    </x:r>
    <x:r>
      <x:rPr>
        <x:b/>
        <x:sz val="11"/>
        <x:color theme="1"/>
        <x:rFont val="Calibri"/>
        <x:family val="2"/>
        <x:scheme val="minor"/>
      </x:rPr>
      <x:t xml:space="preserve">
"Certificate Name or OCID" </x:t>
    </x:r>
    <x:r>
      <x:rPr>
        <x:sz val="11"/>
        <x:color theme="1"/>
        <x:rFont val="Calibri"/>
        <x:family val="2"/>
        <x:scheme val="minor"/>
      </x:rPr>
      <x:t xml:space="preserve">-  Enter the name for Load Balancer Managed Certificates and  the OCID for OCI Managed Certificates</x:t>
    </x:r>
    <x:r>
      <x:rPr>
        <x:b/>
        <x:sz val="11"/>
        <x:color theme="1"/>
        <x:rFont val="Calibri"/>
        <x:family val="2"/>
        <x:scheme val="minor"/>
      </x:rPr>
      <x:t xml:space="preserve">
"Trusted Certificate Authority IDs"</x:t>
    </x:r>
    <x:r>
      <x:rPr>
        <x:sz val="11"/>
        <x:color theme="1"/>
        <x:rFont val="Calibri"/>
        <x:family val="2"/>
        <x:scheme val="minor"/>
      </x:rPr>
      <x:t xml:space="preserve"> - Enter the OCID of Trusted Certificate Authority</x:t>
    </x:r>
  </x:si>
  <x:si>
    <x:t xml:space="preserve">LBR Hostnames (Name)</x:t>
  </x:si>
  <x:si>
    <x:t xml:space="preserve">Routing Policy Name</x:t>
  </x:si>
  <x:si>
    <x:t xml:space="preserve">Path Route Set Name</x:t>
  </x:si>
  <x:si>
    <x:t xml:space="preserve">Rule Set Names</x:t>
  </x:si>
  <x:si>
    <x:t xml:space="preserve">UseSSL (y|n)</x:t>
  </x:si>
  <x:si>
    <x:t xml:space="preserve">Listener Name</x:t>
  </x:si>
  <x:si>
    <x:t xml:space="preserve">Listener Protocol (HTTP|TCP)</x:t>
  </x:si>
  <x:si>
    <x:t xml:space="preserve">Listener Port</x:t>
  </x:si>
  <x:si>
    <x:t xml:space="preserve">Idle Time Out (in Seconds)</x:t>
  </x:si>
  <x:si>
    <x:r>
      <x:t xml:space="preserve"># Rows after &lt;END&gt; will not be processed (Sample data is provided for reference after &lt;END&gt;);  
</x:t>
    </x:r>
    <x:r>
      <x:rPr>
        <x:b/>
        <x:i/>
        <x:u val="single"/>
        <x:sz val="11"/>
        <x:color theme="5" tint="-0.24998"/>
        <x:rFont val="Calibri"/>
        <x:family val="2"/>
        <x:scheme val="minor"/>
      </x:rPr>
      <x:t xml:space="preserve">Mandatory Fields and Conditions -</x:t>
    </x:r>
    <x:r>
      <x:rPr>
        <x:b/>
        <x:sz val="11"/>
        <x:color theme="1"/>
        <x:rFont val="Calibri"/>
        <x:family val="2"/>
        <x:scheme val="minor"/>
      </x:rPr>
      <x:t xml:space="preserve">
 "Allowed Method" </x:t>
    </x:r>
    <x:r>
      <x:rPr>
        <x:sz val="11"/>
        <x:color theme="1"/>
        <x:rFont val="Calibri"/>
        <x:family val="2"/>
        <x:scheme val="minor"/>
      </x:rPr>
      <x:t xml:space="preserve">is  </x:t>
    </x:r>
    <x:r>
      <x:rPr>
        <x:b/>
        <x:sz val="11"/>
        <x:color theme="1"/>
        <x:rFont val="Calibri"/>
        <x:family val="2"/>
        <x:scheme val="minor"/>
      </x:rPr>
      <x:t xml:space="preserve">mandatory  </x:t>
    </x:r>
    <x:r>
      <x:rPr>
        <x:sz val="11"/>
        <x:color theme="1"/>
        <x:rFont val="Calibri"/>
        <x:family val="2"/>
        <x:scheme val="minor"/>
      </x:rPr>
      <x:t xml:space="preserve">for</x:t>
    </x:r>
    <x:r>
      <x:rPr>
        <x:b/>
        <x:sz val="11"/>
        <x:color theme="1"/>
        <x:rFont val="Calibri"/>
        <x:family val="2"/>
        <x:scheme val="minor"/>
      </x:rPr>
      <x:t xml:space="preserve"> "Action" - CONTROL_ACCESS_USING_HTTP_METHODS; </x:t>
    </x:r>
    <x:r>
      <x:rPr>
        <x:sz val="11"/>
        <x:color theme="1"/>
        <x:rFont val="Calibri"/>
        <x:family val="2"/>
        <x:scheme val="minor"/>
      </x:rPr>
      <x:t xml:space="preserve">Mention the allowed methods in separate rows if there are more than one for an Action(choose from dropdown)</x:t>
    </x:r>
    <x:r>
      <x:rPr>
        <x:b/>
        <x:sz val="11"/>
        <x:color theme="1"/>
        <x:rFont val="Calibri"/>
        <x:family val="2"/>
        <x:scheme val="minor"/>
      </x:rPr>
      <x:t xml:space="preserve">
 "Allow Invalid Characters (TRUE|FALSE)"</x:t>
    </x:r>
    <x:r>
      <x:rPr>
        <x:sz val="11"/>
        <x:color theme="1"/>
        <x:rFont val="Calibri"/>
        <x:family val="2"/>
        <x:scheme val="minor"/>
      </x:rPr>
      <x:t xml:space="preserve"> is</x:t>
    </x:r>
    <x:r>
      <x:rPr>
        <x:b/>
        <x:sz val="11"/>
        <x:color theme="1"/>
        <x:rFont val="Calibri"/>
        <x:family val="2"/>
        <x:scheme val="minor"/>
      </x:rPr>
      <x:t xml:space="preserve"> mandatory</x:t>
    </x:r>
    <x:r>
      <x:rPr>
        <x:sz val="11"/>
        <x:color theme="1"/>
        <x:rFont val="Calibri"/>
        <x:family val="2"/>
        <x:scheme val="minor"/>
      </x:rPr>
      <x:t xml:space="preserve"> if the </x:t>
    </x:r>
    <x:r>
      <x:rPr>
        <x:b/>
        <x:sz val="11"/>
        <x:color theme="1"/>
        <x:rFont val="Calibri"/>
        <x:family val="2"/>
        <x:scheme val="minor"/>
      </x:rPr>
      <x:t xml:space="preserve">"Action" </x:t>
    </x:r>
    <x:r>
      <x:rPr>
        <x:sz val="11"/>
        <x:color theme="1"/>
        <x:rFont val="Calibri"/>
        <x:family val="2"/>
        <x:scheme val="minor"/>
      </x:rPr>
      <x:t xml:space="preserve">is</x:t>
    </x:r>
    <x:r>
      <x:rPr>
        <x:b/>
        <x:sz val="11"/>
        <x:color theme="1"/>
        <x:rFont val="Calibri"/>
        <x:family val="2"/>
        <x:scheme val="minor"/>
      </x:rPr>
      <x:t xml:space="preserve"> "HTTP_HEADER"
 "Attribute Name | Attribute Value" </x:t>
    </x:r>
    <x:r>
      <x:rPr>
        <x:sz val="11"/>
        <x:color theme="1"/>
        <x:rFont val="Calibri"/>
        <x:family val="2"/>
        <x:scheme val="minor"/>
      </x:rPr>
      <x:t xml:space="preserve">is </x:t>
    </x:r>
    <x:r>
      <x:rPr>
        <x:b/>
        <x:sz val="11"/>
        <x:color theme="1"/>
        <x:rFont val="Calibri"/>
        <x:family val="2"/>
        <x:scheme val="minor"/>
      </x:rPr>
      <x:t xml:space="preserve">mandatory</x:t>
    </x:r>
    <x:r>
      <x:rPr>
        <x:sz val="11"/>
        <x:color theme="1"/>
        <x:rFont val="Calibri"/>
        <x:family val="2"/>
        <x:scheme val="minor"/>
      </x:rPr>
      <x:t xml:space="preserve"> if the </x:t>
    </x:r>
    <x:r>
      <x:rPr>
        <x:b/>
        <x:sz val="11"/>
        <x:color theme="1"/>
        <x:rFont val="Calibri"/>
        <x:family val="2"/>
        <x:scheme val="minor"/>
      </x:rPr>
      <x:t xml:space="preserve">"Action" </x:t>
    </x:r>
    <x:r>
      <x:rPr>
        <x:sz val="11"/>
        <x:color theme="1"/>
        <x:rFont val="Calibri"/>
        <x:family val="2"/>
        <x:scheme val="minor"/>
      </x:rPr>
      <x:t xml:space="preserve">is</x:t>
    </x:r>
    <x:r>
      <x:rPr>
        <x:b/>
        <x:sz val="11"/>
        <x:color theme="1"/>
        <x:rFont val="Calibri"/>
        <x:family val="2"/>
        <x:scheme val="minor"/>
      </x:rPr>
      <x:t xml:space="preserve"> "ALLOW | REDIRECT"
"Attribute Value" </x:t>
    </x:r>
    <x:r>
      <x:rPr>
        <x:sz val="11"/>
        <x:color theme="1"/>
        <x:rFont val="Calibri"/>
        <x:family val="2"/>
        <x:scheme val="minor"/>
      </x:rPr>
      <x:t xml:space="preserve">is </x:t>
    </x:r>
    <x:r>
      <x:rPr>
        <x:b/>
        <x:sz val="11"/>
        <x:color theme="1"/>
        <x:rFont val="Calibri"/>
        <x:family val="2"/>
        <x:scheme val="minor"/>
      </x:rPr>
      <x:t xml:space="preserve">required </x:t>
    </x:r>
    <x:r>
      <x:rPr>
        <x:sz val="11"/>
        <x:color theme="1"/>
        <x:rFont val="Calibri"/>
        <x:family val="2"/>
        <x:scheme val="minor"/>
      </x:rPr>
      <x:t xml:space="preserve">when</x:t>
    </x:r>
    <x:r>
      <x:rPr>
        <x:b/>
        <x:sz val="11"/>
        <x:color theme="1"/>
        <x:rFont val="Calibri"/>
        <x:family val="2"/>
        <x:scheme val="minor"/>
      </x:rPr>
      <x:t xml:space="preserve"> "Attribute Name" </x:t>
    </x:r>
    <x:r>
      <x:rPr>
        <x:sz val="11"/>
        <x:color theme="1"/>
        <x:rFont val="Calibri"/>
        <x:family val="2"/>
        <x:scheme val="minor"/>
      </x:rPr>
      <x:t xml:space="preserve">is</x:t>
    </x:r>
    <x:r>
      <x:rPr>
        <x:b/>
        <x:sz val="11"/>
        <x:color theme="1"/>
        <x:rFont val="Calibri"/>
        <x:family val="2"/>
        <x:scheme val="minor"/>
      </x:rPr>
      <x:t xml:space="preserve"> SOURCE_IP_ADDRESS|SOURCE_VCN_IP_ADDRESS |SOURCE_VCN_ID"
"Description Of Access Control" is applied only when "Action" is "ALLOW"
 "Operator"  </x:t>
    </x:r>
    <x:r>
      <x:rPr>
        <x:sz val="11"/>
        <x:color theme="1"/>
        <x:rFont val="Calibri"/>
        <x:family val="2"/>
        <x:scheme val="minor"/>
      </x:rPr>
      <x:t xml:space="preserve">is</x:t>
    </x:r>
    <x:r>
      <x:rPr>
        <x:b/>
        <x:sz val="11"/>
        <x:color theme="1"/>
        <x:rFont val="Calibri"/>
        <x:family val="2"/>
        <x:scheme val="minor"/>
      </x:rPr>
      <x:t xml:space="preserve"> mandatory </x:t>
    </x:r>
    <x:r>
      <x:rPr>
        <x:sz val="11"/>
        <x:color theme="1"/>
        <x:rFont val="Calibri"/>
        <x:family val="2"/>
        <x:scheme val="minor"/>
      </x:rPr>
      <x:t xml:space="preserve">if the</x:t>
    </x:r>
    <x:r>
      <x:rPr>
        <x:b/>
        <x:sz val="11"/>
        <x:color theme="1"/>
        <x:rFont val="Calibri"/>
        <x:family val="2"/>
        <x:scheme val="minor"/>
      </x:rPr>
      <x:t xml:space="preserve"> "Attribute Name" </x:t>
    </x:r>
    <x:r>
      <x:rPr>
        <x:sz val="11"/>
        <x:color theme="1"/>
        <x:rFont val="Calibri"/>
        <x:family val="2"/>
        <x:scheme val="minor"/>
      </x:rPr>
      <x:t xml:space="preserve">is </x:t>
    </x:r>
    <x:r>
      <x:rPr>
        <x:b/>
        <x:sz val="11"/>
        <x:color theme="1"/>
        <x:rFont val="Calibri"/>
        <x:family val="2"/>
        <x:scheme val="minor"/>
      </x:rPr>
      <x:t xml:space="preserve">"PATH"
"Header" </x:t>
    </x:r>
    <x:r>
      <x:rPr>
        <x:sz val="11"/>
        <x:color theme="1"/>
        <x:rFont val="Calibri"/>
        <x:family val="2"/>
        <x:scheme val="minor"/>
      </x:rPr>
      <x:t xml:space="preserve">is</x:t>
    </x:r>
    <x:r>
      <x:rPr>
        <x:b/>
        <x:sz val="11"/>
        <x:color theme="1"/>
        <x:rFont val="Calibri"/>
        <x:family val="2"/>
        <x:scheme val="minor"/>
      </x:rPr>
      <x:t xml:space="preserve"> mandatory </x:t>
    </x:r>
    <x:r>
      <x:rPr>
        <x:sz val="11"/>
        <x:color theme="1"/>
        <x:rFont val="Calibri"/>
        <x:family val="2"/>
        <x:scheme val="minor"/>
      </x:rPr>
      <x:t xml:space="preserve">only when</x:t>
    </x:r>
    <x:r>
      <x:rPr>
        <x:b/>
        <x:sz val="11"/>
        <x:color theme="1"/>
        <x:rFont val="Calibri"/>
        <x:family val="2"/>
        <x:scheme val="minor"/>
      </x:rPr>
      <x:t xml:space="preserve"> "Action" </x:t>
    </x:r>
    <x:r>
      <x:rPr>
        <x:sz val="11"/>
        <x:color theme="1"/>
        <x:rFont val="Calibri"/>
        <x:family val="2"/>
        <x:scheme val="minor"/>
      </x:rPr>
      <x:t xml:space="preserve">is</x:t>
    </x:r>
    <x:r>
      <x:rPr>
        <x:b/>
        <x:sz val="11"/>
        <x:color theme="1"/>
        <x:rFont val="Calibri"/>
        <x:family val="2"/>
        <x:scheme val="minor"/>
      </x:rPr>
      <x:t xml:space="preserve"> *HEADER*
</x:t>
    </x:r>
  </x:si>
  <x:si>
    <x:r>
      <x:rPr>
        <x:b/>
        <x:sz val="11"/>
        <x:color theme="1"/>
        <x:rFont val="Calibri"/>
        <x:family val="2"/>
        <x:scheme val="minor"/>
      </x:rPr>
      <x:t xml:space="preserve">"Suffix"</x:t>
    </x:r>
    <x:r>
      <x:rPr>
        <x:sz val="11"/>
        <x:color theme="1"/>
        <x:rFont val="Calibri"/>
        <x:family val="2"/>
        <x:scheme val="minor"/>
      </x:rPr>
      <x:t xml:space="preserve"> and </x:t>
    </x:r>
    <x:r>
      <x:rPr>
        <x:b/>
        <x:sz val="11"/>
        <x:color theme="1"/>
        <x:rFont val="Calibri"/>
        <x:family val="2"/>
        <x:scheme val="minor"/>
      </x:rPr>
      <x:t xml:space="preserve">"Prefix" </x:t>
    </x:r>
    <x:r>
      <x:rPr>
        <x:sz val="11"/>
        <x:color theme="1"/>
        <x:rFont val="Calibri"/>
        <x:family val="2"/>
        <x:scheme val="minor"/>
      </x:rPr>
      <x:t xml:space="preserve">are applied only of the</x:t>
    </x:r>
    <x:r>
      <x:rPr>
        <x:b/>
        <x:sz val="11"/>
        <x:color theme="1"/>
        <x:rFont val="Calibri"/>
        <x:family val="2"/>
        <x:scheme val="minor"/>
      </x:rPr>
      <x:t xml:space="preserve"> "Action"</x:t>
    </x:r>
    <x:r>
      <x:rPr>
        <x:sz val="11"/>
        <x:color theme="1"/>
        <x:rFont val="Calibri"/>
        <x:family val="2"/>
        <x:scheme val="minor"/>
      </x:rPr>
      <x:t xml:space="preserve"> is </x:t>
    </x:r>
    <x:r>
      <x:rPr>
        <x:b/>
        <x:sz val="11"/>
        <x:color theme="1"/>
        <x:rFont val="Calibri"/>
        <x:family val="2"/>
        <x:scheme val="minor"/>
      </x:rPr>
      <x:t xml:space="preserve">"EXTEND_HTTP_REQUEST_HEADER_VALUE | EXTEND_HTTP_RESPONSE_HEADER_VALUE"</x:t>
    </x:r>
    <x:r>
      <x:rPr>
        <x:sz val="11"/>
        <x:color theme="1"/>
        <x:rFont val="Calibri"/>
        <x:family val="2"/>
        <x:scheme val="minor"/>
      </x:rPr>
      <x:t xml:space="preserve">; Specify as</x:t>
    </x:r>
    <x:r>
      <x:rPr>
        <x:b/>
        <x:i/>
        <x:sz val="11"/>
        <x:color theme="1"/>
        <x:rFont val="Calibri"/>
        <x:family val="2"/>
        <x:scheme val="minor"/>
      </x:rPr>
      <x:t xml:space="preserve"> suffix:&lt;value&gt;</x:t>
    </x:r>
    <x:r>
      <x:rPr>
        <x:sz val="11"/>
        <x:color theme="1"/>
        <x:rFont val="Calibri"/>
        <x:family val="2"/>
        <x:scheme val="minor"/>
      </x:rPr>
      <x:t xml:space="preserve"> or </x:t>
    </x:r>
    <x:r>
      <x:rPr>
        <x:b/>
        <x:i/>
        <x:sz val="11"/>
        <x:color theme="1"/>
        <x:rFont val="Calibri"/>
        <x:family val="2"/>
        <x:scheme val="minor"/>
      </x:rPr>
      <x:t xml:space="preserve">prefix:&lt;value&gt;</x:t>
    </x:r>
    <x:r>
      <x:rPr>
        <x:sz val="11"/>
        <x:color theme="1"/>
        <x:rFont val="Calibri"/>
        <x:family val="2"/>
        <x:scheme val="minor"/>
      </x:rPr>
      <x:t xml:space="preserve">; if you want to mention both of then enter it as -</x:t>
    </x:r>
    <x:r>
      <x:rPr>
        <x:b/>
        <x:i/>
        <x:sz val="11"/>
        <x:color theme="1"/>
        <x:rFont val="Calibri"/>
        <x:family val="2"/>
        <x:scheme val="minor"/>
      </x:rPr>
      <x:t xml:space="preserve">suffix:&lt;value&gt;,prefix:&lt;value&gt;</x:t>
    </x:r>
    <x:r>
      <x:rPr>
        <x:sz val="11"/>
        <x:color theme="1"/>
        <x:rFont val="Calibri"/>
        <x:family val="2"/>
        <x:scheme val="minor"/>
      </x:rPr>
      <x:t xml:space="preserve">
</x:t>
    </x:r>
    <x:r>
      <x:rPr>
        <x:b/>
        <x:sz val="11"/>
        <x:color theme="1"/>
        <x:rFont val="Calibri"/>
        <x:family val="2"/>
        <x:scheme val="minor"/>
      </x:rPr>
      <x:t xml:space="preserve">"Redirect URI Host, Protocol,Port, Path, Query and Response Code" </x:t>
    </x:r>
    <x:r>
      <x:rPr>
        <x:sz val="11"/>
        <x:color theme="1"/>
        <x:rFont val="Calibri"/>
        <x:family val="2"/>
        <x:scheme val="minor"/>
      </x:rPr>
      <x:t xml:space="preserve">is applied only if the </x:t>
    </x:r>
    <x:r>
      <x:rPr>
        <x:b/>
        <x:sz val="11"/>
        <x:color theme="1"/>
        <x:rFont val="Calibri"/>
        <x:family val="2"/>
        <x:scheme val="minor"/>
      </x:rPr>
      <x:t xml:space="preserve">"Action" </x:t>
    </x:r>
    <x:r>
      <x:rPr>
        <x:sz val="11"/>
        <x:color theme="1"/>
        <x:rFont val="Calibri"/>
        <x:family val="2"/>
        <x:scheme val="minor"/>
      </x:rPr>
      <x:t xml:space="preserve">is </x:t>
    </x:r>
    <x:r>
      <x:rPr>
        <x:b/>
        <x:sz val="11"/>
        <x:color theme="1"/>
        <x:rFont val="Calibri"/>
        <x:family val="2"/>
        <x:scheme val="minor"/>
      </x:rPr>
      <x:t xml:space="preserve">"REDIRECT"</x:t>
    </x:r>
    <x:r>
      <x:rPr>
        <x:sz val="11"/>
        <x:color theme="1"/>
        <x:rFont val="Calibri"/>
        <x:family val="2"/>
        <x:scheme val="minor"/>
      </x:rPr>
      <x:t xml:space="preserve">
</x:t>
    </x:r>
    <x:r>
      <x:rPr>
        <x:b/>
        <x:sz val="11"/>
        <x:color theme="1"/>
        <x:rFont val="Calibri"/>
        <x:family val="2"/>
        <x:scheme val="minor"/>
      </x:rPr>
      <x:t xml:space="preserve">"Status Code"</x:t>
    </x:r>
    <x:r>
      <x:rPr>
        <x:sz val="11"/>
        <x:color theme="1"/>
        <x:rFont val="Calibri"/>
        <x:family val="2"/>
        <x:scheme val="minor"/>
      </x:rPr>
      <x:t xml:space="preserve"> is applied when Action is </x:t>
    </x:r>
    <x:r>
      <x:rPr>
        <x:b/>
        <x:sz val="11"/>
        <x:color theme="1"/>
        <x:rFont val="Calibri"/>
        <x:family val="2"/>
        <x:scheme val="minor"/>
      </x:rPr>
      <x:t xml:space="preserve">"CONTROL_ACCESS_USING_HTTP_METHODS"</x:t>
    </x:r>
    <x:r>
      <x:rPr>
        <x:sz val="11"/>
        <x:color theme="1"/>
        <x:rFont val="Calibri"/>
        <x:family val="2"/>
        <x:scheme val="minor"/>
      </x:rPr>
      <x:t xml:space="preserve">
</x:t>
    </x:r>
    <x:r>
      <x:rPr>
        <x:b/>
        <x:sz val="11"/>
        <x:color theme="1"/>
        <x:rFont val="Calibri"/>
        <x:family val="2"/>
        <x:scheme val="minor"/>
      </x:rPr>
      <x:t xml:space="preserve">"Value"</x:t>
    </x:r>
    <x:r>
      <x:rPr>
        <x:sz val="11"/>
        <x:color theme="1"/>
        <x:rFont val="Calibri"/>
        <x:family val="2"/>
        <x:scheme val="minor"/>
      </x:rPr>
      <x:t xml:space="preserve"> is mandatory if the </x:t>
    </x:r>
    <x:r>
      <x:rPr>
        <x:b/>
        <x:sz val="11"/>
        <x:color theme="1"/>
        <x:rFont val="Calibri"/>
        <x:family val="2"/>
        <x:scheme val="minor"/>
      </x:rPr>
      <x:t xml:space="preserve">"Action"</x:t>
    </x:r>
    <x:r>
      <x:rPr>
        <x:sz val="11"/>
        <x:color theme="1"/>
        <x:rFont val="Calibri"/>
        <x:family val="2"/>
        <x:scheme val="minor"/>
      </x:rPr>
      <x:t xml:space="preserve"> is </x:t>
    </x:r>
    <x:r>
      <x:rPr>
        <x:b/>
        <x:sz val="11"/>
        <x:color theme="1"/>
        <x:rFont val="Calibri"/>
        <x:family val="2"/>
        <x:scheme val="minor"/>
      </x:rPr>
      <x:t xml:space="preserve">"ADD_HTTP_REQUEST_HEADER | ADD_HTTP_RESPONSE_HEADER"</x:t>
    </x:r>
  </x:si>
  <x:si>
    <x:t xml:space="preserve">Rule Set Name</x:t>
  </x:si>
  <x:si>
    <x:t xml:space="preserve">Action</x:t>
  </x:si>
  <x:si>
    <x:t xml:space="preserve">Allowed Methods</x:t>
  </x:si>
  <x:si>
    <x:t xml:space="preserve">Allow Invalid Characters (TRUE|FALSE)</x:t>
  </x:si>
  <x:si>
    <x:t xml:space="preserve">HTTP Header Size(in kB)</x:t>
  </x:si>
  <x:si>
    <x:t xml:space="preserve">Attribute Name</x:t>
  </x:si>
  <x:si>
    <x:t xml:space="preserve">Attribute Value</x:t>
  </x:si>
  <x:si>
    <x:t xml:space="preserve">Description of Access Control Rule</x:t>
  </x:si>
  <x:si>
    <x:t xml:space="preserve">Operator</x:t>
  </x:si>
  <x:si>
    <x:t xml:space="preserve">Header</x:t>
  </x:si>
  <x:si>
    <x:t xml:space="preserve">Redirect URI Host:Port</x:t>
  </x:si>
  <x:si>
    <x:t xml:space="preserve">Redirect URI Protocol:Path</x:t>
  </x:si>
  <x:si>
    <x:t xml:space="preserve">Redirect URI Query</x:t>
  </x:si>
  <x:si>
    <x:t xml:space="preserve">Response Code</x:t>
  </x:si>
  <x:si>
    <x:t xml:space="preserve">Suffix or Prefix (suffix:&lt;value&gt;|prefix:&lt;value&gt;)</x:t>
  </x:si>
  <x:si>
    <x:t xml:space="preserve">Status Code</x:t>
  </x:si>
  <x:si>
    <x:r>
      <x:t xml:space="preserve"># Rows after &lt;END&gt; will not be processed (Sample data is provided for reference after &lt;END&gt;);
</x:t>
    </x:r>
    <x:r>
      <x:rPr>
        <x:sz val="11"/>
        <x:color theme="1"/>
        <x:rFont val="Calibri"/>
        <x:family val="2"/>
        <x:scheme val="minor"/>
      </x:rPr>
      <x:t xml:space="preserve">To specify multiple Path Route Sets for a Load Balancer specify them in separate rows (one row for each Backend Set)</x:t>
    </x:r>
    <x:r>
      <x:rPr>
        <x:i/>
        <x:sz val="11"/>
        <x:color theme="5" tint="-0.24998"/>
        <x:rFont val="Calibri"/>
        <x:family val="2"/>
        <x:scheme val="minor"/>
      </x:rPr>
      <x:t xml:space="preserve"> example: </x:t>
    </x:r>
    <x:r>
      <x:rPr>
        <x:i/>
        <x:sz val="11"/>
        <x:color theme="1"/>
        <x:rFont val="Calibri"/>
        <x:family val="2"/>
        <x:scheme val="minor"/>
      </x:rPr>
      <x:t xml:space="preserve">my_lbr1 below.</x:t>
    </x:r>
    <x:r>
      <x:rPr>
        <x:b/>
        <x:i/>
        <x:sz val="11"/>
        <x:color theme="5" tint="-0.24998"/>
        <x:rFont val="Calibri"/>
        <x:family val="2"/>
        <x:scheme val="minor"/>
      </x:rPr>
      <x:t xml:space="preserve">
</x:t>
    </x:r>
  </x:si>
  <x:si>
    <x:t xml:space="preserve">Match Type</x:t>
  </x:si>
  <x:si>
    <x:r>
      <x:rPr>
        <x:b/>
        <x:sz val="11"/>
        <x:color theme="1"/>
        <x:rFont val="Calibri"/>
        <x:family val="2"/>
        <x:scheme val="minor"/>
      </x:rPr>
      <x:t xml:space="preserve"># Rows after &lt;END&gt; will not be processed (Sample data is provided for reference after &lt;END&gt;);</x:t>
    </x:r>
    <x:r>
      <x:rPr>
        <x:sz val="11"/>
        <x:color theme="1"/>
        <x:rFont val="Calibri"/>
        <x:family val="2"/>
        <x:scheme val="minor"/>
      </x:rPr>
      <x:t xml:space="preserve">
To specify multiple Routing Policies for a Load Balancer specify them in separate rows (one row for each Policy) example: my_lbr1 below.
</x:t>
    </x:r>
    <x:r>
      <x:rPr>
        <x:b/>
        <x:sz val="11"/>
        <x:color theme="1"/>
        <x:rFont val="Calibri"/>
        <x:family val="2"/>
        <x:scheme val="minor"/>
      </x:rPr>
      <x:t xml:space="preserve">"Rules" - </x:t>
    </x:r>
    <x:r>
      <x:rPr>
        <x:sz val="11"/>
        <x:color theme="1"/>
        <x:rFont val="Calibri"/>
        <x:family val="2"/>
        <x:scheme val="minor"/>
      </x:rPr>
      <x:t xml:space="preserve">Format:  rule_name::conditions::backendset_name; Multiple rules are seperated by newline in the same cell(\n is not supported)
</x:t>
    </x:r>
  </x:si>
  <x:si>
    <x:t xml:space="preserve"># Rows after &lt;END&gt; will not be processed (Sample data is provided for reference after &lt;END&gt;);
</x:t>
  </x:si>
  <x:si>
    <x:t xml:space="preserve">NLB Name</x:t>
  </x:si>
  <x:si>
    <x:t xml:space="preserve">Is Preserve Source Destination(True|False)</x:t>
  </x:si>
  <x:si>
    <x:t xml:space="preserve">Reserved IP(Y|N|OCID)</x:t>
  </x:si>
  <x:si>
    <x:t xml:space="preserve">Listener Protocol(UDP|TCP|UDP/TCP|Any)</x:t>
  </x:si>
  <x:si>
    <x:t xml:space="preserve">Backend Policy(FIVE_TUPLE|THREE_TUPLE|TWO_TUPLE)</x:t>
  </x:si>
  <x:si>
    <x:t xml:space="preserve">Is Preserve Source(True|False)</x:t>
  </x:si>
  <x:si>
    <x:t xml:space="preserve">Backend HealthCheck Protocol(HTTP|HTTPS|TCP|UDP|DNS)</x:t>
  </x:si>
  <x:si>
    <x:r>
      <x:t xml:space="preserve"># Rows after &lt;END&gt; will not be processed (Sample data is provided for reference after &lt;END&gt;);
"DB Name" -</x:t>
    </x:r>
    <x:r>
      <x:rPr>
        <x:sz val="11"/>
        <x:color theme="1"/>
        <x:rFont val="Calibri"/>
        <x:family val="2"/>
        <x:scheme val="minor"/>
      </x:rPr>
      <x:t xml:space="preserve"> Should Not be more than 14 character and should contain only Alpha-Numeric Characters.
</x:t>
    </x:r>
    <x:r>
      <x:rPr>
        <x:b/>
        <x:sz val="11"/>
        <x:color theme="1"/>
        <x:rFont val="Calibri"/>
        <x:family val="2"/>
        <x:scheme val="minor"/>
      </x:rPr>
      <x:t xml:space="preserve">"Admin Password" -</x:t>
    </x:r>
    <x:r>
      <x:rPr>
        <x:sz val="11"/>
        <x:color theme="1"/>
        <x:rFont val="Calibri"/>
        <x:family val="2"/>
        <x:scheme val="minor"/>
      </x:rPr>
      <x:t xml:space="preserve"> Password must be 9 to 30 characters and contain at least 2 uppercase, 2 lowercase, 2 special, and 2 numeric 
                                  characters. The special characters must be _, #, or -. You can also provide vault secret ocid in case password is stored in a vault.
</x:t>
    </x:r>
    <x:r>
      <x:rPr>
        <x:b/>
        <x:sz val="11"/>
        <x:color theme="1"/>
        <x:rFont val="Calibri"/>
        <x:family val="2"/>
        <x:scheme val="minor"/>
      </x:rPr>
      <x:t xml:space="preserve">"Database Edition"-</x:t>
    </x:r>
    <x:r>
      <x:rPr>
        <x:sz val="11"/>
        <x:color theme="1"/>
        <x:rFont val="Calibri"/>
        <x:family val="2"/>
        <x:scheme val="minor"/>
      </x:rPr>
      <x:t xml:space="preserve"> This field should be provided only for BYOL license model. Leave empty for License_Included
</x:t>
    </x:r>
    <x:r>
      <x:rPr>
        <x:b/>
        <x:sz val="11"/>
        <x:color theme="1"/>
        <x:rFont val="Calibri"/>
        <x:family val="2"/>
        <x:scheme val="minor"/>
      </x:rPr>
      <x:t xml:space="preserve">"Whitelisted IP Addresses" -</x:t>
    </x:r>
    <x:r>
      <x:rPr>
        <x:sz val="11"/>
        <x:color theme="1"/>
        <x:rFont val="Calibri"/>
        <x:family val="2"/>
        <x:scheme val="minor"/>
      </x:rPr>
      <x:t xml:space="preserve"> Provide comma seperated IP addresses to restrict access to specified IP addresses
</x:t>
    </x:r>
    <x:r>
      <x:rPr>
        <x:b/>
        <x:sz val="11"/>
        <x:color theme="1"/>
        <x:rFont val="Calibri"/>
        <x:family val="2"/>
        <x:scheme val="minor"/>
      </x:rPr>
      <x:t xml:space="preserve">"Network Details" </x:t>
    </x:r>
    <x:r>
      <x:rPr>
        <x:sz val="11"/>
        <x:color theme="1"/>
        <x:rFont val="Calibri"/>
        <x:family val="2"/>
        <x:scheme val="minor"/>
      </x:rPr>
      <x:t xml:space="preserve">- Provide this detail to restrict access to a private endpoint within an OCI VCN in the format &lt;network-compartment-name&gt;@&lt;vcn-name&gt;::&lt;subnet-name&gt;
</x:t>
    </x:r>
    <x:r>
      <x:rPr>
        <x:b/>
        <x:sz val="11"/>
        <x:color theme="1"/>
        <x:rFont val="Calibri"/>
        <x:family val="2"/>
        <x:scheme val="minor"/>
      </x:rPr>
      <x:t xml:space="preserve">"Network Details" and "NSGs"- </x:t>
    </x:r>
    <x:r>
      <x:rPr>
        <x:sz val="11"/>
        <x:color theme="1"/>
        <x:rFont val="Calibri"/>
        <x:family val="2"/>
        <x:scheme val="minor"/>
      </x:rPr>
      <x:t xml:space="preserve">These fields should only be provided for private access
</x:t>
    </x:r>
    <x:r>
      <x:rPr>
        <x:b/>
        <x:sz val="11"/>
        <x:color theme="1"/>
        <x:rFont val="Calibri"/>
        <x:family val="2"/>
        <x:scheme val="minor"/>
      </x:rPr>
      <x:t xml:space="preserve">"CPU Detail" - </x:t>
    </x:r>
    <x:r>
      <x:rPr>
        <x:sz val="11"/>
        <x:color theme="1"/>
        <x:rFont val="Calibri"/>
        <x:family val="2"/>
        <x:scheme val="minor"/>
      </x:rPr>
      <x:t xml:space="preserve">&lt;model&gt;::&lt;core_count&gt; eg ECPU::1 or OCPU::1</x:t>
    </x:r>
    <x:r>
      <x:rPr>
        <x:b/>
        <x:sz val="11"/>
        <x:color theme="1"/>
        <x:rFont val="Calibri"/>
        <x:family val="2"/>
        <x:scheme val="minor"/>
      </x:rPr>
      <x:t xml:space="preserve">
"Data Storage Size" -</x:t>
    </x:r>
    <x:r>
      <x:rPr>
        <x:sz val="11"/>
        <x:color theme="1"/>
        <x:rFont val="Calibri"/>
        <x:family val="2"/>
        <x:scheme val="minor"/>
      </x:rPr>
      <x:t xml:space="preserve"> eg TB::1 or GB::1045
</x:t>
    </x:r>
    <x:r>
      <x:rPr>
        <x:b/>
        <x:sz val="11"/>
        <x:color theme="1"/>
        <x:rFont val="Calibri"/>
        <x:family val="2"/>
        <x:scheme val="minor"/>
      </x:rPr>
      <x:t xml:space="preserve">"Defined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 </x:t>
    </x:r>
    <x:r>
      <x:rPr>
        <x:b/>
        <x:sz val="11"/>
        <x:color theme="1"/>
        <x:rFont val="Calibri"/>
        <x:family val="2"/>
        <x:scheme val="minor"/>
      </x:rPr>
      <x:t xml:space="preserve">
                            </x:t>
    </x:r>
    <x:r>
      <x:rPr>
        <x:i/>
        <x:sz val="11"/>
        <x:color theme="5"/>
        <x:rFont val="Calibri"/>
        <x:family val="2"/>
        <x:scheme val="minor"/>
      </x:rPr>
      <x:t xml:space="preserve"> </x:t>
    </x:r>
    <x:r>
      <x:rPr>
        <x:i/>
        <x:sz val="11"/>
        <x:color theme="5" tint="-0.24998"/>
        <x:rFont val="Calibri"/>
        <x:family val="2"/>
        <x:scheme val="minor"/>
      </x:rPr>
      <x:t xml:space="preserve">Example: Operations.CostCenter=01;Users.Name=user01</x:t>
    </x:r>
  </x:si>
  <x:si>
    <x:t xml:space="preserve">ADB Display Name</x:t>
  </x:si>
  <x:si>
    <x:t xml:space="preserve">Source ID</x:t>
  </x:si>
  <x:si>
    <x:t xml:space="preserve">Whitelisted IP Addresses</x:t>
  </x:si>
  <x:si>
    <x:t xml:space="preserve">DB Name</x:t>
  </x:si>
  <x:si>
    <x:t xml:space="preserve">Database Edition</x:t>
  </x:si>
  <x:si>
    <x:t xml:space="preserve">Admin Password</x:t>
  </x:si>
  <x:si>
    <x:t xml:space="preserve">CPU Detail</x:t>
  </x:si>
  <x:si>
    <x:t xml:space="preserve">Private Endpoint IP</x:t>
  </x:si>
  <x:si>
    <x:t xml:space="preserve">Is Auto Scaling Enabled</x:t>
  </x:si>
  <x:si>
    <x:t xml:space="preserve">Data Storage Size</x:t>
  </x:si>
  <x:si>
    <x:t xml:space="preserve">Database Workload</x:t>
  </x:si>
  <x:si>
    <x:t xml:space="preserve">DB Version</x:t>
  </x:si>
  <x:si>
    <x:t xml:space="preserve">License Model</x:t>
  </x:si>
  <x:si>
    <x:t xml:space="preserve">Character Set</x:t>
  </x:si>
  <x:si>
    <x:t xml:space="preserve">nCharacter Set</x:t>
  </x:si>
  <x:si>
    <x:r>
      <x:t xml:space="preserve"># Rows after &lt;END&gt; will not be processed (Sample data is provided for reference after &lt;END&gt;);
</x:t>
    </x:r>
    <x:r>
      <x:rPr>
        <x:sz val="11"/>
        <x:color theme="1"/>
        <x:rFont val="Calibri"/>
        <x:family val="2"/>
        <x:scheme val="minor"/>
      </x:rPr>
      <x:t xml:space="preserve">The Node count must be specififed as per the shape selected.
If VM DB System node count is "2" then Software edition must be "ENTERPRISE_EDITION_EXTREME_PERFORMANCE" </x:t>
    </x:r>
    <x:r>
      <x:rPr>
        <x:b/>
        <x:sz val="11"/>
        <x:color theme="1"/>
        <x:rFont val="Calibri"/>
        <x:family val="2"/>
        <x:scheme val="minor"/>
      </x:rPr>
      <x:t xml:space="preserve">
Enter Network Details as : </x:t>
    </x:r>
    <x:r>
      <x:rPr>
        <x:sz val="11"/>
        <x:color theme="1"/>
        <x:rFont val="Calibri"/>
        <x:family val="2"/>
        <x:scheme val="minor"/>
      </x:rPr>
      <x:t xml:space="preserve">&lt;Network-Compartment-Name&gt;@&lt;vcn-name&gt;::&lt;subnet-name&gt;</x:t>
    </x:r>
    <x:r>
      <x:rPr>
        <x:b/>
        <x:sz val="11"/>
        <x:color theme="1"/>
        <x:rFont val="Calibri"/>
        <x:family val="2"/>
        <x:scheme val="minor"/>
      </x:rPr>
      <x:t xml:space="preserve">
"Defined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 
                             </x:t>
    </x:r>
    <x:r>
      <x:rPr>
        <x:i/>
        <x:sz val="11"/>
        <x:color theme="5" tint="-0.24998"/>
        <x:rFont val="Calibri"/>
        <x:family val="2"/>
        <x:scheme val="minor"/>
      </x:rPr>
      <x:t xml:space="preserve">Example: Operations.CostCenter=01;Users.Name=user01
</x:t>
    </x:r>
    <x:r>
      <x:rPr>
        <x:b/>
        <x:sz val="11"/>
        <x:rFont val="Calibri"/>
        <x:family val="2"/>
        <x:scheme val="minor"/>
      </x:rPr>
      <x:t xml:space="preserve">"Time Zone"</x:t>
    </x:r>
    <x:r>
      <x:rPr>
        <x:sz val="11"/>
        <x:rFont val="Calibri"/>
        <x:family val="2"/>
        <x:scheme val="minor"/>
      </x:rPr>
      <x:t xml:space="preserve"> - Specify the time zone to use for the DB system.The value should be the same as displayed in OCI Console and is Case Sensitive.
                           </x:t>
    </x:r>
    <x:r>
      <x:rPr>
        <x:i/>
        <x:sz val="11"/>
        <x:color theme="5" tint="-0.24998"/>
        <x:rFont val="Calibri"/>
        <x:family val="2"/>
        <x:scheme val="minor"/>
      </x:rPr>
      <x:t xml:space="preserve">  Example: Asia/Calcutta | UTC | US/Pacific-New</x:t>
    </x:r>
  </x:si>
  <x:si>
    <x:t xml:space="preserve">DB System Display Name</x:t>
  </x:si>
  <x:si>
    <x:t xml:space="preserve">Node Count</x:t>
  </x:si>
  <x:si>
    <x:t xml:space="preserve">CPU Core Count</x:t>
  </x:si>
  <x:si>
    <x:t xml:space="preserve">Data Storage Size in GB</x:t>
  </x:si>
  <x:si>
    <x:t xml:space="preserve">Data Storage Percentage</x:t>
  </x:si>
  <x:si>
    <x:t xml:space="preserve">Disk Redundancy</x:t>
  </x:si>
  <x:si>
    <x:t xml:space="preserve">Hostname Prefix</x:t>
  </x:si>
  <x:si>
    <x:t xml:space="preserve">PDB Name</x:t>
  </x:si>
  <x:si>
    <x:t xml:space="preserve">DB Admin Password</x:t>
  </x:si>
  <x:si>
    <x:t xml:space="preserve">DB Workload</x:t>
  </x:si>
  <x:si>
    <x:t xml:space="preserve">Enable Automatic Backups</x:t>
  </x:si>
  <x:si>
    <x:t xml:space="preserve">Back up Retention Period</x:t>
  </x:si>
  <x:si>
    <x:t xml:space="preserve">Time Zone</x:t>
  </x:si>
  <x:si>
    <x:r>
      <x:t xml:space="preserve"># Rows after &lt;END&gt; will not be processed (Sample data is provided for reference after &lt;END&gt;);
"Defined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 </x:t>
    </x:r>
    <x:r>
      <x:rPr>
        <x:b/>
        <x:sz val="11"/>
        <x:color theme="1"/>
        <x:rFont val="Calibri"/>
        <x:family val="2"/>
        <x:scheme val="minor"/>
      </x:rPr>
      <x:t xml:space="preserve">
                            </x:t>
    </x:r>
    <x:r>
      <x:rPr>
        <x:i/>
        <x:sz val="11"/>
        <x:color theme="5" tint="-0.49998"/>
        <x:rFont val="Calibri (Body)"/>
      </x:rPr>
      <x:t xml:space="preserve"> Example: Operations.CostCenter=01;Users.Name=user01</x:t>
    </x:r>
    <x:r>
      <x:rPr>
        <x:b/>
        <x:sz val="11"/>
        <x:color theme="1"/>
        <x:rFont val="Calibri"/>
        <x:family val="2"/>
        <x:scheme val="minor"/>
      </x:rPr>
      <x:t xml:space="preserve">
</x:t>
    </x:r>
  </x:si>
  <x:si>
    <x:t xml:space="preserve">Exadata Infra Display Name</x:t>
  </x:si>
  <x:si>
    <x:t xml:space="preserve">Database Servers</x:t>
  </x:si>
  <x:si>
    <x:t xml:space="preserve">Storage Servers</x:t>
  </x:si>
  <x:si>
    <x:t xml:space="preserve">Database Server Type</x:t>
  </x:si>
  <x:si>
    <x:t xml:space="preserve">Storage Server Type</x:t>
  </x:si>
  <x:si>
    <x:r>
      <x:t xml:space="preserve"># Rows after &lt;END&gt; will not be processed (Sample data is provided for reference after &lt;END&gt;);</x:t>
    </x:r>
    <x:r>
      <x:rPr>
        <x:sz val="11"/>
        <x:color theme="1"/>
        <x:rFont val="Calibri"/>
        <x:family val="2"/>
        <x:scheme val="minor"/>
      </x:rPr>
      <x:t xml:space="preserve">
Change CPU core as per shape selected.
Software edition is ENTERPRISE_EDITION_EXTREME_PERFORMANCE by default.
</x:t>
    </x:r>
    <x:r>
      <x:rPr>
        <x:b/>
        <x:sz val="11"/>
        <x:color theme="1"/>
        <x:rFont val="Calibri"/>
        <x:family val="2"/>
        <x:scheme val="minor"/>
      </x:rPr>
      <x:t xml:space="preserve">"CPU core"</x:t>
    </x:r>
    <x:r>
      <x:rPr>
        <x:sz val="11"/>
        <x:color theme="1"/>
        <x:rFont val="Calibri"/>
        <x:family val="2"/>
        <x:scheme val="minor"/>
      </x:rPr>
      <x:t xml:space="preserve"> - if the </x:t>
    </x:r>
    <x:r>
      <x:rPr>
        <x:b/>
        <x:sz val="11"/>
        <x:color theme="1"/>
        <x:rFont val="Calibri"/>
        <x:family val="2"/>
        <x:scheme val="minor"/>
      </x:rPr>
      <x:t xml:space="preserve">Shape</x:t>
    </x:r>
    <x:r>
      <x:rPr>
        <x:sz val="11"/>
        <x:color theme="1"/>
        <x:rFont val="Calibri"/>
        <x:family val="2"/>
        <x:scheme val="minor"/>
      </x:rPr>
      <x:t xml:space="preserve"> is Exadata.Base.48 - Specify a multiple of 2, from 0 to 48 | Exadata.Quarter1.84 - Specify a multiple of 2, from 22 to 84  | Exadata.Half1.168 - Specify a multiple of 4, from 44 to 168
                        | Exadata.Full1.336 - Specify a multiple of 8, from 88 to 336 | Exadata.Quarter2.92 - Specify a multiple of 2, from 0 to 92
                        | Exadata.Half2.184 - Specify a multiple of 4, from 0 to 184 | Exadata.Full2.368 - Specify a multiple of 8, from 0 to 368 | Exadata.Half3.200 - Specify a multiple of 4, from 8 through 200
                        | Exadata.Quater3.100 - Specify a multiple of 2, from 4 through 100 | Exadata.Full3.400 - Specify a multiple of 8, from 16 through 400</x:t>
    </x:r>
    <x:r>
      <x:rPr>
        <x:b/>
        <x:sz val="11"/>
        <x:color theme="1"/>
        <x:rFont val="Calibri"/>
        <x:family val="2"/>
        <x:scheme val="minor"/>
      </x:rPr>
      <x:t xml:space="preserve">
Enter Network Details as : </x:t>
    </x:r>
    <x:r>
      <x:rPr>
        <x:sz val="11"/>
        <x:color theme="1"/>
        <x:rFont val="Calibri"/>
        <x:family val="2"/>
        <x:scheme val="minor"/>
      </x:rPr>
      <x:t xml:space="preserve">&lt;Network-Compartment-Name&gt;@&lt;vcn-name&gt;::&lt;subnet-name&gt;</x:t>
    </x:r>
    <x:r>
      <x:rPr>
        <x:b/>
        <x:sz val="11"/>
        <x:color theme="1"/>
        <x:rFont val="Calibri"/>
        <x:family val="2"/>
        <x:scheme val="minor"/>
      </x:rPr>
      <x:t xml:space="preserve">
"Defined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 
                            </x:t>
    </x:r>
    <x:r>
      <x:rPr>
        <x:i/>
        <x:sz val="11"/>
        <x:color theme="5" tint="-0.24998"/>
        <x:rFont val="Calibri"/>
        <x:family val="2"/>
        <x:scheme val="minor"/>
      </x:rPr>
      <x:t xml:space="preserve"> Example: Operations.CostCenter=01;Users.Name=user01
</x:t>
    </x:r>
    <x:r>
      <x:rPr>
        <x:b/>
        <x:sz val="11"/>
        <x:rFont val="Calibri"/>
        <x:family val="2"/>
        <x:scheme val="minor"/>
      </x:rPr>
      <x:t xml:space="preserve">"Time Zone"</x:t>
    </x:r>
    <x:r>
      <x:rPr>
        <x:sz val="11"/>
        <x:rFont val="Calibri"/>
        <x:family val="2"/>
        <x:scheme val="minor"/>
      </x:rPr>
      <x:t xml:space="preserve"> - Specify the time zone to use for the DB system.The value should be the same as displayed in OCI Console and is Case Sensitive.
                           </x:t>
    </x:r>
    <x:r>
      <x:rPr>
        <x:i/>
        <x:sz val="11"/>
        <x:rFont val="Calibri"/>
        <x:family val="2"/>
        <x:scheme val="minor"/>
      </x:rPr>
      <x:t xml:space="preserve"> </x:t>
    </x:r>
    <x:r>
      <x:rPr>
        <x:i/>
        <x:sz val="11"/>
        <x:color theme="5" tint="-0.24998"/>
        <x:rFont val="Calibri"/>
        <x:family val="2"/>
        <x:scheme val="minor"/>
      </x:rPr>
      <x:t xml:space="preserve">Example: Asia/Calcutta | UTC | US/Pacific-New</x:t>
    </x:r>
  </x:si>
  <x:si>
    <x:t xml:space="preserve">VM Cluster Display Name</x:t>
  </x:si>
  <x:si>
    <x:t xml:space="preserve">Client Network Details</x:t>
  </x:si>
  <x:si>
    <x:t xml:space="preserve">Backup Network Details</x:t>
  </x:si>
  <x:si>
    <x:t xml:space="preserve">Oracle Grid Infrastructure Version</x:t>
  </x:si>
  <x:si>
    <x:t xml:space="preserve">DB Node Storage Size in GBS</x:t>
  </x:si>
  <x:si>
    <x:t xml:space="preserve">Memory Size in GBS</x:t>
  </x:si>
  <x:si>
    <x:t xml:space="preserve">Data Storage Size in TBS</x:t>
  </x:si>
  <x:si>
    <x:t xml:space="preserve">DB Servers</x:t>
  </x:si>
  <x:si>
    <x:t xml:space="preserve">Allocate storage for Exadata sparse snapshots</x:t>
  </x:si>
  <x:si>
    <x:t xml:space="preserve">Allocate storage for local backups</x:t>
  </x:si>
  <x:si>
    <x:t xml:space="preserve">Backup Network NSGs</x:t>
  </x:si>
  <x:si>
    <x:r>
      <x:t xml:space="preserve">Rows after &lt;END&gt; will not be processed. (Sample data is provided for reference after &lt;END&gt;.)</x:t>
    </x:r>
    <x:r>
      <x:rPr>
        <x:sz val="11"/>
        <x:color theme="1"/>
        <x:rFont val="Calibri"/>
        <x:family val="2"/>
        <x:scheme val="minor"/>
      </x:rPr>
      <x:t xml:space="preserve">
</x:t>
    </x:r>
    <x:r>
      <x:rPr>
        <x:b/>
        <x:sz val="11"/>
        <x:color theme="1"/>
        <x:rFont val="Calibri"/>
        <x:family val="2"/>
        <x:scheme val="minor"/>
      </x:rPr>
      <x:t xml:space="preserve">"Compartment Name"</x:t>
    </x:r>
    <x:r>
      <x:rPr>
        <x:sz val="11"/>
        <x:color theme="1"/>
        <x:rFont val="Calibri"/>
        <x:family val="2"/>
        <x:scheme val="minor"/>
      </x:rPr>
      <x:t xml:space="preserve"> - Name (or OCID) of the compartment where the DB Home will be created. It is same as that for VM Cluster.
</x:t>
    </x:r>
    <x:r>
      <x:rPr>
        <x:b/>
        <x:sz val="11"/>
        <x:color theme="1"/>
        <x:rFont val="Calibri"/>
        <x:family val="2"/>
        <x:scheme val="minor"/>
      </x:rPr>
      <x:t xml:space="preserve">"Exadata Infra Display Name" </x:t>
    </x:r>
    <x:r>
      <x:rPr>
        <x:sz val="11"/>
        <x:color theme="1"/>
        <x:rFont val="Calibri"/>
        <x:family val="2"/>
        <x:scheme val="minor"/>
      </x:rPr>
      <x:t xml:space="preserve">- Display name or OCID of the Exadata Infrastructure.
                                            If the DB Home compartment is different from the Exadata Infrastructure compartment, specify it as:
</x:t>
    </x:r>
    <x:r>
      <x:rPr>
        <x:b/>
        <x:sz val="11"/>
        <x:color theme="1"/>
        <x:rFont val="Calibri"/>
        <x:family val="2"/>
        <x:scheme val="minor"/>
      </x:rPr>
      <x:t xml:space="preserve">                                            </x:t>
    </x:r>
    <x:r>
      <x:rPr>
        <x:sz val="11"/>
        <x:color theme="1"/>
        <x:rFont val="Calibri"/>
        <x:family val="2"/>
        <x:scheme val="minor"/>
      </x:rPr>
      <x:t xml:space="preserve">&lt;Exadata_Infra_Compartment_Name&gt;@&lt;Exadata_Infrastructure_Display_Name&gt;</x:t>
    </x:r>
    <x:r>
      <x:rPr>
        <x:b/>
        <x:sz val="11"/>
        <x:color theme="1"/>
        <x:rFont val="Calibri"/>
        <x:family val="2"/>
        <x:scheme val="minor"/>
      </x:rPr>
      <x:t xml:space="preserve">
"VM Cluster Display Name" </x:t>
    </x:r>
    <x:r>
      <x:rPr>
        <x:sz val="11"/>
        <x:color theme="1"/>
        <x:rFont val="Calibri"/>
        <x:family val="2"/>
        <x:scheme val="minor"/>
      </x:rPr>
      <x:t xml:space="preserve">- Display name(or OCID) of the VM Cluster where the DB Home will be created.
</x:t>
    </x:r>
    <x:r>
      <x:rPr>
        <x:b/>
        <x:sz val="11"/>
        <x:color theme="1"/>
        <x:rFont val="Calibri"/>
        <x:family val="2"/>
        <x:scheme val="minor"/>
      </x:rPr>
      <x:t xml:space="preserve">"Defined Tags" </x:t>
    </x:r>
    <x:r>
      <x:rPr>
        <x:sz val="11"/>
        <x:color theme="1"/>
        <x:rFont val="Calibri"/>
        <x:family val="2"/>
        <x:scheme val="minor"/>
      </x:rPr>
      <x:t xml:space="preserve">-  Specify the defined tag key and its value in the format - &lt;Namespace&gt;.&lt;TagKey&gt;=&lt;Value&gt; else leave it empty.
                      Multiple Tag Key , Values can be specified using semi colon (;) as the delimiter.
                      </x:t>
    </x:r>
    <x:r>
      <x:rPr>
        <x:sz val="11"/>
        <x:color theme="5" tint="-0.24998"/>
        <x:rFont val="Calibri (Body)"/>
      </x:rPr>
      <x:t xml:space="preserve">Example: Operations.CostCenter=01;Users.Name=user01</x:t>
    </x:r>
    <x:r>
      <x:rPr>
        <x:b/>
        <x:sz val="11"/>
        <x:color theme="1"/>
        <x:rFont val="Calibri"/>
        <x:family val="2"/>
        <x:scheme val="minor"/>
      </x:rPr>
      <x:t xml:space="preserve">											</x:t>
    </x:r>
  </x:si>
  <x:si>
    <x:t xml:space="preserve">DB Home Name</x:t>
  </x:si>
  <x:si>
    <x:r>
      <x:rPr>
        <x:b/>
        <x:sz val="11"/>
        <x:color theme="1"/>
        <x:rFont val="Calibri"/>
        <x:family val="2"/>
        <x:scheme val="minor"/>
      </x:rPr>
      <x:t xml:space="preserve">Rows after &lt;END&gt; will not be processed. (Sample data is provided for reference after &lt;END&gt;.)</x:t>
    </x:r>
    <x:r>
      <x:rPr>
        <x:sz val="11"/>
        <x:color theme="1"/>
        <x:rFont val="Calibri"/>
        <x:family val="2"/>
        <x:scheme val="minor"/>
      </x:rPr>
      <x:t xml:space="preserve">
</x:t>
    </x:r>
    <x:r>
      <x:rPr>
        <x:b/>
        <x:sz val="11"/>
        <x:color theme="1"/>
        <x:rFont val="Calibri"/>
        <x:family val="2"/>
        <x:scheme val="minor"/>
      </x:rPr>
      <x:t xml:space="preserve">"Compartment Name" </x:t>
    </x:r>
    <x:r>
      <x:rPr>
        <x:sz val="11"/>
        <x:color theme="1"/>
        <x:rFont val="Calibri"/>
        <x:family val="2"/>
        <x:scheme val="minor"/>
      </x:rPr>
      <x:t xml:space="preserve">- Name (or OCID) of the compartment where the CDB will be created. It is same as that for VM Cluster.
</x:t>
    </x:r>
    <x:r>
      <x:rPr>
        <x:b/>
        <x:sz val="11"/>
        <x:color theme="1"/>
        <x:rFont val="Calibri"/>
        <x:family val="2"/>
        <x:scheme val="minor"/>
      </x:rPr>
      <x:t xml:space="preserve">"Exadata Infra Display Name</x:t>
    </x:r>
    <x:r>
      <x:rPr>
        <x:sz val="11"/>
        <x:color theme="1"/>
        <x:rFont val="Calibri"/>
        <x:family val="2"/>
        <x:scheme val="minor"/>
      </x:rPr>
      <x:t xml:space="preserve">" - Display name or OCID of the Exadata Infrastructure.
                                                          If the DB Home compartment is different from the Exadata Infrastructure compartment, specify it as:
                                                          &lt;Exadata_Infra_Compartment_Name&gt;@&lt;Exadata_Infrastructure_Display_Name&gt;
</x:t>
    </x:r>
    <x:r>
      <x:rPr>
        <x:b/>
        <x:sz val="11"/>
        <x:color theme="1"/>
        <x:rFont val="Calibri"/>
        <x:family val="2"/>
        <x:scheme val="minor"/>
      </x:rPr>
      <x:t xml:space="preserve">"VM Cluster Display Name" </x:t>
    </x:r>
    <x:r>
      <x:rPr>
        <x:sz val="11"/>
        <x:color theme="1"/>
        <x:rFont val="Calibri"/>
        <x:family val="2"/>
        <x:scheme val="minor"/>
      </x:rPr>
      <x:t xml:space="preserve">- Display name(or OCID) of the VM Cluster where the DB Home will be created.
</x:t>
    </x:r>
    <x:r>
      <x:rPr>
        <x:b/>
        <x:sz val="11"/>
        <x:color theme="1"/>
        <x:rFont val="Calibri"/>
        <x:family val="2"/>
        <x:scheme val="minor"/>
      </x:rPr>
      <x:t xml:space="preserve">"Admin Password" - </x:t>
    </x:r>
    <x:r>
      <x:rPr>
        <x:sz val="11"/>
        <x:color theme="1"/>
        <x:rFont val="Calibri"/>
        <x:family val="2"/>
        <x:scheme val="minor"/>
      </x:rPr>
      <x:t xml:space="preserve"> Accepts password as plain text or the OCID of an OCI Vault secret containing the password
</x:t>
    </x:r>
    <x:r>
      <x:rPr>
        <x:b/>
        <x:sz val="11"/>
        <x:color theme="1"/>
        <x:rFont val="Calibri"/>
        <x:family val="2"/>
        <x:scheme val="minor"/>
      </x:rPr>
      <x:t xml:space="preserve">"TDE Wallet Password" -</x:t>
    </x:r>
    <x:r>
      <x:rPr>
        <x:sz val="11"/>
        <x:color theme="1"/>
        <x:rFont val="Calibri"/>
        <x:family val="2"/>
        <x:scheme val="minor"/>
      </x:rPr>
      <x:t xml:space="preserve"> Accepts password as plain text or the OCID of an OCI Vault secret containing the password</x:t>
    </x:r>
  </x:si>
  <x:si>
    <x:r>
      <x:rPr>
        <x:b/>
        <x:sz val="11"/>
        <x:color theme="1"/>
        <x:rFont val="Calibri"/>
        <x:family val="2"/>
        <x:scheme val="minor"/>
      </x:rPr>
      <x:t xml:space="preserve">"DBRS Policy ID" - </x:t>
    </x:r>
    <x:r>
      <x:rPr>
        <x:sz val="11"/>
        <x:color theme="1"/>
        <x:rFont val="Calibri"/>
        <x:family val="2"/>
        <x:scheme val="minor"/>
      </x:rPr>
      <x:t xml:space="preserve">Specify the DBRS policy OCID if Backup Dest Type is set to DBRS; otherwise, leave it blank.
</x:t>
    </x:r>
    <x:r>
      <x:rPr>
        <x:b/>
        <x:sz val="11"/>
        <x:color theme="1"/>
        <x:rFont val="Calibri"/>
        <x:family val="2"/>
        <x:scheme val="minor"/>
      </x:rPr>
      <x:t xml:space="preserve">"Defined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
                            </x:t>
    </x:r>
    <x:r>
      <x:rPr>
        <x:i/>
        <x:sz val="11"/>
        <x:color theme="5" tint="-0.24998"/>
        <x:rFont val="Calibri"/>
        <x:family val="2"/>
        <x:scheme val="minor"/>
      </x:rPr>
      <x:t xml:space="preserve">E</x:t>
    </x:r>
    <x:r>
      <x:rPr>
        <x:i/>
        <x:sz val="11"/>
        <x:color theme="5" tint="-0.24998"/>
        <x:rFont val="Calibri (Body)"/>
      </x:rPr>
      <x:t xml:space="preserve">xample: Operations.CostCenter=01;Users.Name=user01</x:t>
    </x:r>
  </x:si>
  <x:si>
    <x:t xml:space="preserve">CDB Name</x:t>
  </x:si>
  <x:si>
    <x:t xml:space="preserve">DB Unique Name</x:t>
  </x:si>
  <x:si>
    <x:t xml:space="preserve">Default PDB Name</x:t>
  </x:si>
  <x:si>
    <x:t xml:space="preserve">TDE Wallet Password</x:t>
  </x:si>
  <x:si>
    <x:t xml:space="preserve">SID Prefix</x:t>
  </x:si>
  <x:si>
    <x:t xml:space="preserve">Ncharacter Set</x:t>
  </x:si>
  <x:si>
    <x:t xml:space="preserve">Auto Backup Enabled</x:t>
  </x:si>
  <x:si>
    <x:t xml:space="preserve">Backup Dest Type</x:t>
  </x:si>
  <x:si>
    <x:t xml:space="preserve">DBRS policy ID</x:t>
  </x:si>
  <x:si>
    <x:t xml:space="preserve">Recovery Window in Days</x:t>
  </x:si>
  <x:si>
    <x:t xml:space="preserve">Auto Full Backup Day</x:t>
  </x:si>
  <x:si>
    <x:t xml:space="preserve">Auto Full Backup Window</x:t>
  </x:si>
  <x:si>
    <x:t xml:space="preserve">Auto Backup Window</x:t>
  </x:si>
  <x:si>
    <x:t xml:space="preserve">Backup Deletion Policy</x:t>
  </x:si>
  <x:si>
    <x:t xml:space="preserve">Run Immediate Full Backup</x:t>
  </x:si>
  <x:si>
    <x:r>
      <x:rPr>
        <x:b/>
        <x:sz val="11"/>
        <x:color theme="1"/>
        <x:rFont val="Calibri"/>
        <x:family val="2"/>
        <x:scheme val="minor"/>
      </x:rPr>
      <x:t xml:space="preserve">Rows after &lt;END&gt; will not be processed. (Sample data is provided for reference after &lt;END&gt;.)</x:t>
    </x:r>
    <x:r>
      <x:rPr>
        <x:sz val="11"/>
        <x:color theme="1"/>
        <x:rFont val="Calibri"/>
        <x:family val="2"/>
        <x:scheme val="minor"/>
      </x:rPr>
      <x:t xml:space="preserve">
</x:t>
    </x:r>
    <x:r>
      <x:rPr>
        <x:b/>
        <x:sz val="11"/>
        <x:color theme="1"/>
        <x:rFont val="Calibri"/>
        <x:family val="2"/>
        <x:scheme val="minor"/>
      </x:rPr>
      <x:t xml:space="preserve">"Compartment Name" </x:t>
    </x:r>
    <x:r>
      <x:rPr>
        <x:sz val="11"/>
        <x:color theme="1"/>
        <x:rFont val="Calibri"/>
        <x:family val="2"/>
        <x:scheme val="minor"/>
      </x:rPr>
      <x:t xml:space="preserve">- Name (or OCID) of the compartment where the PDB will be created. It is same as that for VM Cluster.
</x:t>
    </x:r>
    <x:r>
      <x:rPr>
        <x:b/>
        <x:sz val="11"/>
        <x:color theme="1"/>
        <x:rFont val="Calibri"/>
        <x:family val="2"/>
        <x:scheme val="minor"/>
      </x:rPr>
      <x:t xml:space="preserve">"Exadata Infra Display Name" </x:t>
    </x:r>
    <x:r>
      <x:rPr>
        <x:sz val="11"/>
        <x:color theme="1"/>
        <x:rFont val="Calibri"/>
        <x:family val="2"/>
        <x:scheme val="minor"/>
      </x:rPr>
      <x:t xml:space="preserve">- Display name or OCID of the Exadata Infrastructure.
                                                          If the DB Home compartment is different from the Exadata Infrastructure compartment, specify it as:
                                                          &lt;Exadata_Infra_Compartment_Name&gt;@&lt;Exadata_Infrastructure_Display_Name&gt;
</x:t>
    </x:r>
    <x:r>
      <x:rPr>
        <x:b/>
        <x:sz val="11"/>
        <x:color theme="1"/>
        <x:rFont val="Calibri"/>
        <x:family val="2"/>
        <x:scheme val="minor"/>
      </x:rPr>
      <x:t xml:space="preserve">"VM Cluster Display Name"</x:t>
    </x:r>
    <x:r>
      <x:rPr>
        <x:sz val="11"/>
        <x:color theme="1"/>
        <x:rFont val="Calibri"/>
        <x:family val="2"/>
        <x:scheme val="minor"/>
      </x:rPr>
      <x:t xml:space="preserve"> - Display name(or OCID) of the VM Cluster where the DB Home will be created.
</x:t>
    </x:r>
    <x:r>
      <x:rPr>
        <x:b/>
        <x:sz val="11"/>
        <x:color theme="1"/>
        <x:rFont val="Calibri"/>
        <x:family val="2"/>
        <x:scheme val="minor"/>
      </x:rPr>
      <x:t xml:space="preserve">"PDB Admin Password" </x:t>
    </x:r>
    <x:r>
      <x:rPr>
        <x:sz val="11"/>
        <x:color theme="1"/>
        <x:rFont val="Calibri"/>
        <x:family val="2"/>
        <x:scheme val="minor"/>
      </x:rPr>
      <x:t xml:space="preserve">- Accepts password as plain text or the OCID of an OCI Vault secret containing the password
</x:t>
    </x:r>
    <x:r>
      <x:rPr>
        <x:b/>
        <x:sz val="11"/>
        <x:color theme="1"/>
        <x:rFont val="Calibri"/>
        <x:family val="2"/>
        <x:scheme val="minor"/>
      </x:rPr>
      <x:t xml:space="preserve">"TDE Wallet Password" </x:t>
    </x:r>
    <x:r>
      <x:rPr>
        <x:sz val="11"/>
        <x:color theme="1"/>
        <x:rFont val="Calibri"/>
        <x:family val="2"/>
        <x:scheme val="minor"/>
      </x:rPr>
      <x:t xml:space="preserve">- Accepts password as plain text or the OCID of an OCI Vault secret containing the password
</x:t>
    </x:r>
    <x:r>
      <x:rPr>
        <x:b/>
        <x:sz val="11"/>
        <x:color theme="1"/>
        <x:rFont val="Calibri"/>
        <x:family val="2"/>
        <x:scheme val="minor"/>
      </x:rPr>
      <x:t xml:space="preserve">"Defined Tags" </x:t>
    </x:r>
    <x:r>
      <x:rPr>
        <x:sz val="11"/>
        <x:color theme="1"/>
        <x:rFont val="Calibri"/>
        <x:family val="2"/>
        <x:scheme val="minor"/>
      </x:rPr>
      <x:t xml:space="preserve">-  Specify the defined tag key and its value in the format - &lt;Namespace&gt;.&lt;TagKey&gt;=&lt;Value&gt; else leave it empty.
                            Multiple Tag Key , Values can be specified using semi colon (;) as the delimiter.
                            </x:t>
    </x:r>
    <x:r>
      <x:rPr>
        <x:sz val="11"/>
        <x:color theme="5" tint="-0.24998"/>
        <x:rFont val="Calibri (Body)"/>
      </x:rPr>
      <x:t xml:space="preserve">Example: Operations.CostCenter=01;Users.Name=user01</x:t>
    </x:r>
  </x:si>
  <x:si>
    <x:t xml:space="preserve">PDB Admin Password</x:t>
  </x:si>
  <x:si>
    <x:r>
      <x:t xml:space="preserve"># Rows after &lt;END&gt; will not be processed (Sample data is provided for reference after &lt;END&gt;);
"SDDC name" - </x:t>
    </x:r>
    <x:r>
      <x:rPr>
        <x:sz val="11"/>
        <x:color rgb="FF000000"/>
        <x:rFont val="Calibri"/>
        <x:family val="2"/>
        <x:scheme val="minor"/>
      </x:rPr>
      <x:t xml:space="preserve">&lt;SDDC Name&gt;::&lt;Cluster Name&gt; ; SDDC Name can be 1-16 characters and Cluster Name can be 1-22 characters.</x:t>
    </x:r>
    <x:r>
      <x:rPr>
        <x:b/>
        <x:sz val="11"/>
        <x:color rgb="FF000000"/>
        <x:rFont val="Calibri"/>
        <x:family val="2"/>
        <x:scheme val="minor"/>
      </x:rPr>
      <x:t xml:space="preserve">
"Management Block Volumes" - </x:t>
    </x:r>
    <x:r>
      <x:rPr>
        <x:sz val="11"/>
        <x:color rgb="FF000000"/>
        <x:rFont val="Calibri"/>
        <x:family val="2"/>
        <x:scheme val="minor"/>
      </x:rPr>
      <x:t xml:space="preserve">Existing Block Volume Name (minimum - 8 TB ~ 8192 GB). Format - &lt;block_compartment&gt;@&lt;block-volume_name&gt;. Skip block_compartment if it is same as SDDC comaprtment.</x:t>
    </x:r>
    <x:r>
      <x:rPr>
        <x:b/>
        <x:sz val="11"/>
        <x:color rgb="FF000000"/>
        <x:rFont val="Calibri"/>
        <x:family val="2"/>
        <x:scheme val="minor"/>
      </x:rPr>
      <x:t xml:space="preserve">
"Workload Block Volumes" -</x:t>
    </x:r>
    <x:r>
      <x:rPr>
        <x:sz val="11"/>
        <x:color rgb="FF000000"/>
        <x:rFont val="Calibri"/>
        <x:family val="2"/>
        <x:scheme val="minor"/>
      </x:rPr>
      <x:t xml:space="preserve"> Existing Block Volume Names separated by ','. Format - &lt;block_compartment&gt;@&lt;block-volume_name&gt;,  &lt;block_compartment&gt;@&lt;block-volume_name&gt;. Skip block_compartment if it is same as SDDC compartment.</x:t>
    </x:r>
    <x:r>
      <x:rPr>
        <x:b/>
        <x:sz val="11"/>
        <x:color rgb="FF000000"/>
        <x:rFont val="Calibri"/>
        <x:family val="2"/>
        <x:scheme val="minor"/>
      </x:rPr>
      <x:t xml:space="preserve">
"Defined Tags" - </x:t>
    </x:r>
    <x:r>
      <x:rPr>
        <x:sz val="11"/>
        <x:color rgb="FF000000"/>
        <x:rFont val="Calibri"/>
        <x:family val="2"/>
        <x:scheme val="minor"/>
      </x:rPr>
      <x:t xml:space="preserve">Specify the defined tag key and its value in the format - &lt;Namespace&gt;.&lt;TagKey&gt;=&lt;Value&gt;  else leave it empty.
                             Multiple Tag Key , Values can be specified using semi colon (;) as the delimeter. </x:t>
    </x:r>
    <x:r>
      <x:rPr>
        <x:b/>
        <x:sz val="11"/>
        <x:color rgb="FF000000"/>
        <x:rFont val="Calibri"/>
        <x:family val="2"/>
        <x:scheme val="minor"/>
      </x:rPr>
      <x:t xml:space="preserve">
                             </x:t>
    </x:r>
    <x:r>
      <x:rPr>
        <x:i/>
        <x:sz val="11"/>
        <x:color theme="5"/>
        <x:rFont val="Calibri (Body)"/>
      </x:rPr>
      <x:t xml:space="preserve">Example: Operations.CostCenter=01;Users.Name=user01</x:t>
    </x:r>
    <x:r>
      <x:rPr>
        <x:b/>
        <x:sz val="11"/>
        <x:color rgb="FF000000"/>
        <x:rFont val="Calibri"/>
        <x:family val="2"/>
        <x:scheme val="minor"/>
      </x:rPr>
      <x:t xml:space="preserve">
** Management and Workload block volumes are needed only if SDDC is of Standard Shape.
** Standard shapes aren't compatible with Monthly billing interval commitment and advanced HCX license types.</x:t>
    </x:r>
  </x:si>
  <x:si>
    <x:t xml:space="preserve">SDDC Name</x:t>
  </x:si>
  <x:si>
    <x:t xml:space="preserve">vsphere type</x:t>
  </x:si>
  <x:si>
    <x:t xml:space="preserve">Enable HCX</x:t>
  </x:si>
  <x:si>
    <x:t xml:space="preserve">HCX License Type</x:t>
  </x:si>
  <x:si>
    <x:t xml:space="preserve">VMWare  Software Version</x:t>
  </x:si>
  <x:si>
    <x:t xml:space="preserve">Pricing Interval</x:t>
  </x:si>
  <x:si>
    <x:t xml:space="preserve">Availability Domain(AD1|AD2|AD3|multi-AD)</x:t>
  </x:si>
  <x:si>
    <x:t xml:space="preserve">SDDC Hardware Type</x:t>
  </x:si>
  <x:si>
    <x:t xml:space="preserve">Number of OCPU cores</x:t>
  </x:si>
  <x:si>
    <x:t xml:space="preserve">Management Block Volumes</x:t>
  </x:si>
  <x:si>
    <x:t xml:space="preserve">Workload Block Volumes</x:t>
  </x:si>
  <x:si>
    <x:t xml:space="preserve">Number of ESXi hosts</x:t>
  </x:si>
  <x:si>
    <x:t xml:space="preserve">Prefix for ESXi Hosts</x:t>
  </x:si>
  <x:si>
    <x:t xml:space="preserve">Enable Shielded instance</x:t>
  </x:si>
  <x:si>
    <x:r>
      <x:t xml:space="preserve"># Rows after &lt;END&gt; will not be processed (Sample data is provided for reference after &lt;END&gt;);
"SDDC name" - </x:t>
    </x:r>
    <x:r>
      <x:rPr>
        <x:sz val="11"/>
        <x:color theme="1"/>
        <x:rFont val="Calibri"/>
        <x:family val="2"/>
        <x:scheme val="minor"/>
      </x:rPr>
      <x:t xml:space="preserve">SDDC Name should match exactly the same as in SDDCs sheet.  For each SDDC Cluster in SDDCs sheet, there should be one row in this sheet defining the network for SDDC.
&lt;SDDC Name&gt;::&lt;Cluster Name&gt;</x:t>
    </x:r>
    <x:r>
      <x:rPr>
        <x:b/>
        <x:sz val="11"/>
        <x:color theme="1"/>
        <x:rFont val="Calibri"/>
        <x:family val="2"/>
        <x:scheme val="minor"/>
      </x:rPr>
      <x:t xml:space="preserve">
</x:t>
    </x:r>
  </x:si>
  <x:si>
    <x:t xml:space="preserve">NSX Edge Uplink1 VLAN</x:t>
  </x:si>
  <x:si>
    <x:t xml:space="preserve">NSX Edge Uplink2 VLAN</x:t>
  </x:si>
  <x:si>
    <x:t xml:space="preserve">NSX Edge VTEP VLAN</x:t>
  </x:si>
  <x:si>
    <x:t xml:space="preserve">NSX VTEP VLAN</x:t>
  </x:si>
  <x:si>
    <x:t xml:space="preserve">vMotion VLAN</x:t>
  </x:si>
  <x:si>
    <x:t xml:space="preserve">vSAN VLAN</x:t>
  </x:si>
  <x:si>
    <x:t xml:space="preserve">vSphere VLAN</x:t>
  </x:si>
  <x:si>
    <x:t xml:space="preserve">HCX VLAN</x:t>
  </x:si>
  <x:si>
    <x:t xml:space="preserve">Replication Net VLAN</x:t>
  </x:si>
  <x:si>
    <x:t xml:space="preserve">Provisioning Net VLAN</x:t>
  </x:si>
  <x:si>
    <x:t xml:space="preserve">SDDC workload CIDR</x:t>
  </x:si>
  <x:si>
    <x:r>
      <x:t xml:space="preserve">"# Rows after &lt;END&gt; will not be processed (Sample data is provided for reference after &lt;END&gt;);
</x:t>
    </x:r>
    <x:r>
      <x:rPr>
        <x:sz val="10"/>
        <x:color theme="1"/>
        <x:rFont val="Calibri"/>
        <x:family val="2"/>
        <x:scheme val="minor"/>
      </x:rPr>
      <x:t xml:space="preserve">Region,Compartment Name and Bucket Name should not be left blank.
Versioning once enabled, can only be suspended.
</x:t>
    </x:r>
    <x:r>
      <x:rPr>
        <x:b/>
        <x:sz val="10"/>
        <x:color theme="1"/>
        <x:rFont val="Calibri"/>
        <x:family val="2"/>
        <x:scheme val="minor"/>
      </x:rPr>
      <x:t xml:space="preserve">"Retention Rules"</x:t>
    </x:r>
    <x:r>
      <x:rPr>
        <x:sz val="10"/>
        <x:color theme="1"/>
        <x:rFont val="Calibri"/>
        <x:family val="2"/>
        <x:scheme val="minor"/>
      </x:rPr>
      <x:t xml:space="preserve">-  To enable retention rule, versioning should be disabled.
                                      </x:t>
    </x:r>
    <x:r>
      <x:rPr>
        <x:b/>
        <x:sz val="10"/>
        <x:color theme="1"/>
        <x:rFont val="Calibri"/>
        <x:family val="2"/>
        <x:scheme val="minor"/>
      </x:rPr>
      <x:t xml:space="preserve"> </x:t>
    </x:r>
    <x:r>
      <x:rPr>
        <x:sz val="10"/>
        <x:color theme="1"/>
        <x:rFont val="Calibri"/>
        <x:family val="2"/>
        <x:scheme val="minor"/>
      </x:rPr>
      <x:t xml:space="preserve">Specify the value in the format</x:t>
    </x:r>
    <x:r>
      <x:rPr>
        <x:b/>
        <x:sz val="10"/>
        <x:color theme="1"/>
        <x:rFont val="Calibri"/>
        <x:family val="2"/>
        <x:scheme val="minor"/>
      </x:rPr>
      <x:t xml:space="preserve"> </x:t>
    </x:r>
    <x:r>
      <x:rPr>
        <x:b/>
        <x:i/>
        <x:sz val="10"/>
        <x:color theme="1"/>
        <x:rFont val="Calibri"/>
        <x:family val="2"/>
        <x:scheme val="minor"/>
      </x:rPr>
      <x:t xml:space="preserve">RuleName::TimeAmount::TimeUnit::Retention Rule Lock Enabled</x:t>
    </x:r>
    <x:r>
      <x:rPr>
        <x:b/>
        <x:sz val="10"/>
        <x:color theme="1"/>
        <x:rFont val="Calibri"/>
        <x:family val="2"/>
        <x:scheme val="minor"/>
      </x:rPr>
      <x:t xml:space="preserve">.   </x:t>
    </x:r>
    <x:r>
      <x:rPr>
        <x:sz val="10"/>
        <x:color theme="1"/>
        <x:rFont val="Calibri"/>
        <x:family val="2"/>
        <x:scheme val="minor"/>
      </x:rPr>
      <x:t xml:space="preserve">Multiple rules are separated by newline in the same cell(\n is not supported).</x:t>
    </x:r>
    <x:r>
      <x:rPr>
        <x:b/>
        <x:sz val="10"/>
        <x:color theme="1"/>
        <x:rFont val="Calibri"/>
        <x:family val="2"/>
        <x:scheme val="minor"/>
      </x:rPr>
      <x:t xml:space="preserve">
</x:t>
    </x:r>
    <x:r>
      <x:rPr>
        <x:sz val="10"/>
        <x:color theme="1"/>
        <x:rFont val="Calibri"/>
        <x:family val="2"/>
        <x:scheme val="minor"/>
      </x:rPr>
      <x:t xml:space="preserve">                                       Retention Rule Lock Enabled: The time format of the lock should be as per RFC standards. Ex: DD-MM-YYYY  (provide the value only if you want to have the time rule locked enabled). </x:t>
    </x:r>
    <x:r>
      <x:rPr>
        <x:b/>
        <x:i/>
        <x:sz val="10"/>
        <x:color theme="1"/>
        <x:rFont val="Calibri"/>
        <x:family val="2"/>
        <x:scheme val="minor"/>
      </x:rPr>
      <x:t xml:space="preserve">The date should be atleast 14 days from the current date.
</x:t>
    </x:r>
    <x:r>
      <x:rPr>
        <x:sz val="10"/>
        <x:color theme="1"/>
        <x:rFont val="Calibri"/>
        <x:family val="2"/>
        <x:scheme val="minor"/>
      </x:rPr>
      <x:t xml:space="preserve">                                       TimeAmount: It should be number of Days/Years. Maximun value is 500.
                                       TimeUnit: It should be either in DAYS and YEARS
</x:t>
    </x:r>
    <x:r>
      <x:rPr>
        <x:b/>
        <x:sz val="10"/>
        <x:color theme="1"/>
        <x:rFont val="Calibri"/>
        <x:family val="2"/>
        <x:scheme val="minor"/>
      </x:rPr>
      <x:t xml:space="preserve">
"Replication Policy"- </x:t>
    </x:r>
    <x:r>
      <x:rPr>
        <x:sz val="10"/>
        <x:color theme="1"/>
        <x:rFont val="Calibri"/>
        <x:family val="2"/>
        <x:scheme val="minor"/>
      </x:rPr>
      <x:t xml:space="preserve">To enable replication policy: 1. The destination bucket should be already created in the tenancy and cannot have versioning enabled. 2. The destination bucket cannot have retention rules. The format should be </x:t>
    </x:r>
    <x:r>
      <x:rPr>
        <x:b/>
        <x:i/>
        <x:sz val="10"/>
        <x:color theme="1"/>
        <x:rFont val="Calibri"/>
        <x:family val="2"/>
        <x:scheme val="minor"/>
      </x:rPr>
      <x:t xml:space="preserve">PolicyName::DestinationRegion::DestinationBucketName
</x:t>
    </x:r>
    <x:r>
      <x:rPr>
        <x:sz val="10"/>
        <x:color theme="1"/>
        <x:rFont val="Calibri"/>
        <x:family val="2"/>
        <x:scheme val="minor"/>
      </x:rPr>
      <x:t xml:space="preserve">
</x:t>
    </x:r>
    <x:r>
      <x:rPr>
        <x:b/>
        <x:sz val="10"/>
        <x:color theme="1"/>
        <x:rFont val="Calibri"/>
        <x:family val="2"/>
        <x:scheme val="minor"/>
      </x:rPr>
      <x:t xml:space="preserve">"Lifecycle Policy Name"- </x:t>
    </x:r>
    <x:r>
      <x:rPr>
        <x:sz val="10"/>
        <x:color theme="1"/>
        <x:rFont val="Calibri"/>
        <x:family val="2"/>
        <x:scheme val="minor"/>
      </x:rPr>
      <x:t xml:space="preserve">Name of the lifecycle policy.</x:t>
    </x:r>
    <x:r>
      <x:rPr>
        <x:b/>
        <x:sz val="10"/>
        <x:color theme="1"/>
        <x:rFont val="Calibri"/>
        <x:family val="2"/>
        <x:scheme val="minor"/>
      </x:rPr>
      <x:t xml:space="preserve"> </x:t>
    </x:r>
    <x:r>
      <x:rPr>
        <x:sz val="10"/>
        <x:color theme="1"/>
        <x:rFont val="Calibri"/>
        <x:family val="2"/>
        <x:scheme val="minor"/>
      </x:rPr>
      <x:t xml:space="preserve">Multiple rules can be mentioned in new rows with all other details same.</x:t>
    </x:r>
    <x:r>
      <x:rPr>
        <x:b/>
        <x:sz val="10"/>
        <x:color theme="1"/>
        <x:rFont val="Calibri"/>
        <x:family val="2"/>
        <x:scheme val="minor"/>
      </x:rPr>
      <x:t xml:space="preserve">
"Lifecycle Target and Action"-  </x:t>
    </x:r>
    <x:r>
      <x:rPr>
        <x:sz val="10"/>
        <x:color theme="1"/>
        <x:rFont val="Calibri"/>
        <x:family val="2"/>
        <x:scheme val="minor"/>
      </x:rPr>
      <x:t xml:space="preserve">For Multipart-uploads, </x:t>
    </x:r>
    <x:r>
      <x:rPr>
        <x:b/>
        <x:sz val="10"/>
        <x:color theme="1"/>
        <x:rFont val="Calibri"/>
        <x:family val="2"/>
        <x:scheme val="minor"/>
      </x:rPr>
      <x:t xml:space="preserve"> </x:t>
    </x:r>
    <x:r>
      <x:rPr>
        <x:sz val="10"/>
        <x:color theme="1"/>
        <x:rFont val="Calibri"/>
        <x:family val="2"/>
        <x:scheme val="minor"/>
      </x:rPr>
      <x:t xml:space="preserve">Object filters are not required and Rule Period can only be in Days.</x:t>
    </x:r>
    <x:r>
      <x:rPr>
        <x:b/>
        <x:sz val="10"/>
        <x:color theme="1"/>
        <x:rFont val="Calibri"/>
        <x:family val="2"/>
        <x:scheme val="minor"/>
      </x:rPr>
      <x:t xml:space="preserve">
                                                            </x:t>
    </x:r>
    <x:r>
      <x:rPr>
        <x:sz val="10"/>
        <x:color theme="1"/>
        <x:rFont val="Calibri"/>
        <x:family val="2"/>
        <x:scheme val="minor"/>
      </x:rPr>
      <x:t xml:space="preserve">If you have Auto-tiering mode set to Enabled, you cannot create a object lifecycle policy rule with the action set as Infrequent Access.
</x:t>
    </x:r>
    <x:r>
      <x:rPr>
        <x:b/>
        <x:sz val="10"/>
        <x:color theme="1"/>
        <x:rFont val="Calibri"/>
        <x:family val="2"/>
        <x:scheme val="minor"/>
      </x:rPr>
      <x:t xml:space="preserve">"Lifecycle Rule Period"- </x:t>
    </x:r>
    <x:r>
      <x:rPr>
        <x:sz val="10"/>
        <x:color theme="1"/>
        <x:rFont val="Calibri"/>
        <x:family val="2"/>
        <x:scheme val="minor"/>
      </x:rPr>
      <x:t xml:space="preserve">Its a combination of TimeAmount (It should be number of Days/Years) and TimeUnit (It should be either in DAYS and YEARS). The format should be</x:t>
    </x:r>
    <x:r>
      <x:rPr>
        <x:b/>
        <x:i/>
        <x:sz val="10"/>
        <x:color theme="1"/>
        <x:rFont val="Calibri"/>
        <x:family val="2"/>
        <x:scheme val="minor"/>
      </x:rPr>
      <x:t xml:space="preserve"> TimeAmount::TimeUnit</x:t>
    </x:r>
    <x:r>
      <x:rPr>
        <x:b/>
        <x:sz val="10"/>
        <x:color theme="1"/>
        <x:rFont val="Calibri"/>
        <x:family val="2"/>
        <x:scheme val="minor"/>
      </x:rPr>
      <x:t xml:space="preserve">
"Lifecyle Exclusion Patterns/Lifecycle Inclusion Patterns/Lifecycle Inclusion Prefixes"- </x:t>
    </x:r>
    <x:r>
      <x:rPr>
        <x:sz val="10"/>
        <x:color theme="1"/>
        <x:rFont val="Calibri"/>
        <x:family val="2"/>
        <x:scheme val="minor"/>
      </x:rPr>
      <x:t xml:space="preserve">Add the object name filter patterns here.</x:t>
    </x:r>
    <x:r>
      <x:rPr>
        <x:b/>
        <x:sz val="10"/>
        <x:color theme="1"/>
        <x:rFont val="Calibri"/>
        <x:family val="2"/>
        <x:scheme val="minor"/>
      </x:rPr>
      <x:t xml:space="preserve">
"Defined Tags" - Specify the defined tag key and its value in the format - &lt;Namespace&gt;.&lt;TagKey&gt;=&lt;Value&gt;  else leave it empty.
                             Multiple Tag Key , Values can be specified using semi colon (;) as the delimiter. 
                            </x:t>
    </x:r>
    <x:r>
      <x:rPr>
        <x:i/>
        <x:sz val="10"/>
        <x:color rgb="FFFF0000"/>
        <x:rFont val="Calibri"/>
        <x:family val="2"/>
        <x:scheme val="minor"/>
      </x:rPr>
      <x:t xml:space="preserve"> </x:t>
    </x:r>
    <x:r>
      <x:rPr>
        <x:i/>
        <x:sz val="10"/>
        <x:color theme="5" tint="-0.24998"/>
        <x:rFont val="Calibri"/>
        <x:family val="2"/>
        <x:scheme val="minor"/>
      </x:rPr>
      <x:t xml:space="preserve">Example: Operations.CostCenter=01;Users.Name=user01</x:t>
    </x:r>
  </x:si>
  <x:si>
    <x:t xml:space="preserve">Bucket Name</x:t>
  </x:si>
  <x:si>
    <x:t xml:space="preserve">Storage Tier</x:t>
  </x:si>
  <x:si>
    <x:t xml:space="preserve">Auto Tiering</x:t>
  </x:si>
  <x:si>
    <x:t xml:space="preserve">Object Versioning</x:t>
  </x:si>
  <x:si>
    <x:t xml:space="preserve">Emit Object Events</x:t>
  </x:si>
  <x:si>
    <x:t xml:space="preserve">Visibility</x:t>
  </x:si>
  <x:si>
    <x:t xml:space="preserve">Retention Rules</x:t>
  </x:si>
  <x:si>
    <x:t xml:space="preserve">Replication Policy</x:t>
  </x:si>
  <x:si>
    <x:t xml:space="preserve">Lifecycle Policy Name</x:t>
  </x:si>
  <x:si>
    <x:t xml:space="preserve">Lifecycle Target and Action</x:t>
  </x:si>
  <x:si>
    <x:t xml:space="preserve">Lifecycle Policy Enabled</x:t>
  </x:si>
  <x:si>
    <x:t xml:space="preserve">Lifecycle Rule Period</x:t>
  </x:si>
  <x:si>
    <x:t xml:space="preserve">Lifecyle Exclusion Patterns</x:t>
  </x:si>
  <x:si>
    <x:t xml:space="preserve">Lifecyle Inclusion Patterns</x:t>
  </x:si>
  <x:si>
    <x:t xml:space="preserve">Lifecyle Inclusion Prefixes</x:t>
  </x:si>
  <x:si>
    <x:r>
      <x:rPr>
        <x:sz val="11"/>
        <x:color theme="1"/>
        <x:rFont val="Calibri"/>
        <x:family val="2"/>
        <x:scheme val="minor"/>
      </x:rPr>
      <x:t xml:space="preserve"># Rows after &lt;END&gt; will not be processed (Sample data is provided for reference after &lt;END&gt;);
</x:t>
    </x:r>
    <x:r>
      <x:rPr>
        <x:b/>
        <x:sz val="11"/>
        <x:color theme="1"/>
        <x:rFont val="Calibri"/>
        <x:family val="2"/>
        <x:scheme val="minor"/>
      </x:rPr>
      <x:t xml:space="preserve">"Vault Display Name(mandatory)"</x:t>
    </x:r>
    <x:r>
      <x:rPr>
        <x:sz val="11"/>
        <x:color theme="1"/>
        <x:rFont val="Calibri"/>
        <x:family val="2"/>
        <x:scheme val="minor"/>
      </x:rPr>
      <x:t xml:space="preserve"> - Should Not be more than 100 characters and should contain only Alpha-Numeric Characters, underscores, hyphens.
</x:t>
    </x:r>
    <x:r>
      <x:rPr>
        <x:b/>
        <x:sz val="11"/>
        <x:color theme="1"/>
        <x:rFont val="Calibri"/>
        <x:family val="2"/>
        <x:scheme val="minor"/>
      </x:rPr>
      <x:t xml:space="preserve">"Vault Type(mandatory)"</x:t>
    </x:r>
    <x:r>
      <x:rPr>
        <x:sz val="11"/>
        <x:color theme="1"/>
        <x:rFont val="Calibri"/>
        <x:family val="2"/>
        <x:scheme val="minor"/>
      </x:rPr>
      <x:t xml:space="preserve"> - Valid values are</x:t>
    </x:r>
    <x:r>
      <x:rPr>
        <x:b/>
        <x:sz val="11"/>
        <x:color theme="1"/>
        <x:rFont val="Calibri"/>
        <x:family val="2"/>
        <x:scheme val="minor"/>
      </x:rPr>
      <x:t xml:space="preserve"> "default</x:t>
    </x:r>
    <x:r>
      <x:rPr>
        <x:sz val="11"/>
        <x:color theme="1"/>
        <x:rFont val="Calibri"/>
        <x:family val="2"/>
        <x:scheme val="minor"/>
      </x:rPr>
      <x:t xml:space="preserve">" or </x:t>
    </x:r>
    <x:r>
      <x:rPr>
        <x:b/>
        <x:sz val="11"/>
        <x:color theme="1"/>
        <x:rFont val="Calibri"/>
        <x:family val="2"/>
        <x:scheme val="minor"/>
      </x:rPr>
      <x:t xml:space="preserve">"virtual_private</x:t>
    </x:r>
    <x:r>
      <x:rPr>
        <x:sz val="11"/>
        <x:color theme="1"/>
        <x:rFont val="Calibri"/>
        <x:family val="2"/>
        <x:scheme val="minor"/>
      </x:rPr>
      <x:t xml:space="preserve">".
</x:t>
    </x:r>
    <x:r>
      <x:rPr>
        <x:b/>
        <x:sz val="11"/>
        <x:color theme="1"/>
        <x:rFont val="Calibri"/>
        <x:family val="2"/>
        <x:scheme val="minor"/>
      </x:rPr>
      <x:t xml:space="preserve">"Replica Region(optional)"</x:t>
    </x:r>
    <x:r>
      <x:rPr>
        <x:sz val="11"/>
        <x:color theme="1"/>
        <x:rFont val="Calibri"/>
        <x:family val="2"/>
        <x:scheme val="minor"/>
      </x:rPr>
      <x:t xml:space="preserve">- Valid for both </x:t>
    </x:r>
    <x:r>
      <x:rPr>
        <x:b/>
        <x:sz val="11"/>
        <x:color theme="1"/>
        <x:rFont val="Calibri"/>
        <x:family val="2"/>
        <x:scheme val="minor"/>
      </x:rPr>
      <x:t xml:space="preserve">"virtual_private"</x:t>
    </x:r>
    <x:r>
      <x:rPr>
        <x:sz val="11"/>
        <x:color theme="1"/>
        <x:rFont val="Calibri"/>
        <x:family val="2"/>
        <x:scheme val="minor"/>
      </x:rPr>
      <x:t xml:space="preserve"> and </x:t>
    </x:r>
    <x:r>
      <x:rPr>
        <x:b/>
        <x:sz val="11"/>
        <x:color theme="1"/>
        <x:rFont val="Calibri"/>
        <x:family val="2"/>
        <x:scheme val="minor"/>
      </x:rPr>
      <x:t xml:space="preserve">"default"</x:t>
    </x:r>
    <x:r>
      <x:rPr>
        <x:sz val="11"/>
        <x:color theme="1"/>
        <x:rFont val="Calibri"/>
        <x:family val="2"/>
        <x:scheme val="minor"/>
      </x:rPr>
      <x:t xml:space="preserve"> vault types. Can't be same as the primary vault region.
</x:t>
    </x:r>
    <x:r>
      <x:rPr>
        <x:b/>
        <x:sz val="11"/>
        <x:color theme="1"/>
        <x:rFont val="Calibri"/>
        <x:family val="2"/>
        <x:scheme val="minor"/>
      </x:rPr>
      <x:t xml:space="preserve">Key details can be left empty if no keys have to be created in the specified vault.</x:t>
    </x:r>
    <x:r>
      <x:rPr>
        <x:sz val="11"/>
        <x:color theme="1"/>
        <x:rFont val="Calibri"/>
        <x:family val="2"/>
        <x:scheme val="minor"/>
      </x:rPr>
      <x:t xml:space="preserve">
If a key/keys have to be created, enter below </x:t>
    </x:r>
    <x:r>
      <x:rPr>
        <x:b/>
        <x:sz val="11"/>
        <x:color theme="1"/>
        <x:rFont val="Calibri"/>
        <x:family val="2"/>
        <x:scheme val="minor"/>
      </x:rPr>
      <x:t xml:space="preserve">mandatory</x:t>
    </x:r>
    <x:r>
      <x:rPr>
        <x:sz val="11"/>
        <x:color theme="1"/>
        <x:rFont val="Calibri"/>
        <x:family val="2"/>
        <x:scheme val="minor"/>
      </x:rPr>
      <x:t xml:space="preserve"> fields:
</x:t>
    </x:r>
    <x:r>
      <x:rPr>
        <x:b/>
        <x:sz val="11"/>
        <x:color theme="1"/>
        <x:rFont val="Calibri"/>
        <x:family val="2"/>
        <x:scheme val="minor"/>
      </x:rPr>
      <x:t xml:space="preserve">"Key Compartment Name" </x:t>
    </x:r>
    <x:r>
      <x:rPr>
        <x:sz val="11"/>
        <x:color theme="1"/>
        <x:rFont val="Calibri"/>
        <x:family val="2"/>
        <x:scheme val="minor"/>
      </x:rPr>
      <x:t xml:space="preserve">-  can be same as the Vault compartment or a different compartment.
</x:t>
    </x:r>
    <x:r>
      <x:rPr>
        <x:b/>
        <x:sz val="11"/>
        <x:color theme="1"/>
        <x:rFont val="Calibri"/>
        <x:family val="2"/>
        <x:scheme val="minor"/>
      </x:rPr>
      <x:t xml:space="preserve">"Key Display Name"</x:t>
    </x:r>
    <x:r>
      <x:rPr>
        <x:sz val="11"/>
        <x:color theme="1"/>
        <x:rFont val="Calibri"/>
        <x:family val="2"/>
        <x:scheme val="minor"/>
      </x:rPr>
      <x:t xml:space="preserve"> - Should Not be more than 100 characters and should contain only Alpha-Numeric Characters, underscores, hyphens
</x:t>
    </x:r>
    <x:r>
      <x:rPr>
        <x:b/>
        <x:sz val="11"/>
        <x:color theme="1"/>
        <x:rFont val="Calibri"/>
        <x:family val="2"/>
        <x:scheme val="minor"/>
      </x:rPr>
      <x:t xml:space="preserve">"Protection Mode" </x:t>
    </x:r>
    <x:r>
      <x:rPr>
        <x:sz val="11"/>
        <x:color theme="1"/>
        <x:rFont val="Calibri"/>
        <x:family val="2"/>
        <x:scheme val="minor"/>
      </x:rPr>
      <x:t xml:space="preserve">- Valid values are </x:t>
    </x:r>
    <x:r>
      <x:rPr>
        <x:b/>
        <x:sz val="11"/>
        <x:color theme="1"/>
        <x:rFont val="Calibri"/>
        <x:family val="2"/>
        <x:scheme val="minor"/>
      </x:rPr>
      <x:t xml:space="preserve">"HSM</x:t>
    </x:r>
    <x:r>
      <x:rPr>
        <x:sz val="11"/>
        <x:color theme="1"/>
        <x:rFont val="Calibri"/>
        <x:family val="2"/>
        <x:scheme val="minor"/>
      </x:rPr>
      <x:t xml:space="preserve">" or </x:t>
    </x:r>
    <x:r>
      <x:rPr>
        <x:b/>
        <x:sz val="11"/>
        <x:color theme="1"/>
        <x:rFont val="Calibri"/>
        <x:family val="2"/>
        <x:scheme val="minor"/>
      </x:rPr>
      <x:t xml:space="preserve">"SOFTWARE".</x:t>
    </x:r>
    <x:r>
      <x:rPr>
        <x:sz val="11"/>
        <x:color theme="1"/>
        <x:rFont val="Calibri"/>
        <x:family val="2"/>
        <x:scheme val="minor"/>
      </x:rPr>
      <x:t xml:space="preserve">
</x:t>
    </x:r>
    <x:r>
      <x:rPr>
        <x:b/>
        <x:sz val="11"/>
        <x:color theme="1"/>
        <x:rFont val="Calibri"/>
        <x:family val="2"/>
        <x:scheme val="minor"/>
      </x:rPr>
      <x:t xml:space="preserve">"Algorithm" </x:t>
    </x:r>
    <x:r>
      <x:rPr>
        <x:sz val="11"/>
        <x:color theme="1"/>
        <x:rFont val="Calibri"/>
        <x:family val="2"/>
        <x:scheme val="minor"/>
      </x:rPr>
      <x:t xml:space="preserve">- Valid values are </x:t>
    </x:r>
    <x:r>
      <x:rPr>
        <x:b/>
        <x:sz val="11"/>
        <x:color theme="1"/>
        <x:rFont val="Calibri"/>
        <x:family val="2"/>
        <x:scheme val="minor"/>
      </x:rPr>
      <x:t xml:space="preserve">"AES", "RSA", "ECDSA". </x:t>
    </x:r>
    <x:r>
      <x:rPr>
        <x:sz val="11"/>
        <x:color theme="1"/>
        <x:rFont val="Calibri"/>
        <x:family val="2"/>
        <x:scheme val="minor"/>
      </x:rPr>
      <x:t xml:space="preserve">
</x:t>
    </x:r>
    <x:r>
      <x:rPr>
        <x:b/>
        <x:sz val="11"/>
        <x:color theme="1"/>
        <x:rFont val="Calibri"/>
        <x:family val="2"/>
        <x:scheme val="minor"/>
      </x:rPr>
      <x:t xml:space="preserve">"Length in bits" </x:t>
    </x:r>
    <x:r>
      <x:rPr>
        <x:sz val="11"/>
        <x:color theme="1"/>
        <x:rFont val="Calibri"/>
        <x:family val="2"/>
        <x:scheme val="minor"/>
      </x:rPr>
      <x:t xml:space="preserve">- Valid values for </x:t>
    </x:r>
    <x:r>
      <x:rPr>
        <x:b/>
        <x:sz val="11"/>
        <x:color theme="1"/>
        <x:rFont val="Calibri"/>
        <x:family val="2"/>
        <x:scheme val="minor"/>
      </x:rPr>
      <x:t xml:space="preserve">"AES"  </x:t>
    </x:r>
    <x:r>
      <x:rPr>
        <x:sz val="11"/>
        <x:color theme="1"/>
        <x:rFont val="Calibri"/>
        <x:family val="2"/>
        <x:scheme val="minor"/>
      </x:rPr>
      <x:t xml:space="preserve">      -  </x:t>
    </x:r>
    <x:r>
      <x:rPr>
        <x:b/>
        <x:sz val="11"/>
        <x:color theme="1"/>
        <x:rFont val="Calibri"/>
        <x:family val="2"/>
        <x:scheme val="minor"/>
      </x:rPr>
      <x:t xml:space="preserve">128, 192, 256</x:t>
    </x:r>
    <x:r>
      <x:rPr>
        <x:sz val="11"/>
        <x:color theme="1"/>
        <x:rFont val="Calibri"/>
        <x:family val="2"/>
        <x:scheme val="minor"/>
      </x:rPr>
      <x:t xml:space="preserve">
                                                                           </x:t>
    </x:r>
    <x:r>
      <x:rPr>
        <x:b/>
        <x:sz val="11"/>
        <x:color theme="1"/>
        <x:rFont val="Calibri"/>
        <x:family val="2"/>
        <x:scheme val="minor"/>
      </x:rPr>
      <x:t xml:space="preserve">"RSA" </x:t>
    </x:r>
    <x:r>
      <x:rPr>
        <x:sz val="11"/>
        <x:color theme="1"/>
        <x:rFont val="Calibri"/>
        <x:family val="2"/>
        <x:scheme val="minor"/>
      </x:rPr>
      <x:t xml:space="preserve">      - </x:t>
    </x:r>
    <x:r>
      <x:rPr>
        <x:b/>
        <x:sz val="11"/>
        <x:color theme="1"/>
        <x:rFont val="Calibri"/>
        <x:family val="2"/>
        <x:scheme val="minor"/>
      </x:rPr>
      <x:t xml:space="preserve"> 2048, 3072, 4096</x:t>
    </x:r>
    <x:r>
      <x:rPr>
        <x:sz val="11"/>
        <x:color theme="1"/>
        <x:rFont val="Calibri"/>
        <x:family val="2"/>
        <x:scheme val="minor"/>
      </x:rPr>
      <x:t xml:space="preserve">
                                                                          "</x:t>
    </x:r>
    <x:r>
      <x:rPr>
        <x:b/>
        <x:sz val="11"/>
        <x:color theme="1"/>
        <x:rFont val="Calibri"/>
        <x:family val="2"/>
        <x:scheme val="minor"/>
      </x:rPr>
      <x:t xml:space="preserve">ECDSA"</x:t>
    </x:r>
    <x:r>
      <x:rPr>
        <x:sz val="11"/>
        <x:color theme="1"/>
        <x:rFont val="Calibri"/>
        <x:family val="2"/>
        <x:scheme val="minor"/>
      </x:rPr>
      <x:t xml:space="preserve">   -  </x:t>
    </x:r>
    <x:r>
      <x:rPr>
        <x:b/>
        <x:sz val="11"/>
        <x:color theme="1"/>
        <x:rFont val="Calibri"/>
        <x:family val="2"/>
        <x:scheme val="minor"/>
      </x:rPr>
      <x:t xml:space="preserve">256, 384, 521</x:t>
    </x:r>
    <x:r>
      <x:rPr>
        <x:sz val="11"/>
        <x:color theme="1"/>
        <x:rFont val="Calibri"/>
        <x:family val="2"/>
        <x:scheme val="minor"/>
      </x:rPr>
      <x:t xml:space="preserve">
</x:t>
    </x:r>
  </x:si>
  <x:si>
    <x:r>
      <x:t xml:space="preserve">Below are the </x:t>
    </x:r>
    <x:r>
      <x:rPr>
        <x:b/>
        <x:sz val="11"/>
        <x:color theme="1"/>
        <x:rFont val="Calibri"/>
        <x:family val="2"/>
        <x:scheme val="minor"/>
      </x:rPr>
      <x:t xml:space="preserve">optional</x:t>
    </x:r>
    <x:r>
      <x:rPr>
        <x:sz val="11"/>
        <x:color theme="1"/>
        <x:rFont val="Calibri"/>
        <x:family val="2"/>
        <x:scheme val="minor"/>
      </x:rPr>
      <x:t xml:space="preserve"> parameters:
</x:t>
    </x:r>
    <x:r>
      <x:rPr>
        <x:b/>
        <x:sz val="11"/>
        <x:color theme="1"/>
        <x:rFont val="Calibri"/>
        <x:family val="2"/>
        <x:scheme val="minor"/>
      </x:rPr>
      <x:t xml:space="preserve">"Curve Id" </x:t>
    </x:r>
    <x:r>
      <x:rPr>
        <x:sz val="11"/>
        <x:color theme="1"/>
        <x:rFont val="Calibri"/>
        <x:family val="2"/>
        <x:scheme val="minor"/>
      </x:rPr>
      <x:t xml:space="preserve">- Can only be specified for ECDSA keys. Supported values are </x:t>
    </x:r>
    <x:r>
      <x:rPr>
        <x:b/>
        <x:sz val="11"/>
        <x:color theme="1"/>
        <x:rFont val="Calibri"/>
        <x:family val="2"/>
        <x:scheme val="minor"/>
      </x:rPr>
      <x:t xml:space="preserve">"NIST_P256", "NIST_P384", "NIST_P521" </x:t>
    </x:r>
    <x:r>
      <x:rPr>
        <x:sz val="11"/>
        <x:color theme="1"/>
        <x:rFont val="Calibri"/>
        <x:family val="2"/>
        <x:scheme val="minor"/>
      </x:rPr>
      <x:t xml:space="preserve">depending on the length provided for ecdsa key.
</x:t>
    </x:r>
    <x:r>
      <x:rPr>
        <x:b/>
        <x:sz val="11"/>
        <x:color theme="1"/>
        <x:rFont val="Calibri"/>
        <x:family val="2"/>
        <x:scheme val="minor"/>
      </x:rPr>
      <x:t xml:space="preserve">"Auto Rotation" </x:t>
    </x:r>
    <x:r>
      <x:rPr>
        <x:sz val="11"/>
        <x:color theme="1"/>
        <x:rFont val="Calibri"/>
        <x:family val="2"/>
        <x:scheme val="minor"/>
      </x:rPr>
      <x:t xml:space="preserve">- Only supported for vault type:</x:t>
    </x:r>
    <x:r>
      <x:rPr>
        <x:b/>
        <x:sz val="11"/>
        <x:color theme="1"/>
        <x:rFont val="Calibri"/>
        <x:family val="2"/>
        <x:scheme val="minor"/>
      </x:rPr>
      <x:t xml:space="preserve"> "virtual_private"</x:t>
    </x:r>
    <x:r>
      <x:rPr>
        <x:sz val="11"/>
        <x:color theme="1"/>
        <x:rFont val="Calibri"/>
        <x:family val="2"/>
        <x:scheme val="minor"/>
      </x:rPr>
      <x:t xml:space="preserve">. Enter</x:t>
    </x:r>
    <x:r>
      <x:rPr>
        <x:b/>
        <x:sz val="11"/>
        <x:color theme="1"/>
        <x:rFont val="Calibri"/>
        <x:family val="2"/>
        <x:scheme val="minor"/>
      </x:rPr>
      <x:t xml:space="preserve"> true</x:t>
    </x:r>
    <x:r>
      <x:rPr>
        <x:sz val="11"/>
        <x:color theme="1"/>
        <x:rFont val="Calibri"/>
        <x:family val="2"/>
        <x:scheme val="minor"/>
      </x:rPr>
      <x:t xml:space="preserve"> to enable auto rotation, else leave empty</x:t>
    </x:r>
    <x:r>
      <x:rPr>
        <x:b/>
        <x:sz val="11"/>
        <x:color theme="1"/>
        <x:rFont val="Calibri"/>
        <x:family val="2"/>
        <x:scheme val="minor"/>
      </x:rPr>
      <x:t xml:space="preserve">.</x:t>
    </x:r>
    <x:r>
      <x:rPr>
        <x:sz val="11"/>
        <x:color theme="1"/>
        <x:rFont val="Calibri"/>
        <x:family val="2"/>
        <x:scheme val="minor"/>
      </x:rPr>
      <x:t xml:space="preserve">
</x:t>
    </x:r>
    <x:r>
      <x:rPr>
        <x:b/>
        <x:sz val="11"/>
        <x:color theme="1"/>
        <x:rFont val="Calibri"/>
        <x:family val="2"/>
        <x:scheme val="minor"/>
      </x:rPr>
      <x:t xml:space="preserve">"Rotation Interval in days" -</x:t>
    </x:r>
    <x:r>
      <x:rPr>
        <x:sz val="11"/>
        <x:color theme="1"/>
        <x:rFont val="Calibri"/>
        <x:family val="2"/>
        <x:scheme val="minor"/>
      </x:rPr>
      <x:t xml:space="preserve"> Only valid for virtual private vaults with Auto rotation enabled. Value should be between </x:t>
    </x:r>
    <x:r>
      <x:rPr>
        <x:b/>
        <x:sz val="11"/>
        <x:color theme="1"/>
        <x:rFont val="Calibri"/>
        <x:family val="2"/>
        <x:scheme val="minor"/>
      </x:rPr>
      <x:t xml:space="preserve">60-365.</x:t>
    </x:r>
    <x:r>
      <x:rPr>
        <x:sz val="11"/>
        <x:color theme="1"/>
        <x:rFont val="Calibri"/>
        <x:family val="2"/>
        <x:scheme val="minor"/>
      </x:rPr>
      <x:t xml:space="preserve">
</x:t>
    </x:r>
    <x:r>
      <x:rPr>
        <x:b/>
        <x:sz val="11"/>
        <x:color theme="1"/>
        <x:rFont val="Calibri"/>
        <x:family val="2"/>
        <x:scheme val="minor"/>
      </x:rPr>
      <x:t xml:space="preserve">"Vault/Key Defined Tags" </x:t>
    </x:r>
    <x:r>
      <x:rPr>
        <x:sz val="11"/>
        <x:color theme="1"/>
        <x:rFont val="Calibri"/>
        <x:family val="2"/>
        <x:scheme val="minor"/>
      </x:rPr>
      <x:t xml:space="preserve">- Specify the defined tag key and its value in the format - &lt;Namespace&gt;.&lt;TagKey&gt;=&lt;Value&gt;  else leave it empty.
                             Multiple Tag Key , Values can be specified using semi colon (;) as the delimiter. 
                             </x:t>
    </x:r>
    <x:r>
      <x:rPr>
        <x:i/>
        <x:sz val="11"/>
        <x:color theme="5" tint="-0.24998"/>
        <x:rFont val="Calibri (Body)"/>
      </x:rPr>
      <x:t xml:space="preserve">Example: Operations.CostCenter=01;Users.Name=user01" 
</x:t>
    </x:r>
    <x:r>
      <x:rPr>
        <x:sz val="11"/>
        <x:color theme="1"/>
        <x:rFont val="Calibri"/>
        <x:family val="2"/>
        <x:scheme val="minor"/>
      </x:rPr>
      <x:t xml:space="preserve">
T</x:t>
    </x:r>
    <x:r>
      <x:rPr>
        <x:b/>
        <x:sz val="11"/>
        <x:color theme="1"/>
        <x:rFont val="Calibri"/>
        <x:family val="2"/>
        <x:scheme val="minor"/>
      </x:rPr>
      <x:t xml:space="preserve">o create multiple keys in the same vault, specify the key details as shown in below sample data.</x:t>
    </x:r>
  </x:si>
  <x:si>
    <x:t xml:space="preserve">Vault Compartment Name</x:t>
  </x:si>
  <x:si>
    <x:t xml:space="preserve">Vault Display Name</x:t>
  </x:si>
  <x:si>
    <x:t xml:space="preserve">Vault type</x:t>
  </x:si>
  <x:si>
    <x:t xml:space="preserve">Replica Region</x:t>
  </x:si>
  <x:si>
    <x:t xml:space="preserve">Key Compartment Name</x:t>
  </x:si>
  <x:si>
    <x:t xml:space="preserve">Key Display Name</x:t>
  </x:si>
  <x:si>
    <x:t xml:space="preserve">Protection mode</x:t>
  </x:si>
  <x:si>
    <x:t xml:space="preserve">Algorithm</x:t>
  </x:si>
  <x:si>
    <x:t xml:space="preserve">Length in bits</x:t>
  </x:si>
  <x:si>
    <x:t xml:space="preserve">Curve Id</x:t>
  </x:si>
  <x:si>
    <x:t xml:space="preserve">Auto rotation</x:t>
  </x:si>
  <x:si>
    <x:t xml:space="preserve">Rotation interval in days</x:t>
  </x:si>
  <x:si>
    <x:t xml:space="preserve">Vault Defined Tags</x:t>
  </x:si>
  <x:si>
    <x:t xml:space="preserve">Key Defined Tags</x:t>
  </x:si>
  <x:si>
    <x:r>
      <x:t xml:space="preserve"># Rows after &lt;END&gt; will not be processed (Sample data is provided for reference after &lt;END&gt;);
Note-The Tool Kit does not support Export of username and password from OCI to the excel sheet. 
"Hostname Label" - </x:t>
    </x:r>
    <x:r>
      <x:rPr>
        <x:sz val="11"/>
        <x:color theme="1"/>
        <x:rFont val="Calibri"/>
        <x:family val="2"/>
        <x:scheme val="minor"/>
      </x:rPr>
      <x:t xml:space="preserve">The hostname for the primary endpoint of the DB System. Used for DNS. The value is the hostname portion of the primary private IP's fully qualified domain name (FQDN) (for example, "dbsystem-1" in FQDN "dbsystem-1.subnet123.vcn1.oraclevcn.com").</x:t>
    </x:r>
    <x:r>
      <x:rPr>
        <x:b/>
        <x:sz val="11"/>
        <x:color theme="1"/>
        <x:rFont val="Calibri"/>
        <x:family val="2"/>
        <x:scheme val="minor"/>
      </x:rPr>
      <x:t xml:space="preserve">
"Network Details" - </x:t>
    </x:r>
    <x:r>
      <x:rPr>
        <x:sz val="11"/>
        <x:color theme="1"/>
        <x:rFont val="Calibri"/>
        <x:family val="2"/>
        <x:scheme val="minor"/>
      </x:rPr>
      <x:t xml:space="preserve">VCN and subnet detail where the mysql instance is deployed. It should be in the format &lt;compartment name&gt;@&lt;VCN Name&gt;::&lt;Subnet Name&gt;</x:t>
    </x:r>
    <x:r>
      <x:rPr>
        <x:b/>
        <x:sz val="11"/>
        <x:color theme="1"/>
        <x:rFont val="Calibri"/>
        <x:family val="2"/>
        <x:scheme val="minor"/>
      </x:rPr>
      <x:t xml:space="preserve">
"IP Address" - </x:t>
    </x:r>
    <x:r>
      <x:rPr>
        <x:sz val="11"/>
        <x:color theme="1"/>
        <x:rFont val="Calibri"/>
        <x:family val="2"/>
        <x:scheme val="minor"/>
      </x:rPr>
      <x:t xml:space="preserve">This is optional if you want to hardcode the IP otherwise IP will be assigned from the DHCP pool. </x:t>
    </x:r>
    <x:r>
      <x:rPr>
        <x:b/>
        <x:sz val="11"/>
        <x:color theme="1"/>
        <x:rFont val="Calibri"/>
        <x:family val="2"/>
        <x:scheme val="minor"/>
      </x:rPr>
      <x:t xml:space="preserve">
Reference Document :</x:t>
    </x:r>
    <x:r>
      <x:rPr>
        <x:sz val="11"/>
        <x:color theme="1"/>
        <x:rFont val="Calibri"/>
        <x:family val="2"/>
        <x:scheme val="minor"/>
      </x:rPr>
      <x:t xml:space="preserve"> https://oracle-devrel.github.io/cd3-automation-toolkit/latest/tabs/#mysql-tab</x:t>
    </x:r>
    <x:r>
      <x:rPr>
        <x:b/>
        <x:sz val="11"/>
        <x:color theme="1"/>
        <x:rFont val="Calibri"/>
        <x:family val="2"/>
        <x:scheme val="minor"/>
      </x:rPr>
      <x:t xml:space="preserve">
"Defined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 
                             </x:t>
    </x:r>
    <x:r>
      <x:rPr>
        <x:i/>
        <x:sz val="11"/>
        <x:color theme="5"/>
        <x:rFont val="Calibri (Body)"/>
      </x:rPr>
      <x:t xml:space="preserve">Example: Operations.CostCenter=01;Users.Name=user01</x:t>
    </x:r>
  </x:si>
  <x:si>
    <x:r>
      <x:t xml:space="preserve">"Backup policy window start time" - </x:t>
    </x:r>
    <x:r>
      <x:rPr>
        <x:sz val="11"/>
        <x:color theme="1"/>
        <x:rFont val="Calibri"/>
        <x:family val="2"/>
        <x:scheme val="minor"/>
      </x:rPr>
      <x:t xml:space="preserve">Mention time in HH:MM:SS format</x:t>
    </x:r>
    <x:r>
      <x:rPr>
        <x:b/>
        <x:sz val="11"/>
        <x:color theme="1"/>
        <x:rFont val="Calibri"/>
        <x:family val="2"/>
        <x:scheme val="minor"/>
      </x:rPr>
      <x:t xml:space="preserve">
"Maintenance window start time" -</x:t>
    </x:r>
    <x:r>
      <x:rPr>
        <x:sz val="11"/>
        <x:color theme="1"/>
        <x:rFont val="Calibri"/>
        <x:family val="2"/>
        <x:scheme val="minor"/>
      </x:rPr>
      <x:t xml:space="preserve"> Maintance time should be in format &lt;Day&gt;  &lt;Time&gt; </x:t>
    </x:r>
    <x:r>
      <x:rPr>
        <x:b/>
        <x:sz val="11"/>
        <x:color theme="1"/>
        <x:rFont val="Calibri"/>
        <x:family val="2"/>
        <x:scheme val="minor"/>
      </x:rPr>
      <x:t xml:space="preserve">
"Port" - </x:t>
    </x:r>
    <x:r>
      <x:rPr>
        <x:sz val="11"/>
        <x:color theme="1"/>
        <x:rFont val="Calibri"/>
        <x:family val="2"/>
        <x:scheme val="minor"/>
      </x:rPr>
      <x:t xml:space="preserve">The port for primary endpoint of the DB System to listen on.</x:t>
    </x:r>
    <x:r>
      <x:rPr>
        <x:b/>
        <x:sz val="11"/>
        <x:color theme="1"/>
        <x:rFont val="Calibri"/>
        <x:family val="2"/>
        <x:scheme val="minor"/>
      </x:rPr>
      <x:t xml:space="preserve">
"Port_x" - </x:t>
    </x:r>
    <x:r>
      <x:rPr>
        <x:sz val="11"/>
        <x:color theme="1"/>
        <x:rFont val="Calibri"/>
        <x:family val="2"/>
        <x:scheme val="minor"/>
      </x:rPr>
      <x:t xml:space="preserve">The TCP network port on which X Plugin listens for connections. This is the X Plugin equivalent of port.	</x:t>
    </x:r>
    <x:r>
      <x:rPr>
        <x:b/>
        <x:sz val="11"/>
        <x:color theme="1"/>
        <x:rFont val="Calibri"/>
        <x:family val="2"/>
        <x:scheme val="minor"/>
      </x:rPr>
      <x:t xml:space="preserve">
"Source Type" </x:t>
    </x:r>
    <x:r>
      <x:rPr>
        <x:sz val="11"/>
        <x:color theme="1"/>
        <x:rFont val="Calibri"/>
        <x:family val="2"/>
        <x:scheme val="minor"/>
      </x:rPr>
      <x:t xml:space="preserve">- Use 'BACKUP' for creating a new database by restoring from a backup. Use 'IMPORTURL' for creating a new database from a URL Object Storage PAR. 
Leave Blank if there is no specific source type.</x:t>
    </x:r>
    <x:r>
      <x:rPr>
        <x:b/>
        <x:sz val="11"/>
        <x:color theme="1"/>
        <x:rFont val="Calibri"/>
        <x:family val="2"/>
        <x:scheme val="minor"/>
      </x:rPr>
      <x:t xml:space="preserve">
"Configuration id" - </x:t>
    </x:r>
    <x:r>
      <x:rPr>
        <x:sz val="11"/>
        <x:color theme="1"/>
        <x:rFont val="Calibri"/>
        <x:family val="2"/>
        <x:scheme val="minor"/>
      </x:rPr>
      <x:t xml:space="preserve">Specify the mysql configured id details (Specify the name in format &lt;compartment_name&gt;@&lt;configuration_name&gt; if it is a custom mysql configuration
and OCID if its the default mysql configuration)</x:t>
    </x:r>
  </x:si>
  <x:si>
    <x:t xml:space="preserve">Hostname Label</x:t>
  </x:si>
  <x:si>
    <x:t xml:space="preserve">HA</x:t>
  </x:si>
  <x:si>
    <x:t xml:space="preserve">Username</x:t>
  </x:si>
  <x:si>
    <x:t xml:space="preserve">Password</x:t>
  </x:si>
  <x:si>
    <x:t xml:space="preserve">Backup policy is enabled</x:t>
  </x:si>
  <x:si>
    <x:t xml:space="preserve">Backup policy pitr policy is enabled</x:t>
  </x:si>
  <x:si>
    <x:t xml:space="preserve">Backup policy Retention in days</x:t>
  </x:si>
  <x:si>
    <x:t xml:space="preserve">Backup policy window start time</x:t>
  </x:si>
  <x:si>
    <x:t xml:space="preserve">Crash Recovery is Enabled</x:t>
  </x:si>
  <x:si>
    <x:t xml:space="preserve">Data Storage (in Gbs)</x:t>
  </x:si>
  <x:si>
    <x:t xml:space="preserve">Database Management is Enabled</x:t>
  </x:si>
  <x:si>
    <x:t xml:space="preserve">Deletion policy automatic backup retention</x:t>
  </x:si>
  <x:si>
    <x:t xml:space="preserve">Deletion policy final backup</x:t>
  </x:si>
  <x:si>
    <x:t xml:space="preserve">Deletion policy is deleted protected</x:t>
  </x:si>
  <x:si>
    <x:t xml:space="preserve">Maintenance window start time</x:t>
  </x:si>
  <x:si>
    <x:t xml:space="preserve">Port</x:t>
  </x:si>
  <x:si>
    <x:t xml:space="preserve">Port_x</x:t>
  </x:si>
  <x:si>
    <x:t xml:space="preserve">Configuration id</x:t>
  </x:si>
  <x:si>
    <x:r>
      <x:t xml:space="preserve">Display Name - </x:t>
    </x:r>
    <x:r>
      <x:rPr>
        <x:sz val="11"/>
        <x:color theme="1"/>
        <x:rFont val="Calibri"/>
        <x:family val="2"/>
        <x:scheme val="minor"/>
      </x:rPr>
      <x:t xml:space="preserve">Display name of the mysql configuration. </x:t>
    </x:r>
    <x:r>
      <x:rPr>
        <x:b/>
        <x:sz val="11"/>
        <x:color theme="1"/>
        <x:rFont val="Calibri"/>
        <x:family val="2"/>
        <x:scheme val="minor"/>
      </x:rPr>
      <x:t xml:space="preserve">
Shape Name.  - </x:t>
    </x:r>
    <x:r>
      <x:rPr>
        <x:sz val="11"/>
        <x:color theme="1"/>
        <x:rFont val="Calibri"/>
        <x:family val="2"/>
        <x:scheme val="minor"/>
      </x:rPr>
      <x:t xml:space="preserve">Shape of the mysql configuraiton. </x:t>
    </x:r>
    <x:r>
      <x:rPr>
        <x:b/>
        <x:sz val="11"/>
        <x:color theme="1"/>
        <x:rFont val="Calibri"/>
        <x:family val="2"/>
        <x:scheme val="minor"/>
      </x:rPr>
      <x:t xml:space="preserve">
users_variable_name - </x:t>
    </x:r>
    <x:r>
      <x:rPr>
        <x:sz val="11"/>
        <x:color theme="1"/>
        <x:rFont val="Calibri"/>
        <x:family val="2"/>
        <x:scheme val="minor"/>
      </x:rPr>
      <x:t xml:space="preserve">User-defined service variables names
Accepted format for this field, &lt;users_variable_name&gt;_&lt;users_variable_value&gt;
For example : BINLOG_ROW_METADATA is the user variable and FULL is the value then the accepted value in users_variable_name should be BINLOG_ROW_METADATA_FULL and its respective users_variable_value should be FULL</x:t>
    </x:r>
    <x:r>
      <x:rPr>
        <x:b/>
        <x:sz val="11"/>
        <x:color theme="1"/>
        <x:rFont val="Calibri"/>
        <x:family val="2"/>
        <x:scheme val="minor"/>
      </x:rPr>
      <x:t xml:space="preserve">
users_variable_value - </x:t>
    </x:r>
    <x:r>
      <x:rPr>
        <x:sz val="11"/>
        <x:color theme="1"/>
        <x:rFont val="Calibri"/>
        <x:family val="2"/>
        <x:scheme val="minor"/>
      </x:rPr>
      <x:t xml:space="preserve">User-defined service variables values
</x:t>
    </x:r>
    <x:r>
      <x:rPr>
        <x:b/>
        <x:sz val="11"/>
        <x:color theme="1"/>
        <x:rFont val="Calibri"/>
        <x:family val="2"/>
        <x:scheme val="minor"/>
      </x:rPr>
      <x:t xml:space="preserve">Reference official documention for user variable and values </x:t>
    </x:r>
    <x:r>
      <x:rPr>
        <x:sz val="11"/>
        <x:color theme="1"/>
        <x:rFont val="Calibri"/>
        <x:family val="2"/>
        <x:scheme val="minor"/>
      </x:rPr>
      <x:t xml:space="preserve">: https://docs.oracle.com/en-us/iaas/mysql-database/doc/configuration-variables.html
</x:t>
    </x:r>
    <x:r>
      <x:rPr>
        <x:b/>
        <x:sz val="11"/>
        <x:color theme="1"/>
        <x:rFont val="Calibri"/>
        <x:family val="2"/>
        <x:scheme val="minor"/>
      </x:rPr>
      <x:t xml:space="preserve">"Defined Tags"</x:t>
    </x:r>
    <x:r>
      <x:rPr>
        <x:sz val="11"/>
        <x:color theme="1"/>
        <x:rFont val="Calibri"/>
        <x:family val="2"/>
        <x:scheme val="minor"/>
      </x:rPr>
      <x:t xml:space="preserve"> - Specify the defined tag key and its value in the format - &lt;Namespace&gt;.&lt;TagKey&gt;=&lt;Value&gt;  else leave it empty.
                             Multiple Tag Key , Values can be specified using semi colon (;) as the delimiter. 
                             </x:t>
    </x:r>
    <x:r>
      <x:rPr>
        <x:i/>
        <x:sz val="11"/>
        <x:color theme="5"/>
        <x:rFont val="Calibri (Body)"/>
      </x:rPr>
      <x:t xml:space="preserve">Example: Operations.CostCenter=01;Users.Name=user01</x:t>
    </x:r>
    <x:r>
      <x:rPr>
        <x:b/>
        <x:sz val="11"/>
        <x:color theme="1"/>
        <x:rFont val="Calibri"/>
        <x:family val="2"/>
        <x:scheme val="minor"/>
      </x:rPr>
      <x:t xml:space="preserve">
</x:t>
    </x:r>
  </x:si>
  <x:si>
    <x:t xml:space="preserve">Shape Name</x:t>
  </x:si>
  <x:si>
    <x:t xml:space="preserve">users_variable_name</x:t>
  </x:si>
  <x:si>
    <x:t xml:space="preserve">users_variable_value</x:t>
  </x:si>
  <x:si>
    <x:t xml:space="preserve">&lt;END&gt;</x:t>
  </x:si>
  <x:si>
    <x:t xml:space="preserve">phoenix</x:t>
  </x:si>
  <x:si>
    <x:t xml:space="preserve">Database</x:t>
  </x:si>
  <x:si>
    <x:t xml:space="preserve">cd3-mysql1</x:t>
  </x:si>
  <x:si>
    <x:t xml:space="preserve">MySQL.2</x:t>
  </x:si>
  <x:si>
    <x:t xml:space="preserve">BINLOG_ROW_METADATA_FULL</x:t>
  </x:si>
  <x:si>
    <x:t xml:space="preserve">FULL</x:t>
  </x:si>
  <x:si>
    <x:t xml:space="preserve">BINLOG_ROW_METADATA_MINIMAL</x:t>
  </x:si>
  <x:si>
    <x:t xml:space="preserve">MINIMAL</x:t>
  </x:si>
  <x:si>
    <x:t xml:space="preserve">cd3-mysql2</x:t>
  </x:si>
  <x:si>
    <x:t xml:space="preserve">GROUP_REPLICATION_CONSISTENCY_AFTER</x:t>
  </x:si>
  <x:si>
    <x:t xml:space="preserve">AFTER</x:t>
  </x:si>
  <x:si>
    <x:t xml:space="preserve">GROUP_REPLICATION_CONSISTENCY_BEFORE</x:t>
  </x:si>
  <x:si>
    <x:t xml:space="preserve">BEFORE</x:t>
  </x:si>
  <x:si>
    <x:t xml:space="preserve">Shapes</x:t>
  </x:si>
  <x:si>
    <x:t xml:space="preserve">DB version</x:t>
  </x:si>
  <x:si>
    <x:t xml:space="preserve">DB workload</x:t>
  </x:si>
  <x:si>
    <x:t xml:space="preserve">EXA Shapes</x:t>
  </x:si>
  <x:si>
    <x:t xml:space="preserve">ADB workload</x:t>
  </x:si>
  <x:si>
    <x:t xml:space="preserve">mysql-configuration-variables</x:t>
  </x:si>
  <x:si>
    <x:t xml:space="preserve">db-home-db-versions</x:t>
  </x:si>
  <x:si>
    <x:t xml:space="preserve">cdb-chr-set</x:t>
  </x:si>
  <x:si>
    <x:t xml:space="preserve">cdb-nchr-set</x:t>
  </x:si>
  <x:si>
    <x:t xml:space="preserve">cdb-Backup-Dest-Type</x:t>
  </x:si>
  <x:si>
    <x:t xml:space="preserve">cdb-AutoBackup-Enabled</x:t>
  </x:si>
  <x:si>
    <x:t xml:space="preserve">cdb-Auto-Full-Backup-Day</x:t>
  </x:si>
  <x:si>
    <x:t xml:space="preserve">cdb-Backup-Window</x:t>
  </x:si>
  <x:si>
    <x:t xml:space="preserve">cdb-Backup-Deletion-Policy</x:t>
  </x:si>
  <x:si>
    <x:t xml:space="preserve">VM.Standard2.1</x:t>
  </x:si>
  <x:si>
    <x:t xml:space="preserve">ENTERPRISE_EDITION_EXTREME_PERFORMANCE</x:t>
  </x:si>
  <x:si>
    <x:t xml:space="preserve">11.2.0.4 </x:t>
  </x:si>
  <x:si>
    <x:t xml:space="preserve">OLTP</x:t>
  </x:si>
  <x:si>
    <x:t xml:space="preserve">Exadata.Quarter2.92</x:t>
  </x:si>
  <x:si>
    <x:t xml:space="preserve">LICENSE_INCLUDED</x:t>
  </x:si>
  <x:si>
    <x:t xml:space="preserve">AL16UTF16</x:t>
  </x:si>
  <x:si>
    <x:t xml:space="preserve">AL32UTF8</x:t>
  </x:si>
  <x:si>
    <x:t xml:space="preserve">Normal</x:t>
  </x:si>
  <x:si>
    <x:t xml:space="preserve">ATP</x:t>
  </x:si>
  <x:si>
    <x:t xml:space="preserve">init_variables_lower_case_table_names</x:t>
  </x:si>
  <x:si>
    <x:t xml:space="preserve">23.26.1.0.0</x:t>
  </x:si>
  <x:si>
    <x:t xml:space="preserve">OBJECT_STORE</x:t>
  </x:si>
  <x:si>
    <x:t xml:space="preserve">MONDAY</x:t>
  </x:si>
  <x:si>
    <x:t xml:space="preserve">SLOT_ONE</x:t>
  </x:si>
  <x:si>
    <x:t xml:space="preserve">DELETE_IMMEDIATELY</x:t>
  </x:si>
  <x:si>
    <x:t xml:space="preserve">VM.Standard1.1</x:t>
  </x:si>
  <x:si>
    <x:t xml:space="preserve">STANDARD_EDITION</x:t>
  </x:si>
  <x:si>
    <x:t xml:space="preserve">12.1.0.2</x:t>
  </x:si>
  <x:si>
    <x:t xml:space="preserve">DSS</x:t>
  </x:si>
  <x:si>
    <x:t xml:space="preserve">Exadata.Half2.184</x:t>
  </x:si>
  <x:si>
    <x:t xml:space="preserve">BRING_YOUR_OWN_LICENSE</x:t>
  </x:si>
  <x:si>
    <x:t xml:space="preserve">UTF8</x:t>
  </x:si>
  <x:si>
    <x:t xml:space="preserve">AR8ADOS710</x:t>
  </x:si>
  <x:si>
    <x:t xml:space="preserve">High</x:t>
  </x:si>
  <x:si>
    <x:t xml:space="preserve">ADW</x:t>
  </x:si>
  <x:si>
    <x:t xml:space="preserve">autocommit</x:t>
  </x:si>
  <x:si>
    <x:t xml:space="preserve">23.26.0.0.0</x:t>
  </x:si>
  <x:si>
    <x:t xml:space="preserve">DBRS</x:t>
  </x:si>
  <x:si>
    <x:t xml:space="preserve">TUESDAY</x:t>
  </x:si>
  <x:si>
    <x:t xml:space="preserve">SLOT_TWO</x:t>
  </x:si>
  <x:si>
    <x:t xml:space="preserve">DELETE_AFTER_RETENTION_PERIOD</x:t>
  </x:si>
  <x:si>
    <x:t xml:space="preserve">VM.Standard1.2</x:t>
  </x:si>
  <x:si>
    <x:t xml:space="preserve">ENTERPRISE_EDITION</x:t>
  </x:si>
  <x:si>
    <x:t xml:space="preserve">12.2.0.1</x:t>
  </x:si>
  <x:si>
    <x:t xml:space="preserve">Exadata.Full2.368</x:t>
  </x:si>
  <x:si>
    <x:t xml:space="preserve">AR8ADOS720</x:t>
  </x:si>
  <x:si>
    <x:t xml:space="preserve">JSON</x:t>
  </x:si>
  <x:si>
    <x:t xml:space="preserve">big_tables</x:t>
  </x:si>
  <x:si>
    <x:t xml:space="preserve">23.9.0.25.07</x:t>
  </x:si>
  <x:si>
    <x:t xml:space="preserve">WEDNESDAY</x:t>
  </x:si>
  <x:si>
    <x:t xml:space="preserve">SLOT_THREE</x:t>
  </x:si>
  <x:si>
    <x:t xml:space="preserve">VM.Standard2.2</x:t>
  </x:si>
  <x:si>
    <x:t xml:space="preserve">ENTERPRISE_EDITION_HIGH_PERFORMANCE</x:t>
  </x:si>
  <x:si>
    <x:t xml:space="preserve">18.0.0.0</x:t>
  </x:si>
  <x:si>
    <x:t xml:space="preserve">Exadata.Quarter1.84</x:t>
  </x:si>
  <x:si>
    <x:t xml:space="preserve">AR8APTEC715</x:t>
  </x:si>
  <x:si>
    <x:t xml:space="preserve">APEX</x:t>
  </x:si>
  <x:si>
    <x:t xml:space="preserve">binlog_expire_logs_seconds</x:t>
  </x:si>
  <x:si>
    <x:t xml:space="preserve">23.8.0.25.04</x:t>
  </x:si>
  <x:si>
    <x:t xml:space="preserve">THURSDAY</x:t>
  </x:si>
  <x:si>
    <x:t xml:space="preserve">SLOT_FOUR</x:t>
  </x:si>
  <x:si>
    <x:t xml:space="preserve">VM.Standard2.4</x:t>
  </x:si>
  <x:si>
    <x:t xml:space="preserve">18.12.0.0 </x:t>
  </x:si>
  <x:si>
    <x:t xml:space="preserve">Exadata.Half1.168</x:t>
  </x:si>
  <x:si>
    <x:t xml:space="preserve">AR8ARABICMACS</x:t>
  </x:si>
  <x:si>
    <x:t xml:space="preserve">binlog_row_metadata</x:t>
  </x:si>
  <x:si>
    <x:t xml:space="preserve">23.7.0.25.01</x:t>
  </x:si>
  <x:si>
    <x:t xml:space="preserve">FRIDAY</x:t>
  </x:si>
  <x:si>
    <x:t xml:space="preserve">SLOT_FIVE</x:t>
  </x:si>
  <x:si>
    <x:t xml:space="preserve">VM.Standard1.4</x:t>
  </x:si>
  <x:si>
    <x:t xml:space="preserve">18.13.0.0</x:t>
  </x:si>
  <x:si>
    <x:t xml:space="preserve">Exadata.Full1.336</x:t>
  </x:si>
  <x:si>
    <x:t xml:space="preserve">AR8ASMO8X</x:t>
  </x:si>
  <x:si>
    <x:t xml:space="preserve">binlog_row_value_options</x:t>
  </x:si>
  <x:si>
    <x:t xml:space="preserve">19.29.0.0</x:t>
  </x:si>
  <x:si>
    <x:t xml:space="preserve">SATURDAY</x:t>
  </x:si>
  <x:si>
    <x:t xml:space="preserve">SLOT_SIX</x:t>
  </x:si>
  <x:si>
    <x:t xml:space="preserve">VM.Standard1.8</x:t>
  </x:si>
  <x:si>
    <x:t xml:space="preserve">18.14.0.0</x:t>
  </x:si>
  <x:si>
    <x:t xml:space="preserve">Exadata.Base.48</x:t>
  </x:si>
  <x:si>
    <x:t xml:space="preserve">AR8ISO8859P6</x:t>
  </x:si>
  <x:si>
    <x:t xml:space="preserve">binlog_transaction_compression</x:t>
  </x:si>
  <x:si>
    <x:t xml:space="preserve">19.28.0.0</x:t>
  </x:si>
  <x:si>
    <x:t xml:space="preserve">SUNDAY</x:t>
  </x:si>
  <x:si>
    <x:t xml:space="preserve">SLOT_SEVEN</x:t>
  </x:si>
  <x:si>
    <x:t xml:space="preserve">VM.Standard2.8</x:t>
  </x:si>
  <x:si>
    <x:t xml:space="preserve">19.0.0.0</x:t>
  </x:si>
  <x:si>
    <x:t xml:space="preserve">Exadata.Half3.200</x:t>
  </x:si>
  <x:si>
    <x:t xml:space="preserve">AR8MSWIN1256</x:t>
  </x:si>
  <x:si>
    <x:t xml:space="preserve">completion_type</x:t>
  </x:si>
  <x:si>
    <x:t xml:space="preserve">19.27.0.0</x:t>
  </x:si>
  <x:si>
    <x:t xml:space="preserve">SLOT_EIGHT</x:t>
  </x:si>
  <x:si>
    <x:t xml:space="preserve">VM.Standard2.16</x:t>
  </x:si>
  <x:si>
    <x:t xml:space="preserve">19.10.0.0</x:t>
  </x:si>
  <x:si>
    <x:t xml:space="preserve">Exadata.Quater3.100</x:t>
  </x:si>
  <x:si>
    <x:t xml:space="preserve">AR8MUSSAD768</x:t>
  </x:si>
  <x:si>
    <x:t xml:space="preserve">connect_timeout</x:t>
  </x:si>
  <x:si>
    <x:t xml:space="preserve">19.26.0.0</x:t>
  </x:si>
  <x:si>
    <x:t xml:space="preserve">SLOT_NINE</x:t>
  </x:si>
  <x:si>
    <x:t xml:space="preserve">VM.Standard1.16</x:t>
  </x:si>
  <x:si>
    <x:t xml:space="preserve">19.11.0.0 </x:t>
  </x:si>
  <x:si>
    <x:t xml:space="preserve">Exadata.Full3.400</x:t>
  </x:si>
  <x:si>
    <x:t xml:space="preserve">AR8NAFITHA711</x:t>
  </x:si>
  <x:si>
    <x:t xml:space="preserve">connection_memory_chunk_size</x:t>
  </x:si>
  <x:si>
    <x:t xml:space="preserve">SLOT_TEN</x:t>
  </x:si>
  <x:si>
    <x:t xml:space="preserve">VM.Standard2.24</x:t>
  </x:si>
  <x:si>
    <x:t xml:space="preserve">19.12.0.0</x:t>
  </x:si>
  <x:si>
    <x:t xml:space="preserve">Exadata X8M-2</x:t>
  </x:si>
  <x:si>
    <x:t xml:space="preserve">AR8NAFITHA721</x:t>
  </x:si>
  <x:si>
    <x:t xml:space="preserve">connection_memory_limit</x:t>
  </x:si>
  <x:si>
    <x:t xml:space="preserve">SLOT_ELEVEN</x:t>
  </x:si>
  <x:si>
    <x:t xml:space="preserve">BM.DenseIO1.36</x:t>
  </x:si>
  <x:si>
    <x:t xml:space="preserve">21.0.0.0</x:t>
  </x:si>
  <x:si>
    <x:t xml:space="preserve">Exadata X9M-2</x:t>
  </x:si>
  <x:si>
    <x:t xml:space="preserve">AR8SAKHR706</x:t>
  </x:si>
  <x:si>
    <x:t xml:space="preserve">cte_max_recursion_depth</x:t>
  </x:si>
  <x:si>
    <x:t xml:space="preserve">SLOT_TWELVE</x:t>
  </x:si>
  <x:si>
    <x:t xml:space="preserve">BM.DenseIO2.52</x:t>
  </x:si>
  <x:si>
    <x:t xml:space="preserve">21.3.0.0</x:t>
  </x:si>
  <x:si>
    <x:t xml:space="preserve">Exadata.X11M</x:t>
  </x:si>
  <x:si>
    <x:t xml:space="preserve">AR8SAKHR707</x:t>
  </x:si>
  <x:si>
    <x:t xml:space="preserve">default_authentication_plugin</x:t>
  </x:si>
  <x:si>
    <x:t xml:space="preserve">AZ8ISO8859P9E</x:t>
  </x:si>
  <x:si>
    <x:t xml:space="preserve">foreign_key_checks</x:t>
  </x:si>
  <x:si>
    <x:t xml:space="preserve">BG8MSWIN</x:t>
  </x:si>
  <x:si>
    <x:t xml:space="preserve">global_connection_memory_limit</x:t>
  </x:si>
  <x:si>
    <x:t xml:space="preserve">BG8PC437S</x:t>
  </x:si>
  <x:si>
    <x:t xml:space="preserve">global_connection_memory_tracking</x:t>
  </x:si>
  <x:si>
    <x:t xml:space="preserve">BLT8CP921</x:t>
  </x:si>
  <x:si>
    <x:t xml:space="preserve">group_replication_consistency</x:t>
  </x:si>
  <x:si>
    <x:t xml:space="preserve">BLT8ISO8859P13</x:t>
  </x:si>
  <x:si>
    <x:t xml:space="preserve">information_schema_stats_expiry</x:t>
  </x:si>
  <x:si>
    <x:t xml:space="preserve">BLT8MSWIN1257</x:t>
  </x:si>
  <x:si>
    <x:t xml:space="preserve">innodb_buffer_pool_dump_pct</x:t>
  </x:si>
  <x:si>
    <x:t xml:space="preserve">BLT8PC775</x:t>
  </x:si>
  <x:si>
    <x:t xml:space="preserve">innodb_buffer_pool_instances</x:t>
  </x:si>
  <x:si>
    <x:t xml:space="preserve">BN8BSCII</x:t>
  </x:si>
  <x:si>
    <x:t xml:space="preserve">innodb_buffer_pool_size</x:t>
  </x:si>
  <x:si>
    <x:t xml:space="preserve">CDN8PC863</x:t>
  </x:si>
  <x:si>
    <x:t xml:space="preserve">innodb_ddl_buffer_size</x:t>
  </x:si>
  <x:si>
    <x:t xml:space="preserve">CEL8ISO8859P14</x:t>
  </x:si>
  <x:si>
    <x:t xml:space="preserve">innodb_ddl_threads</x:t>
  </x:si>
  <x:si>
    <x:t xml:space="preserve">CL8ISO8859P5</x:t>
  </x:si>
  <x:si>
    <x:t xml:space="preserve">innodb_ft_enable_stopword</x:t>
  </x:si>
  <x:si>
    <x:t xml:space="preserve">CL8ISOIR111</x:t>
  </x:si>
  <x:si>
    <x:t xml:space="preserve">innodb_ft_max_token_size</x:t>
  </x:si>
  <x:si>
    <x:t xml:space="preserve">CL8KOI8R</x:t>
  </x:si>
  <x:si>
    <x:t xml:space="preserve">innodb_ft_min_token_size</x:t>
  </x:si>
  <x:si>
    <x:t xml:space="preserve">CL8KOI8U</x:t>
  </x:si>
  <x:si>
    <x:t xml:space="preserve">innodb_ft_num_word_optimize</x:t>
  </x:si>
  <x:si>
    <x:t xml:space="preserve">CL8MACCYRILLICS</x:t>
  </x:si>
  <x:si>
    <x:t xml:space="preserve">innodb_ft_result_cache_limit</x:t>
  </x:si>
  <x:si>
    <x:t xml:space="preserve">CL8MSWIN1251</x:t>
  </x:si>
  <x:si>
    <x:t xml:space="preserve">innodb_ft_server_stopword_table</x:t>
  </x:si>
  <x:si>
    <x:t xml:space="preserve">EE8ISO8859P2</x:t>
  </x:si>
  <x:si>
    <x:t xml:space="preserve">innodb_lock_wait_timeout</x:t>
  </x:si>
  <x:si>
    <x:t xml:space="preserve">EE8MACCES</x:t>
  </x:si>
  <x:si>
    <x:t xml:space="preserve">innodb_log_writer_threads</x:t>
  </x:si>
  <x:si>
    <x:t xml:space="preserve">EE8MACCROATIANS</x:t>
  </x:si>
  <x:si>
    <x:t xml:space="preserve">innodb_max_purge_lag</x:t>
  </x:si>
  <x:si>
    <x:t xml:space="preserve">EE8MSWIN1250</x:t>
  </x:si>
  <x:si>
    <x:t xml:space="preserve">innodb_max_purge_lag_delay</x:t>
  </x:si>
  <x:si>
    <x:t xml:space="preserve">EE8PC852</x:t>
  </x:si>
  <x:si>
    <x:t xml:space="preserve">innodb_stats_persistent_sample_pages</x:t>
  </x:si>
  <x:si>
    <x:t xml:space="preserve">EL8DEC</x:t>
  </x:si>
  <x:si>
    <x:t xml:space="preserve">innodb_stats_transient_sample_pages</x:t>
  </x:si>
  <x:si>
    <x:t xml:space="preserve">EL8ISO8859P7</x:t>
  </x:si>
  <x:si>
    <x:t xml:space="preserve">interactive_timeout</x:t>
  </x:si>
  <x:si>
    <x:t xml:space="preserve">EL8MACGREEKS</x:t>
  </x:si>
  <x:si>
    <x:t xml:space="preserve">local_infile</x:t>
  </x:si>
  <x:si>
    <x:t xml:space="preserve">EL8MSWIN1253</x:t>
  </x:si>
  <x:si>
    <x:t xml:space="preserve">mandatory_roles</x:t>
  </x:si>
  <x:si>
    <x:t xml:space="preserve">EL8PC437S</x:t>
  </x:si>
  <x:si>
    <x:t xml:space="preserve">max_allowed_packet</x:t>
  </x:si>
  <x:si>
    <x:t xml:space="preserve">EL8PC851</x:t>
  </x:si>
  <x:si>
    <x:t xml:space="preserve">max_binlog_cache_size</x:t>
  </x:si>
  <x:si>
    <x:t xml:space="preserve">EL8PC869</x:t>
  </x:si>
  <x:si>
    <x:t xml:space="preserve">max_connect_errors</x:t>
  </x:si>
  <x:si>
    <x:t xml:space="preserve">ET8MSWIN923</x:t>
  </x:si>
  <x:si>
    <x:t xml:space="preserve">max_connections</x:t>
  </x:si>
  <x:si>
    <x:t xml:space="preserve">HU8ABMOD</x:t>
  </x:si>
  <x:si>
    <x:t xml:space="preserve">max_execution_time</x:t>
  </x:si>
  <x:si>
    <x:t xml:space="preserve">HU8CWI2</x:t>
  </x:si>
  <x:si>
    <x:t xml:space="preserve">max_heap_table_size</x:t>
  </x:si>
  <x:si>
    <x:t xml:space="preserve">IN8ISCII</x:t>
  </x:si>
  <x:si>
    <x:t xml:space="preserve">max_prepared_stmt_count</x:t>
  </x:si>
  <x:si>
    <x:t xml:space="preserve">IS8PC861</x:t>
  </x:si>
  <x:si>
    <x:t xml:space="preserve">mysql_firewall_mode</x:t>
  </x:si>
  <x:si>
    <x:t xml:space="preserve">IW8ISO8859P8</x:t>
  </x:si>
  <x:si>
    <x:t xml:space="preserve">mysqlx_connect_timeout</x:t>
  </x:si>
  <x:si>
    <x:t xml:space="preserve">IW8MACHEBREWS</x:t>
  </x:si>
  <x:si>
    <x:t xml:space="preserve">mysqlx_deflate_default_compression_level</x:t>
  </x:si>
  <x:si>
    <x:t xml:space="preserve">IW8MSWIN1255</x:t>
  </x:si>
  <x:si>
    <x:t xml:space="preserve">mysqlx_deflate_max_client_compression_level</x:t>
  </x:si>
  <x:si>
    <x:t xml:space="preserve">IW8PC1507</x:t>
  </x:si>
  <x:si>
    <x:t xml:space="preserve">mysqlx_enable_hello_notice</x:t>
  </x:si>
  <x:si>
    <x:t xml:space="preserve">JA16EUC</x:t>
  </x:si>
  <x:si>
    <x:t xml:space="preserve">mysqlx_interactive_timeout</x:t>
  </x:si>
  <x:si>
    <x:t xml:space="preserve">JA16EUCTILDE</x:t>
  </x:si>
  <x:si>
    <x:t xml:space="preserve">mysqlx_lz4default_compression_level</x:t>
  </x:si>
  <x:si>
    <x:t xml:space="preserve">JA16SJIS</x:t>
  </x:si>
  <x:si>
    <x:t xml:space="preserve">mysqlx_lz4max_client_compression_level</x:t>
  </x:si>
  <x:si>
    <x:t xml:space="preserve">JA16SJISTILDE</x:t>
  </x:si>
  <x:si>
    <x:t xml:space="preserve">mysqlx_max_allowed_packet</x:t>
  </x:si>
  <x:si>
    <x:t xml:space="preserve">JA16VMS</x:t>
  </x:si>
  <x:si>
    <x:t xml:space="preserve">mysqlx_read_timeout</x:t>
  </x:si>
  <x:si>
    <x:t xml:space="preserve">KO16KSC5601</x:t>
  </x:si>
  <x:si>
    <x:t xml:space="preserve">mysqlx_wait_timeout</x:t>
  </x:si>
  <x:si>
    <x:t xml:space="preserve">KO16KSCCS</x:t>
  </x:si>
  <x:si>
    <x:t xml:space="preserve">mysqlx_write_timeout</x:t>
  </x:si>
  <x:si>
    <x:t xml:space="preserve">KO16MSWIN949</x:t>
  </x:si>
  <x:si>
    <x:t xml:space="preserve">mysqlx_zstd_default_compression_level</x:t>
  </x:si>
  <x:si>
    <x:t xml:space="preserve">LA8ISO6937</x:t>
  </x:si>
  <x:si>
    <x:t xml:space="preserve">mysqlx_zstd_max_client_compression_level</x:t>
  </x:si>
  <x:si>
    <x:t xml:space="preserve">LA8PASSPORT</x:t>
  </x:si>
  <x:si>
    <x:t xml:space="preserve">net_read_timeout</x:t>
  </x:si>
  <x:si>
    <x:t xml:space="preserve">LT8MSWIN921</x:t>
  </x:si>
  <x:si>
    <x:t xml:space="preserve">net_write_timeout</x:t>
  </x:si>
  <x:si>
    <x:t xml:space="preserve">LT8PC772</x:t>
  </x:si>
  <x:si>
    <x:t xml:space="preserve">parser_max_mem_size</x:t>
  </x:si>
  <x:si>
    <x:t xml:space="preserve">LT8PC774</x:t>
  </x:si>
  <x:si>
    <x:t xml:space="preserve">regexp_time_limit</x:t>
  </x:si>
  <x:si>
    <x:t xml:space="preserve">LV8PC1117</x:t>
  </x:si>
  <x:si>
    <x:t xml:space="preserve">sort_buffer_size</x:t>
  </x:si>
  <x:si>
    <x:t xml:space="preserve">LV8PC8LR</x:t>
  </x:si>
  <x:si>
    <x:t xml:space="preserve">sql_mode</x:t>
  </x:si>
  <x:si>
    <x:t xml:space="preserve">LV8RST104090</x:t>
  </x:si>
  <x:si>
    <x:t xml:space="preserve">sql_require_primary_key</x:t>
  </x:si>
  <x:si>
    <x:t xml:space="preserve">N8PC865</x:t>
  </x:si>
  <x:si>
    <x:t xml:space="preserve">sql_warnings</x:t>
  </x:si>
  <x:si>
    <x:t xml:space="preserve">NE8ISO8859P10</x:t>
  </x:si>
  <x:si>
    <x:t xml:space="preserve">thread_pool_dedicated_listeners</x:t>
  </x:si>
  <x:si>
    <x:t xml:space="preserve">NEE8ISO8859P4</x:t>
  </x:si>
  <x:si>
    <x:t xml:space="preserve">thread_pool_max_transactions_limit</x:t>
  </x:si>
  <x:si>
    <x:t xml:space="preserve">RU8BESTA</x:t>
  </x:si>
  <x:si>
    <x:t xml:space="preserve">time_zone</x:t>
  </x:si>
  <x:si>
    <x:t xml:space="preserve">RU8PC855</x:t>
  </x:si>
  <x:si>
    <x:t xml:space="preserve">tmp_table_size</x:t>
  </x:si>
  <x:si>
    <x:t xml:space="preserve">RU8PC866</x:t>
  </x:si>
  <x:si>
    <x:t xml:space="preserve">transaction_isolation</x:t>
  </x:si>
  <x:si>
    <x:t xml:space="preserve">SE8ISO8859P3</x:t>
  </x:si>
  <x:si>
    <x:t xml:space="preserve">wait_timeout</x:t>
  </x:si>
  <x:si>
    <x:t xml:space="preserve">TH8MACTHAIS</x:t>
  </x:si>
  <x:si>
    <x:t xml:space="preserve">TH8TISASCII</x:t>
  </x:si>
  <x:si>
    <x:t xml:space="preserve">TR8DEC</x:t>
  </x:si>
  <x:si>
    <x:t xml:space="preserve">TR8MACTURKISHS</x:t>
  </x:si>
  <x:si>
    <x:t xml:space="preserve">TR8MSWIN1254</x:t>
  </x:si>
  <x:si>
    <x:t xml:space="preserve">TR8PC857</x:t>
  </x:si>
  <x:si>
    <x:t xml:space="preserve">US7ASCII</x:t>
  </x:si>
  <x:si>
    <x:t xml:space="preserve">US8PC437</x:t>
  </x:si>
  <x:si>
    <x:t xml:space="preserve">VN8MSWIN1258</x:t>
  </x:si>
  <x:si>
    <x:t xml:space="preserve">VN8VN3</x:t>
  </x:si>
  <x:si>
    <x:t xml:space="preserve">WE8DEC</x:t>
  </x:si>
  <x:si>
    <x:t xml:space="preserve">WE8DG</x:t>
  </x:si>
  <x:si>
    <x:t xml:space="preserve">WE8ISO8859P1</x:t>
  </x:si>
  <x:si>
    <x:t xml:space="preserve">WE8ISO8859P15</x:t>
  </x:si>
  <x:si>
    <x:t xml:space="preserve">WE8ISO8859P9</x:t>
  </x:si>
  <x:si>
    <x:t xml:space="preserve">WE8MACROMAN8S</x:t>
  </x:si>
  <x:si>
    <x:t xml:space="preserve">WE8MSWIN1252</x:t>
  </x:si>
  <x:si>
    <x:t xml:space="preserve">WE8NCR4970</x:t>
  </x:si>
  <x:si>
    <x:t xml:space="preserve">WE8NEXTSTEP</x:t>
  </x:si>
  <x:si>
    <x:t xml:space="preserve">WE8PC850</x:t>
  </x:si>
  <x:si>
    <x:t xml:space="preserve">WE8PC858</x:t>
  </x:si>
  <x:si>
    <x:t xml:space="preserve">WE8PC860</x:t>
  </x:si>
  <x:si>
    <x:t xml:space="preserve">WE8ROMAN8</x:t>
  </x:si>
  <x:si>
    <x:t xml:space="preserve">ZHS16CGB231280</x:t>
  </x:si>
  <x:si>
    <x:t xml:space="preserve">ZHS16GBK</x:t>
  </x:si>
  <x:si>
    <x:t xml:space="preserve">ZHT16BIG5</x:t>
  </x:si>
  <x:si>
    <x:t xml:space="preserve">ZHT16CCDC</x:t>
  </x:si>
  <x:si>
    <x:t xml:space="preserve">ZHT16DBT</x:t>
  </x:si>
  <x:si>
    <x:t xml:space="preserve">ZHT16HKSCS</x:t>
  </x:si>
  <x:si>
    <x:t xml:space="preserve">ZHT16MSWIN950</x:t>
  </x:si>
  <x:si>
    <x:t xml:space="preserve">ZHT32EUC</x:t>
  </x:si>
  <x:si>
    <x:t xml:space="preserve">ZHT32SOPS</x:t>
  </x:si>
  <x:si>
    <x:t xml:space="preserve">ZHT32TRIS</x:t>
  </x:si>
  <x:si>
    <x:t xml:space="preserve">Fixed Reference</x:t>
  </x:si>
  <x:si>
    <x:t xml:space="preserve">VCN for DRG</x:t>
  </x:si>
  <x:si>
    <x:t xml:space="preserve">VCN List</x:t>
  </x:si>
  <x:si>
    <x:t xml:space="preserve">VCN Unique</x:t>
  </x:si>
  <x:si>
    <x:t xml:space="preserve">Subnet Names</x:t>
  </x:si>
  <x:si>
    <x:t xml:space="preserve">VLAN Names</x:t>
  </x:si>
  <x:si>
    <x:t xml:space="preserve">Row references</x:t>
  </x:si>
  <x:si>
    <x:t xml:space="preserve">Sl.No</x:t>
  </x:si>
  <x:si>
    <x:t xml:space="preserve">Subnet Unique</x:t>
  </x:si>
  <x:si>
    <x:t xml:space="preserve">VLAN Unique</x:t>
  </x:si>
  <x:si>
    <x:t xml:space="preserve">DRG Required(VCN)
IGW Required(VCN)
NGW Required(VCN)
SGW Required(VCN)
Add Default Seclist(Subnets)
Configure NGW Route(Subnets)
Configure IGW Route(Subnets)
Configure OnPrem Route(Subnets)
Configure VCNPeering Route(Subnets)
UseSSL(LB-Listener)
</x:t>
  </x:si>
  <x:si>
    <x:t xml:space="preserve">server type(subnet)</x:t>
  </x:si>
  <x:si>
    <x:t xml:space="preserve">Availability Domain(subnet)</x:t>
  </x:si>
  <x:si>
    <x:t xml:space="preserve">Type(subnet)</x:t>
  </x:si>
  <x:si>
    <x:t xml:space="preserve">DHCP Option name(Subnet)</x:t>
  </x:si>
  <x:si>
    <x:t xml:space="preserve">Configure SGW Route(Subnet)</x:t>
  </x:si>
  <x:si>
    <x:t xml:space="preserve">DRG List</x:t>
  </x:si>
  <x:si>
    <x:t xml:space="preserve">Direction(SL)</x:t>
  </x:si>
  <x:si>
    <x:t xml:space="preserve">protocol(SL)- Commonly Used</x:t>
  </x:si>
  <x:si>
    <x:t xml:space="preserve">isStateless(SL)</x:t>
  </x:si>
  <x:si>
    <x:t xml:space="preserve">FAULT-DOMAIN</x:t>
  </x:si>
  <x:si>
    <x:t xml:space="preserve">Availability Domain(Compute)</x:t>
  </x:si>
  <x:si>
    <x:t xml:space="preserve">Backup Policy(Instance)</x:t>
  </x:si>
  <x:si>
    <x:t xml:space="preserve">DVM List</x:t>
  </x:si>
  <x:si>
    <x:t xml:space="preserve">Instance list(BlockVols)</x:t>
  </x:si>
  <x:si>
    <x:t xml:space="preserve">Attach Type</x:t>
  </x:si>
  <x:si>
    <x:t xml:space="preserve">Access</x:t>
  </x:si>
  <x:si>
    <x:t xml:space="preserve">IDSquash</x:t>
  </x:si>
  <x:si>
    <x:t xml:space="preserve">Cost tracking tags
Require PS Port
Pub Address(Instance)</x:t>
  </x:si>
  <x:si>
    <x:t xml:space="preserve">Backend Policy</x:t>
  </x:si>
  <x:si>
    <x:t xml:space="preserve">Backend HealthCheck Protocol</x:t>
  </x:si>
  <x:si>
    <x:t xml:space="preserve">Cookie Session</x:t>
  </x:si>
  <x:si>
    <x:t xml:space="preserve">Actions_Values</x:t>
  </x:si>
  <x:si>
    <x:t xml:space="preserve">Allowed_Methods</x:t>
  </x:si>
  <x:si>
    <x:t xml:space="preserve">Match_Style</x:t>
  </x:si>
  <x:si>
    <x:t xml:space="preserve">Attribute_Names</x:t>
  </x:si>
  <x:si>
    <x:t xml:space="preserve">Response_Code</x:t>
  </x:si>
  <x:si>
    <x:t xml:space="preserve">Header_Size</x:t>
  </x:si>
  <x:si>
    <x:t xml:space="preserve">Listener Protocol</x:t>
  </x:si>
  <x:si>
    <x:t xml:space="preserve">ADW or ATP</x:t>
  </x:si>
  <x:si>
    <x:t xml:space="preserve">Pod Security policy/API Endpoint Pub Address</x:t>
  </x:si>
  <x:si>
    <x:t xml:space="preserve">Kubernetes Version</x:t>
  </x:si>
  <x:si>
    <x:t xml:space="preserve">VCN for DRG Unique</x:t>
  </x:si>
  <x:si>
    <x:t xml:space="preserve">Subnet</x:t>
  </x:si>
  <x:si>
    <x:t xml:space="preserve">y</x:t>
  </x:si>
  <x:si>
    <x:t xml:space="preserve">##Commercial##</x:t>
  </x:si>
  <x:si>
    <x:t xml:space="preserve">VcnLocalPlusInternet</x:t>
  </x:si>
  <x:si>
    <x:t xml:space="preserve">Regional</x:t>
  </x:si>
  <x:si>
    <x:t xml:space="preserve">private</x:t>
  </x:si>
  <x:si>
    <x:t xml:space="preserve">n</x:t>
  </x:si>
  <x:si>
    <x:t xml:space="preserve">DRG</x:t>
  </x:si>
  <x:si>
    <x:t xml:space="preserve">EGRESS</x:t>
  </x:si>
  <x:si>
    <x:t xml:space="preserve">all</x:t>
  </x:si>
  <x:si>
    <x:t xml:space="preserve">True</x:t>
  </x:si>
  <x:si>
    <x:t xml:space="preserve">FAULT-DOMAIN-1</x:t>
  </x:si>
  <x:si>
    <x:t xml:space="preserve">AD1</x:t>
  </x:si>
  <x:si>
    <x:t xml:space="preserve">Gold</x:t>
  </x:si>
  <x:si>
    <x:t xml:space="preserve">iscsi</x:t>
  </x:si>
  <x:si>
    <x:t xml:space="preserve">READ_ONLY</x:t>
  </x:si>
  <x:si>
    <x:t xml:space="preserve">ALL</x:t>
  </x:si>
  <x:si>
    <x:t xml:space="preserve">100Mbps</x:t>
  </x:si>
  <x:si>
    <x:t xml:space="preserve">LEAST_CONNECTIONS</x:t>
  </x:si>
  <x:si>
    <x:t xml:space="preserve">HTTP</x:t>
  </x:si>
  <x:si>
    <x:t xml:space="preserve">ADD_HTTP_REQUEST_HEADER</x:t>
  </x:si>
  <x:si>
    <x:t xml:space="preserve">ACL</x:t>
  </x:si>
  <x:si>
    <x:t xml:space="preserve">EXACT_MATCH</x:t>
  </x:si>
  <x:si>
    <x:t xml:space="preserve">PATH</x:t>
  </x:si>
  <x:si>
    <x:t xml:space="preserve">FLANNEL_OVERLAY</x:t>
  </x:si>
  <x:si>
    <x:t xml:space="preserve">v1.22.5</x:t>
  </x:si>
  <x:si>
    <x:t xml:space="preserve">Abudhabi</x:t>
  </x:si>
  <x:si>
    <x:t xml:space="preserve">CustomDnsServer</x:t>
  </x:si>
  <x:si>
    <x:t xml:space="preserve">public</x:t>
  </x:si>
  <x:si>
    <x:t xml:space="preserve">object_storage</x:t>
  </x:si>
  <x:si>
    <x:t xml:space="preserve">INGRESS</x:t>
  </x:si>
  <x:si>
    <x:t xml:space="preserve">tcp</x:t>
  </x:si>
  <x:si>
    <x:t xml:space="preserve">False</x:t>
  </x:si>
  <x:si>
    <x:t xml:space="preserve">FAULT-DOMAIN-2</x:t>
  </x:si>
  <x:si>
    <x:t xml:space="preserve">AD2</x:t>
  </x:si>
  <x:si>
    <x:t xml:space="preserve">Silver</x:t>
  </x:si>
  <x:si>
    <x:t xml:space="preserve">paravirtualized</x:t>
  </x:si>
  <x:si>
    <x:t xml:space="preserve">READ_WRITE</x:t>
  </x:si>
  <x:si>
    <x:t xml:space="preserve">ROOT</x:t>
  </x:si>
  <x:si>
    <x:t xml:space="preserve">400Mbps</x:t>
  </x:si>
  <x:si>
    <x:t xml:space="preserve">ROUND_ROBIN</x:t>
  </x:si>
  <x:si>
    <x:t xml:space="preserve">TCP</x:t>
  </x:si>
  <x:si>
    <x:t xml:space="preserve">LB</x:t>
  </x:si>
  <x:si>
    <x:t xml:space="preserve">ADD_HTTP_RESPONSE_HEADER</x:t>
  </x:si>
  <x:si>
    <x:t xml:space="preserve">BASELINE-CONTROL</x:t>
  </x:si>
  <x:si>
    <x:t xml:space="preserve">FORCE_LONGEST_PREFIX_MATCH</x:t>
  </x:si>
  <x:si>
    <x:t xml:space="preserve">SOURCE_IP_ADDRESS</x:t>
  </x:si>
  <x:si>
    <x:t xml:space="preserve">OCI_VCN_IP_NATIVE</x:t>
  </x:si>
  <x:si>
    <x:t xml:space="preserve">v1.23.4</x:t>
  </x:si>
  <x:si>
    <x:t xml:space="preserve">Amsterdam</x:t>
  </x:si>
  <x:si>
    <x:t xml:space="preserve">all_services</x:t>
  </x:si>
  <x:si>
    <x:t xml:space="preserve">udp</x:t>
  </x:si>
  <x:si>
    <x:t xml:space="preserve">FAULT-DOMAIN-3</x:t>
  </x:si>
  <x:si>
    <x:t xml:space="preserve">AD3</x:t>
  </x:si>
  <x:si>
    <x:t xml:space="preserve">Bronze</x:t>
  </x:si>
  <x:si>
    <x:t xml:space="preserve">NONE</x:t>
  </x:si>
  <x:si>
    <x:t xml:space="preserve">8000Mbps</x:t>
  </x:si>
  <x:si>
    <x:t xml:space="preserve">IP_HASH</x:t>
  </x:si>
  <x:si>
    <x:t xml:space="preserve">Backend Server</x:t>
  </x:si>
  <x:si>
    <x:t xml:space="preserve">ALLOW</x:t>
  </x:si>
  <x:si>
    <x:t xml:space="preserve">BIND</x:t>
  </x:si>
  <x:si>
    <x:t xml:space="preserve">PREFIX_MATCH</x:t>
  </x:si>
  <x:si>
    <x:t xml:space="preserve">SOURCE_VCN_IP_ADDRESS</x:t>
  </x:si>
  <x:si>
    <x:t xml:space="preserve">v1.24.1</x:t>
  </x:si>
  <x:si>
    <x:t xml:space="preserve">Ashburn</x:t>
  </x:si>
  <x:si>
    <x:t xml:space="preserve">icmp</x:t>
  </x:si>
  <x:si>
    <x:t xml:space="preserve">flexible</x:t>
  </x:si>
  <x:si>
    <x:t xml:space="preserve">CONTROL_ACCESS_USING_HTTP_METHODS</x:t>
  </x:si>
  <x:si>
    <x:t xml:space="preserve">CHECKIN</x:t>
  </x:si>
  <x:si>
    <x:t xml:space="preserve">SUFFIX_MATCH</x:t>
  </x:si>
  <x:si>
    <x:t xml:space="preserve">Bogota</x:t>
  </x:si>
  <x:si>
    <x:t xml:space="preserve">EXTEND_HTTP_REQUEST_HEADER_VALUE</x:t>
  </x:si>
  <x:si>
    <x:t xml:space="preserve">CHECKOUT</x:t>
  </x:si>
  <x:si>
    <x:t xml:space="preserve">Cardiff</x:t>
  </x:si>
  <x:si>
    <x:t xml:space="preserve">EXTEND_HTTP_RESPONSE_HEADER_VALUE</x:t>
  </x:si>
  <x:si>
    <x:t xml:space="preserve">CONNECT</x:t>
  </x:si>
  <x:si>
    <x:t xml:space="preserve">Chicago</x:t>
  </x:si>
  <x:si>
    <x:t xml:space="preserve">HTTP_HEADER</x:t>
  </x:si>
  <x:si>
    <x:t xml:space="preserve">COPY</x:t>
  </x:si>
  <x:si>
    <x:t xml:space="preserve">Chuncheon</x:t>
  </x:si>
  <x:si>
    <x:t xml:space="preserve">REDIRECT</x:t>
  </x:si>
  <x:si>
    <x:t xml:space="preserve">DELETE</x:t>
  </x:si>
  <x:si>
    <x:t xml:space="preserve">Dubai</x:t>
  </x:si>
  <x:si>
    <x:t xml:space="preserve">REMOVE_HTTP_REQUEST_HEADER</x:t>
  </x:si>
  <x:si>
    <x:t xml:space="preserve">GET</x:t>
  </x:si>
  <x:si>
    <x:t xml:space="preserve">Frankfurt</x:t>
  </x:si>
  <x:si>
    <x:t xml:space="preserve">REMOVE_HTTP_RESPONSE_HEADER</x:t>
  </x:si>
  <x:si>
    <x:t xml:space="preserve">HEAD</x:t>
  </x:si>
  <x:si>
    <x:t xml:space="preserve">Hyderabad</x:t>
  </x:si>
  <x:si>
    <x:t xml:space="preserve">LABEL</x:t>
  </x:si>
  <x:si>
    <x:t xml:space="preserve">Jeddah</x:t>
  </x:si>
  <x:si>
    <x:t xml:space="preserve">LINK</x:t>
  </x:si>
  <x:si>
    <x:t xml:space="preserve">Jerusalem</x:t>
  </x:si>
  <x:si>
    <x:t xml:space="preserve">LOCK</x:t>
  </x:si>
  <x:si>
    <x:t xml:space="preserve">Johannesburg</x:t>
  </x:si>
  <x:si>
    <x:t xml:space="preserve">MERGE</x:t>
  </x:si>
  <x:si>
    <x:t xml:space="preserve">Jovanovac</x:t>
  </x:si>
  <x:si>
    <x:t xml:space="preserve">MKACTIVITY</x:t>
  </x:si>
  <x:si>
    <x:t xml:space="preserve">London</x:t>
  </x:si>
  <x:si>
    <x:t xml:space="preserve">MKCALENDAR</x:t>
  </x:si>
  <x:si>
    <x:t xml:space="preserve">Madrid</x:t>
  </x:si>
  <x:si>
    <x:t xml:space="preserve">MKCOL</x:t>
  </x:si>
  <x:si>
    <x:t xml:space="preserve">Marseille</x:t>
  </x:si>
  <x:si>
    <x:t xml:space="preserve">MKREDIRECTREF</x:t>
  </x:si>
  <x:si>
    <x:t xml:space="preserve">Melbourne</x:t>
  </x:si>
  <x:si>
    <x:t xml:space="preserve">MKWORKSPACE</x:t>
  </x:si>
  <x:si>
    <x:t xml:space="preserve">Milan</x:t>
  </x:si>
  <x:si>
    <x:t xml:space="preserve">MOVE</x:t>
  </x:si>
  <x:si>
    <x:t xml:space="preserve">Montreal</x:t>
  </x:si>
  <x:si>
    <x:t xml:space="preserve">OPTIONS</x:t>
  </x:si>
  <x:si>
    <x:t xml:space="preserve">Monterrey</x:t>
  </x:si>
  <x:si>
    <x:t xml:space="preserve">ORDERPATCH</x:t>
  </x:si>
  <x:si>
    <x:t xml:space="preserve">Mumbai</x:t>
  </x:si>
  <x:si>
    <x:t xml:space="preserve">PATCH</x:t>
  </x:si>
  <x:si>
    <x:t xml:space="preserve">Newport</x:t>
  </x:si>
  <x:si>
    <x:t xml:space="preserve">POST</x:t>
  </x:si>
  <x:si>
    <x:t xml:space="preserve">Osaka</x:t>
  </x:si>
  <x:si>
    <x:t xml:space="preserve">PRI</x:t>
  </x:si>
  <x:si>
    <x:t xml:space="preserve">Paris</x:t>
  </x:si>
  <x:si>
    <x:t xml:space="preserve">PROPFIND</x:t>
  </x:si>
  <x:si>
    <x:t xml:space="preserve">Phoenix</x:t>
  </x:si>
  <x:si>
    <x:t xml:space="preserve">PROPPATCH</x:t>
  </x:si>
  <x:si>
    <x:t xml:space="preserve">Queretaro</x:t>
  </x:si>
  <x:si>
    <x:t xml:space="preserve">PUT</x:t>
  </x:si>
  <x:si>
    <x:t xml:space="preserve">Riyadh</x:t>
  </x:si>
  <x:si>
    <x:t xml:space="preserve">REBIND</x:t>
  </x:si>
  <x:si>
    <x:t xml:space="preserve">Sanjose</x:t>
  </x:si>
  <x:si>
    <x:t xml:space="preserve">REPORT</x:t>
  </x:si>
  <x:si>
    <x:t xml:space="preserve">Santiago</x:t>
  </x:si>
  <x:si>
    <x:t xml:space="preserve">SEARCH</x:t>
  </x:si>
  <x:si>
    <x:t xml:space="preserve">Saopaulo</x:t>
  </x:si>
  <x:si>
    <x:t xml:space="preserve">TRACE</x:t>
  </x:si>
  <x:si>
    <x:t xml:space="preserve">Seoul</x:t>
  </x:si>
  <x:si>
    <x:t xml:space="preserve">UNBIND</x:t>
  </x:si>
  <x:si>
    <x:t xml:space="preserve">Singapore-1</x:t>
  </x:si>
  <x:si>
    <x:t xml:space="preserve">Singapore-2</x:t>
  </x:si>
  <x:si>
    <x:t xml:space="preserve">UNCHECKOUT</x:t>
  </x:si>
  <x:si>
    <x:t xml:space="preserve">Stockholm</x:t>
  </x:si>
  <x:si>
    <x:t xml:space="preserve">UNLINK</x:t>
  </x:si>
  <x:si>
    <x:t xml:space="preserve">Sydney</x:t>
  </x:si>
  <x:si>
    <x:t xml:space="preserve">UNLOCK</x:t>
  </x:si>
  <x:si>
    <x:t xml:space="preserve">Tokyo</x:t>
  </x:si>
  <x:si>
    <x:t xml:space="preserve">UPDATE</x:t>
  </x:si>
  <x:si>
    <x:t xml:space="preserve">Toronto</x:t>
  </x:si>
  <x:si>
    <x:t xml:space="preserve">UPDATEREDIRECTREF</x:t>
  </x:si>
  <x:si>
    <x:t xml:space="preserve">Valparaiso</x:t>
  </x:si>
  <x:si>
    <x:t xml:space="preserve">VERSION-CONTROL</x:t>
  </x:si>
  <x:si>
    <x:t xml:space="preserve">Vinhedo</x:t>
  </x:si>
  <x:si>
    <x:t xml:space="preserve">Zurich</x:t>
  </x:si>
  <x:si>
    <x:t xml:space="preserve">##US Gov##</x:t>
  </x:si>
  <x:si>
    <x:t xml:space="preserve">Langley</x:t>
  </x:si>
  <x:si>
    <x:t xml:space="preserve">Luke</x:t>
  </x:si>
  <x:si>
    <x:t xml:space="preserve">##US Defence##</x:t>
  </x:si>
  <x:si>
    <x:t xml:space="preserve">ashburn</x:t>
  </x:si>
  <x:si>
    <x:t xml:space="preserve">chicago</x:t>
  </x:si>
  <x:si>
    <x:t xml:space="preserve">##UK Gov##</x:t>
  </x:si>
  <x:si>
    <x:t xml:space="preserve">london</x:t>
  </x:si>
  <x:si>
    <x:t xml:space="preserve">cardiff</x:t>
  </x:si>
  <x:si>
    <x:t xml:space="preserve">Compartment List</x:t>
  </x:si>
  <x:si>
    <x:t xml:space="preserve">Compartment Unique</x:t>
  </x:si>
  <x:si>
    <x:t xml:space="preserve">root</x:t>
  </x:si>
</x:sst>
</file>

<file path=xl/styles.xml><?xml version="1.0" encoding="utf-8"?>
<x:styleSheet xmlns:x="http://schemas.openxmlformats.org/spreadsheetml/2006/main">
  <x:fonts count="62">
    <x:font>
      <x:sz val="11"/>
      <x:color theme="1"/>
      <x:name val="Calibri"/>
    </x:font>
    <x:font>
      <x:sz val="12"/>
      <x:color theme="1"/>
      <x:name val="Calibri"/>
    </x:font>
    <x:font>
      <x:b/>
      <x:sz val="11"/>
      <x:color indexed="8"/>
      <x:name val="Calibri"/>
    </x:font>
    <x:font>
      <x:b/>
      <x:sz val="11"/>
      <x:color theme="1"/>
      <x:name val="Calibri"/>
    </x:font>
    <x:font>
      <x:b/>
      <x:sz val="11"/>
      <x:name val="Calibri"/>
    </x:font>
    <x:font>
      <x:b/>
      <x:sz val="11"/>
      <x:color rgb="FF222222"/>
      <x:name val="Calibri"/>
    </x:font>
    <x:font>
      <x:sz val="10"/>
      <x:color rgb="FF1D1E23"/>
      <x:name val="Segoe UI"/>
    </x:font>
    <x:font>
      <x:sz val="9"/>
      <x:color rgb="FF1D1C1D"/>
      <x:name val="Arial"/>
    </x:font>
    <x:font>
      <x:b/>
      <x:sz val="11"/>
      <x:color theme="5" tint="-0.49998"/>
      <x:name val="Calibri"/>
    </x:font>
    <x:font>
      <x:i/>
      <x:sz val="11"/>
      <x:color theme="1"/>
      <x:name val="Calibri"/>
    </x:font>
    <x:font>
      <x:i/>
      <x:sz val="11"/>
      <x:color theme="5"/>
      <x:name val="Calibri"/>
    </x:font>
    <x:font>
      <x:sz val="11"/>
      <x:color theme="5"/>
      <x:name val="Calibri"/>
    </x:font>
    <x:font>
      <x:sz val="11"/>
      <x:name val="Calibri"/>
    </x:font>
    <x:font>
      <x:b/>
      <x:sz val="11"/>
      <x:name val="Calibri"/>
    </x:font>
    <x:font>
      <x:sz val="11"/>
      <x:color theme="5" tint="-0.24998"/>
      <x:name val="Calibri"/>
    </x:font>
    <x:font>
      <x:i/>
      <x:sz val="11"/>
      <x:color theme="5" tint="-0.24998"/>
      <x:name val="Calibri"/>
    </x:font>
    <x:font>
      <x:b/>
      <x:i/>
      <x:sz val="11"/>
      <x:color theme="5" tint="-0.24998"/>
      <x:name val="Calibri"/>
    </x:font>
    <x:font>
      <x:b/>
      <x:i/>
      <x:sz val="11"/>
      <x:color theme="5" tint="-0.24998"/>
      <x:name val="Calibri"/>
    </x:font>
    <x:font>
      <x:b/>
      <x:i/>
      <x:sz val="11"/>
      <x:color theme="1"/>
      <x:name val="Calibri"/>
    </x:font>
    <x:font>
      <x:b/>
      <x:i/>
      <x:sz val="11"/>
      <x:name val="Calibri"/>
    </x:font>
    <x:font>
      <x:b/>
      <x:sz val="11"/>
      <x:color theme="5" tint="-0.24998"/>
      <x:name val="Calibri"/>
    </x:font>
    <x:font>
      <x:b/>
      <x:i/>
      <x:sz val="11"/>
      <x:color theme="5" tint="-0.49998"/>
      <x:name val="Calibri"/>
    </x:font>
    <x:font>
      <x:sz val="10"/>
      <x:color rgb="FF1F2124"/>
      <x:name val="Segoe UI"/>
    </x:font>
    <x:font>
      <x:i/>
      <x:sz val="11"/>
      <x:name val="Calibri"/>
    </x:font>
    <x:font>
      <x:b/>
      <x:sz val="10"/>
      <x:color theme="1"/>
      <x:name val="Arial Unicode MS"/>
    </x:font>
    <x:font>
      <x:sz val="11"/>
      <x:color rgb="FF9C0006"/>
      <x:name val="Calibri"/>
    </x:font>
    <x:font>
      <x:b/>
      <x:sz val="11"/>
      <x:color theme="1"/>
      <x:name val="Abadi Extra Light"/>
    </x:font>
    <x:font>
      <x:b/>
      <x:sz val="10"/>
      <x:color rgb="FF1D1E23"/>
      <x:name val="Abadi Extra Light"/>
    </x:font>
    <x:font>
      <x:i/>
      <x:sz val="11"/>
      <x:color theme="5" tint="-0.24998"/>
      <x:name val="Calibri (Body)"/>
    </x:font>
    <x:font>
      <x:i/>
      <x:sz val="11"/>
      <x:color theme="5" tint="-0.49998"/>
      <x:name val="Calibri (Body)"/>
    </x:font>
    <x:font>
      <x:sz val="11"/>
      <x:color theme="5" tint="-0.49998"/>
      <x:name val="Calibri (Body)"/>
    </x:font>
    <x:font>
      <x:sz val="11"/>
      <x:color theme="5"/>
      <x:name val="Calibri (Body)"/>
    </x:font>
    <x:font>
      <x:sz val="11"/>
      <x:color rgb="FF000000"/>
      <x:name val="Calibri"/>
    </x:font>
    <x:font>
      <x:sz val="11"/>
      <x:color theme="10"/>
      <x:name val="Calibri"/>
    </x:font>
    <x:font>
      <x:b/>
      <x:sz val="10"/>
      <x:color theme="1"/>
      <x:name val="Calibri"/>
    </x:font>
    <x:font>
      <x:sz val="10"/>
      <x:color theme="1"/>
      <x:name val="Calibri"/>
    </x:font>
    <x:font>
      <x:b/>
      <x:i/>
      <x:sz val="10"/>
      <x:color theme="1"/>
      <x:name val="Calibri"/>
    </x:font>
    <x:font>
      <x:i/>
      <x:sz val="10"/>
      <x:color rgb="FFFF0000"/>
      <x:name val="Calibri"/>
    </x:font>
    <x:font>
      <x:i/>
      <x:sz val="10"/>
      <x:color theme="5" tint="-0.24998"/>
      <x:name val="Calibri"/>
    </x:font>
    <x:font>
      <x:b/>
      <x:sz val="11"/>
      <x:color rgb="FF000000"/>
      <x:name val="Calibri"/>
    </x:font>
    <x:font>
      <x:sz val="11"/>
      <x:color rgb="FF000000"/>
      <x:name val="Calibri"/>
    </x:font>
    <x:font>
      <x:b/>
      <x:sz val="7"/>
      <x:color rgb="FF161513"/>
      <x:name val="Arial"/>
    </x:font>
    <x:font>
      <x:sz val="10"/>
      <x:color rgb="FF1F2124"/>
      <x:name val="Segoe UI"/>
    </x:font>
    <x:font>
      <x:i/>
      <x:sz val="11"/>
      <x:color theme="5"/>
      <x:name val="Calibri (Body)"/>
    </x:font>
    <x:font>
      <x:b/>
      <x:sz val="10"/>
      <x:color rgb="FF000000"/>
      <x:name val="Tahoma"/>
    </x:font>
    <x:font>
      <x:sz val="10"/>
      <x:color rgb="FF000000"/>
      <x:name val="Tahoma"/>
    </x:font>
    <x:font>
      <x:b/>
      <x:i/>
      <x:sz val="11"/>
      <x:color theme="5"/>
      <x:name val="Calibri (Body)"/>
    </x:font>
    <x:font>
      <x:sz val="11"/>
      <x:color theme="1"/>
      <x:name val="Calibri (Body)"/>
    </x:font>
    <x:font>
      <x:b/>
      <x:sz val="10"/>
      <x:color rgb="FF000000"/>
      <x:name val="Calibri"/>
    </x:font>
    <x:font>
      <x:sz val="10"/>
      <x:color rgb="FF000000"/>
      <x:name val="Calibri"/>
    </x:font>
    <x:font>
      <x:sz val="11"/>
      <x:color theme="9"/>
      <x:name val="Calibri"/>
    </x:font>
    <x:font>
      <x:b/>
      <x:i/>
      <x:sz val="11"/>
      <x:color theme="5" tint="-0.24998"/>
      <x:name val="Calibri (Body)"/>
    </x:font>
    <x:font>
      <x:sz val="12"/>
      <x:color theme="0"/>
      <x:name val="Calibri"/>
    </x:font>
    <x:font>
      <x:sz val="11"/>
      <x:color rgb="FFC0504D"/>
      <x:name val="Calibri"/>
    </x:font>
    <x:font>
      <x:sz val="11"/>
      <x:color theme="5" tint="-0.24998"/>
      <x:name val="Calibri (Body)"/>
    </x:font>
    <x:font>
      <x:sz val="11"/>
      <x:color theme="5" tint="-0.24998"/>
      <x:name val="Comic Sans MS Bold"/>
    </x:font>
    <x:font>
      <x:sz val="11"/>
      <x:color theme="0"/>
      <x:name val="Calibri"/>
    </x:font>
    <x:font>
      <x:sz val="15"/>
      <x:color theme="1"/>
      <x:name val="Calibri"/>
    </x:font>
    <x:font>
      <x:b/>
      <x:sz val="15"/>
      <x:color theme="1"/>
      <x:name val="Calibri"/>
    </x:font>
    <x:font>
      <x:b/>
      <x:sz val="16"/>
      <x:color rgb="FFFFFFFF"/>
      <x:name val="Calibri"/>
    </x:font>
    <x:font>
      <x:b/>
      <x:sz val="11"/>
      <x:color rgb="FF17365D"/>
      <x:name val="Calibri"/>
    </x:font>
    <x:font>
      <x:b/>
      <x:sz val="11"/>
      <x:color rgb="FFFFFFFF"/>
      <x:name val="Calibri"/>
    </x:font>
  </x:fonts>
  <x:fills count="19">
    <x:fill>
      <x:patternFill patternType="none"/>
    </x:fill>
    <x:fill>
      <x:patternFill patternType="gray125"/>
    </x:fill>
    <x:fill>
      <x:patternFill patternType="solid">
        <x:fgColor theme="0" tint="-0.15"/>
      </x:patternFill>
    </x:fill>
    <x:fill>
      <x:patternFill patternType="solid">
        <x:fgColor theme="0"/>
      </x:patternFill>
    </x:fill>
    <x:fill>
      <x:patternFill patternType="solid">
        <x:fgColor theme="0" tint="-0.24998"/>
      </x:patternFill>
    </x:fill>
    <x:fill>
      <x:patternFill patternType="solid">
        <x:fgColor theme="5" tint="0.79998"/>
      </x:patternFill>
    </x:fill>
    <x:fill>
      <x:patternFill patternType="solid">
        <x:fgColor theme="4" tint="0.59999"/>
      </x:patternFill>
    </x:fill>
    <x:fill>
      <x:patternFill patternType="solid">
        <x:fgColor theme="4" tint="0.79998"/>
      </x:patternFill>
    </x:fill>
    <x:fill>
      <x:patternFill patternType="solid">
        <x:fgColor theme="9" tint="0.79998"/>
      </x:patternFill>
    </x:fill>
    <x:fill>
      <x:patternFill patternType="solid">
        <x:fgColor rgb="FFFFC7CE"/>
      </x:patternFill>
    </x:fill>
    <x:fill>
      <x:patternFill patternType="solid">
        <x:fgColor theme="2" tint="-0.09998"/>
      </x:patternFill>
    </x:fill>
    <x:fill>
      <x:patternFill patternType="solid">
        <x:fgColor rgb="FFD9D9D9"/>
      </x:patternFill>
    </x:fill>
    <x:fill>
      <x:patternFill patternType="solid">
        <x:fgColor rgb="FFB8CCE4"/>
      </x:patternFill>
    </x:fill>
    <x:fill>
      <x:patternFill patternType="solid">
        <x:fgColor theme="4" tint="0.39998"/>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1F4E78"/>
      </x:patternFill>
    </x:fill>
    <x:fill>
      <x:patternFill patternType="solid">
        <x:fgColor rgb="FFD9EAF7"/>
      </x:patternFill>
    </x:fill>
  </x:fills>
  <x:borders count="35">
    <x:border/>
    <x:border>
      <x:left style="thin">
        <x:color indexed="64"/>
      </x:left>
      <x:right style="thin">
        <x:color indexed="64"/>
      </x:right>
      <x:top style="thin">
        <x:color indexed="64"/>
      </x:top>
      <x:bottom style="thin">
        <x:color indexed="64"/>
      </x:bottom>
    </x:border>
    <x:border>
      <x:left style="thin">
        <x:color indexed="64"/>
      </x:left>
      <x:right style="thin">
        <x:color indexed="64"/>
      </x:right>
    </x:border>
    <x:border>
      <x:left style="thin">
        <x:color indexed="64"/>
      </x:left>
      <x:right style="thin">
        <x:color indexed="64"/>
      </x:right>
      <x:top style="thin">
        <x:color indexed="64"/>
      </x:top>
    </x:border>
    <x:border>
      <x:left style="thin">
        <x:color indexed="64"/>
      </x:left>
      <x:right style="thin">
        <x:color indexed="64"/>
      </x:right>
      <x:bottom style="thin">
        <x:color indexed="64"/>
      </x:bottom>
    </x:border>
    <x:border>
      <x:bottom style="thin">
        <x:color indexed="64"/>
      </x:bottom>
    </x:border>
    <x:border>
      <x:left style="thin">
        <x:color indexed="64"/>
      </x:left>
      <x:top style="thin">
        <x:color indexed="64"/>
      </x:top>
      <x:bottom style="thin">
        <x:color indexed="64"/>
      </x:bottom>
    </x:border>
    <x:border>
      <x:left style="thin">
        <x:color indexed="64"/>
      </x:left>
    </x:border>
    <x:border>
      <x:left style="thin">
        <x:color indexed="64"/>
      </x:left>
      <x:bottom style="thin">
        <x:color indexed="64"/>
      </x:bottom>
    </x:border>
    <x:border>
      <x:left style="thin">
        <x:color auto="1"/>
      </x:left>
      <x:right style="thin">
        <x:color auto="1"/>
      </x:right>
      <x:top style="thin">
        <x:color auto="1"/>
      </x:top>
      <x:bottom style="thin">
        <x:color auto="1"/>
      </x:bottom>
    </x:border>
    <x:border>
      <x:top style="thin">
        <x:color indexed="64"/>
      </x:top>
    </x:border>
    <x:border>
      <x:right style="thin">
        <x:color auto="1"/>
      </x:right>
      <x:top style="thin">
        <x:color auto="1"/>
      </x:top>
      <x:bottom style="thin">
        <x:color auto="1"/>
      </x:bottom>
    </x:border>
    <x:border>
      <x:top style="thin">
        <x:color auto="1"/>
      </x:top>
      <x:bottom style="thin">
        <x:color auto="1"/>
      </x:bottom>
    </x:border>
    <x:border>
      <x:left style="thin">
        <x:color auto="1"/>
      </x:left>
      <x:right style="thin">
        <x:color auto="1"/>
      </x:right>
      <x:top style="thin">
        <x:color auto="1"/>
      </x:top>
      <x:bottom style="thin">
        <x:color auto="1"/>
      </x:bottom>
    </x:border>
    <x:border>
      <x:left style="medium">
        <x:color indexed="64"/>
      </x:left>
      <x:right style="medium">
        <x:color indexed="64"/>
      </x:right>
      <x:top style="medium">
        <x:color indexed="64"/>
      </x:top>
      <x:bottom style="medium">
        <x:color indexed="64"/>
      </x:bottom>
    </x:border>
    <x:border>
      <x:right style="thin">
        <x:color indexed="64"/>
      </x:right>
      <x:bottom style="thin">
        <x:color auto="1"/>
      </x:bottom>
    </x:border>
    <x:border>
      <x:left style="thin">
        <x:color indexed="64"/>
      </x:left>
      <x:top style="thin">
        <x:color indexed="64"/>
      </x:top>
    </x:border>
    <x:border>
      <x:top style="medium">
        <x:color indexed="64"/>
      </x:top>
    </x:border>
    <x:border/>
    <x:border>
      <x:left style="thin">
        <x:color indexed="64"/>
      </x:left>
      <x:right style="thin">
        <x:color indexed="64"/>
      </x:right>
      <x:top style="thin">
        <x:color indexed="64"/>
      </x:top>
      <x:bottom style="thin">
        <x:color indexed="64"/>
      </x:bottom>
    </x:border>
    <x:border>
      <x:left style="thin">
        <x:color indexed="64"/>
      </x:left>
      <x:right style="thin">
        <x:color indexed="64"/>
      </x:right>
      <x:bottom style="thin">
        <x:color indexed="64"/>
      </x:bottom>
    </x:border>
    <x:border>
      <x:left style="thin">
        <x:color auto="1"/>
      </x:left>
      <x:right style="thin">
        <x:color auto="1"/>
      </x:right>
      <x:top style="thin">
        <x:color auto="1"/>
      </x:top>
      <x:bottom style="thin">
        <x:color auto="1"/>
      </x:bottom>
    </x:border>
    <x:border>
      <x:left style="thin">
        <x:color indexed="64"/>
      </x:left>
      <x:right style="thin">
        <x:color indexed="64"/>
      </x:right>
    </x:border>
    <x:border>
      <x:left style="thin">
        <x:color indexed="64"/>
      </x:left>
      <x:top style="thin">
        <x:color indexed="64"/>
      </x:top>
      <x:bottom style="thin">
        <x:color indexed="64"/>
      </x:bottom>
    </x:border>
    <x:border>
      <x:left style="thin">
        <x:color indexed="64"/>
      </x:left>
    </x:border>
    <x:border>
      <x:left style="thin">
        <x:color indexed="64"/>
      </x:left>
      <x:bottom style="thin">
        <x:color indexed="64"/>
      </x:bottom>
    </x:border>
    <x:border>
      <x:left style="thin">
        <x:color indexed="64"/>
      </x:left>
      <x:right style="thin">
        <x:color indexed="64"/>
      </x:right>
      <x:top style="thin">
        <x:color indexed="64"/>
      </x:top>
    </x:border>
    <x:border>
      <x:top style="thin">
        <x:color indexed="64"/>
      </x:top>
    </x:border>
    <x:border>
      <x:bottom style="thin">
        <x:color indexed="64"/>
      </x:bottom>
    </x:border>
    <x:border>
      <x:left style="thin">
        <x:color indexed="64"/>
      </x:left>
      <x:top style="thin">
        <x:color indexed="64"/>
      </x:top>
    </x:border>
    <x:border>
      <x:right style="thin">
        <x:color auto="1"/>
      </x:right>
      <x:top style="thin">
        <x:color auto="1"/>
      </x:top>
      <x:bottom style="thin">
        <x:color auto="1"/>
      </x:bottom>
    </x:border>
    <x:border>
      <x:left style="medium">
        <x:color indexed="64"/>
      </x:left>
      <x:right style="medium">
        <x:color indexed="64"/>
      </x:right>
      <x:top style="medium">
        <x:color indexed="64"/>
      </x:top>
      <x:bottom style="medium">
        <x:color indexed="64"/>
      </x:bottom>
    </x:border>
    <x:border>
      <x:right style="thin">
        <x:color indexed="64"/>
      </x:right>
      <x:bottom style="thin">
        <x:color auto="1"/>
      </x:bottom>
    </x:border>
    <x:border>
      <x:top style="medium">
        <x:color indexed="64"/>
      </x:top>
    </x:border>
    <x:border>
      <x:top style="thin">
        <x:color auto="1"/>
      </x:top>
      <x:bottom style="thin">
        <x:color auto="1"/>
      </x:bottom>
    </x:border>
  </x:borders>
  <x:cellStyleXfs count="4">
    <x:xf numFmtId="0" fontId="0" fillId="0" borderId="0"/>
    <x:xf numFmtId="0" fontId="25" fillId="9" borderId="0" applyNumberFormat="0" applyBorder="0" applyAlignment="0" applyProtection="0"/>
    <x:xf numFmtId="0" fontId="33" fillId="0" borderId="0" applyNumberFormat="0" applyFill="0" applyBorder="0" applyAlignment="0" applyProtection="0"/>
    <x:xf numFmtId="0" fontId="33" fillId="0" borderId="0"/>
  </x:cellStyleXfs>
  <x:cellXfs count="548">
    <x:xf numFmtId="0" fontId="0" fillId="0" borderId="0" xfId="0"/>
    <x:xf numFmtId="0" fontId="0" fillId="0" borderId="0" xfId="0" applyAlignment="1">
      <x:alignment wrapText="1"/>
    </x:xf>
    <x:xf numFmtId="0" fontId="0" fillId="0" borderId="1" xfId="0" applyBorder="1"/>
    <x:xf numFmtId="0" fontId="0" fillId="0" borderId="0" xfId="0" applyAlignment="1">
      <x:alignment horizontal="center"/>
    </x:xf>
    <x:xf numFmtId="0" fontId="0" fillId="0" borderId="0" xfId="0" applyAlignment="1">
      <x:alignment horizontal="left"/>
    </x:xf>
    <x:xf numFmtId="0" fontId="3" fillId="2" borderId="0" xfId="0" applyFont="1" applyFill="1"/>
    <x:xf numFmtId="0" fontId="3" fillId="2" borderId="4" xfId="0" applyFont="1" applyFill="1" applyBorder="1"/>
    <x:xf numFmtId="0" fontId="3" fillId="2" borderId="1" xfId="0" applyFont="1" applyFill="1" applyBorder="1" applyAlignment="1">
      <x:alignment wrapText="1"/>
    </x:xf>
    <x:xf numFmtId="0" fontId="0" fillId="0" borderId="4" xfId="0" applyBorder="1"/>
    <x:xf numFmtId="0" fontId="3" fillId="2" borderId="9" xfId="0" applyFont="1" applyFill="1" applyBorder="1"/>
    <x:xf numFmtId="0" fontId="3" fillId="2" borderId="9" xfId="0" applyFont="1" applyFill="1" applyBorder="1" applyAlignment="1">
      <x:alignment wrapText="1"/>
    </x:xf>
    <x:xf numFmtId="0" fontId="3" fillId="2" borderId="2" xfId="0" applyFont="1" applyFill="1" applyBorder="1" applyAlignment="1">
      <x:alignment wrapText="1"/>
    </x:xf>
    <x:xf numFmtId="0" fontId="3" fillId="5" borderId="6" xfId="0" applyFont="1" applyFill="1" applyBorder="1" applyAlignment="1">
      <x:alignment horizontal="center" vertical="center"/>
    </x:xf>
    <x:xf numFmtId="0" fontId="0" fillId="0" borderId="7" xfId="0" applyBorder="1"/>
    <x:xf numFmtId="0" fontId="0" fillId="0" borderId="8" xfId="0" applyBorder="1"/>
    <x:xf numFmtId="0" fontId="3" fillId="2" borderId="9" xfId="0" applyFont="1" applyFill="1" applyBorder="1" applyAlignment="1">
      <x:alignment horizontal="left" wrapText="1"/>
    </x:xf>
    <x:xf numFmtId="0" fontId="3" fillId="2" borderId="4" xfId="0" applyFont="1" applyFill="1" applyBorder="1" applyAlignment="1">
      <x:alignment wrapText="1"/>
    </x:xf>
    <x:xf numFmtId="0" fontId="6" fillId="0" borderId="2" xfId="0" applyFont="1" applyBorder="1" applyAlignment="1">
      <x:alignment wrapText="1"/>
    </x:xf>
    <x:xf numFmtId="0" fontId="0" fillId="0" borderId="4" xfId="0" applyBorder="1" applyAlignment="1">
      <x:alignment wrapText="1"/>
    </x:xf>
    <x:xf numFmtId="0" fontId="0" fillId="0" borderId="3" xfId="0" applyBorder="1"/>
    <x:xf numFmtId="0" fontId="3" fillId="5" borderId="2" xfId="0" applyFont="1" applyFill="1" applyBorder="1" applyAlignment="1">
      <x:alignment horizontal="center" vertical="center" wrapText="1"/>
    </x:xf>
    <x:xf numFmtId="0" fontId="3" fillId="5" borderId="3" xfId="0" applyFont="1" applyFill="1" applyBorder="1" applyAlignment="1">
      <x:alignment horizontal="center" vertical="center" wrapText="1"/>
    </x:xf>
    <x:xf numFmtId="0" fontId="6" fillId="0" borderId="3" xfId="0" applyFont="1" applyBorder="1" applyAlignment="1">
      <x:alignment wrapText="1"/>
    </x:xf>
    <x:xf numFmtId="0" fontId="0" fillId="0" borderId="10" xfId="0" applyBorder="1"/>
    <x:xf numFmtId="0" fontId="0" fillId="0" borderId="9" xfId="0" applyBorder="1"/>
    <x:xf numFmtId="0" fontId="0" fillId="0" borderId="2" xfId="0" applyBorder="1"/>
    <x:xf numFmtId="0" fontId="3" fillId="2" borderId="13" xfId="0" applyFont="1" applyFill="1" applyBorder="1"/>
    <x:xf numFmtId="0" fontId="3" fillId="2" borderId="13" xfId="0" applyFont="1" applyFill="1" applyBorder="1" applyAlignment="1">
      <x:alignment wrapText="1"/>
    </x:xf>
    <x:xf numFmtId="0" fontId="0" fillId="3" borderId="13" xfId="0" applyFill="1" applyBorder="1"/>
    <x:xf numFmtId="0" fontId="0" fillId="3" borderId="13" xfId="0" applyFill="1" applyBorder="1" applyAlignment="1">
      <x:alignment wrapText="1"/>
    </x:xf>
    <x:xf numFmtId="0" fontId="0" fillId="3" borderId="0" xfId="0" applyFill="1"/>
    <x:xf numFmtId="0" fontId="0" fillId="0" borderId="13" xfId="0" applyBorder="1" applyAlignment="1"/>
    <x:xf numFmtId="0" fontId="0" fillId="0" borderId="13" xfId="0" applyBorder="1" applyAlignment="1">
      <x:alignment wrapText="1"/>
    </x:xf>
    <x:xf numFmtId="0" fontId="0" fillId="0" borderId="13" xfId="0" applyBorder="1"/>
    <x:xf numFmtId="0" fontId="3" fillId="2" borderId="3" xfId="0" applyFont="1" applyFill="1" applyBorder="1" applyAlignment="1">
      <x:alignment wrapText="1"/>
    </x:xf>
    <x:xf numFmtId="0" fontId="3" fillId="2" borderId="3" xfId="0" applyFont="1" applyFill="1" applyBorder="1"/>
    <x:xf numFmtId="0" fontId="2" fillId="2" borderId="13" xfId="0" applyFont="1" applyFill="1" applyBorder="1"/>
    <x:xf numFmtId="0" fontId="2" fillId="2" borderId="13" xfId="0" applyFont="1" applyFill="1" applyBorder="1" applyAlignment="1">
      <x:alignment horizontal="left"/>
    </x:xf>
    <x:xf numFmtId="0" fontId="0" fillId="0" borderId="13" xfId="0" applyBorder="1" applyAlignment="1">
      <x:alignment horizontal="center"/>
    </x:xf>
    <x:xf numFmtId="0" fontId="0" fillId="0" borderId="13" xfId="0" applyBorder="1" applyAlignment="1">
      <x:alignment horizontal="left"/>
    </x:xf>
    <x:xf numFmtId="0" fontId="3" fillId="0" borderId="0" xfId="0" applyFont="1"/>
    <x:xf numFmtId="0" fontId="0" fillId="0" borderId="5" xfId="0" applyBorder="1"/>
    <x:xf numFmtId="0" fontId="3" fillId="4" borderId="13" xfId="0" applyFont="1" applyFill="1" applyBorder="1"/>
    <x:xf numFmtId="0" fontId="0" fillId="0" borderId="13" xfId="0" applyBorder="1"/>
    <x:xf numFmtId="0" fontId="3" fillId="4" borderId="13" xfId="0" applyFont="1" applyFill="1" applyBorder="1"/>
    <x:xf numFmtId="0" fontId="5" fillId="4" borderId="13" xfId="0" applyFont="1" applyFill="1" applyBorder="1" applyAlignment="1">
      <x:alignment vertical="center"/>
    </x:xf>
    <x:xf numFmtId="0" fontId="7" fillId="0" borderId="13" xfId="0" applyFont="1" applyBorder="1"/>
    <x:xf numFmtId="0" fontId="4" fillId="2" borderId="13" xfId="0" applyFont="1" applyFill="1" applyBorder="1" applyAlignment="1">
      <x:alignment horizontal="center" vertical="top"/>
    </x:xf>
    <x:xf numFmtId="0" fontId="3" fillId="0" borderId="0" xfId="0" applyFont="1" applyAlignment="1">
      <x:alignment wrapText="1"/>
    </x:xf>
    <x:xf numFmtId="0" fontId="3" fillId="2" borderId="4" xfId="0" applyFont="1" applyFill="1" applyBorder="1" applyAlignment="1">
      <x:alignment wrapText="1"/>
    </x:xf>
    <x:xf numFmtId="0" fontId="5" fillId="2" borderId="4" xfId="0" applyFont="1" applyFill="1" applyBorder="1" applyAlignment="1">
      <x:alignment vertical="center" wrapText="1"/>
    </x:xf>
    <x:xf numFmtId="0" fontId="22" fillId="0" borderId="13" xfId="0" applyFont="1" applyBorder="1"/>
    <x:xf numFmtId="0" fontId="7" fillId="0" borderId="0" xfId="0" applyFont="1"/>
    <x:xf numFmtId="0" fontId="0" fillId="8" borderId="13" xfId="0" applyFill="1" applyBorder="1"/>
    <x:xf numFmtId="0" fontId="0" fillId="8" borderId="13" xfId="0" applyFill="1" applyBorder="1" applyAlignment="1">
      <x:alignment wrapText="1"/>
    </x:xf>
    <x:xf numFmtId="49" fontId="26" fillId="10" borderId="13" xfId="1" applyNumberFormat="1" applyFont="1" applyFill="1" applyBorder="1" applyAlignment="1">
      <x:alignment horizontal="left" vertical="top" wrapText="1"/>
    </x:xf>
    <x:xf numFmtId="49" fontId="3" fillId="0" borderId="13" xfId="0" applyNumberFormat="1" applyFont="1" applyBorder="1" applyAlignment="1">
      <x:alignment horizontal="left" vertical="top" wrapText="1"/>
    </x:xf>
    <x:xf numFmtId="0" fontId="3" fillId="0" borderId="13" xfId="0" applyFont="1" applyBorder="1" applyAlignment="1">
      <x:alignment horizontal="left" vertical="top"/>
    </x:xf>
    <x:xf numFmtId="0" fontId="26" fillId="0" borderId="13" xfId="0" applyFont="1" applyBorder="1" applyAlignment="1">
      <x:alignment horizontal="left" vertical="top"/>
    </x:xf>
    <x:xf numFmtId="49" fontId="26" fillId="0" borderId="13" xfId="0" applyNumberFormat="1" applyFont="1" applyBorder="1" applyAlignment="1">
      <x:alignment horizontal="left" vertical="top"/>
    </x:xf>
    <x:xf numFmtId="0" fontId="27" fillId="0" borderId="13" xfId="0" applyFont="1" applyBorder="1" applyAlignment="1">
      <x:alignment horizontal="left" vertical="top" wrapText="1"/>
    </x:xf>
    <x:xf numFmtId="0" fontId="26" fillId="0" borderId="13" xfId="0" applyFont="1" applyBorder="1" applyAlignment="1">
      <x:alignment horizontal="left" vertical="top" wrapText="1"/>
    </x:xf>
    <x:xf numFmtId="0" fontId="3" fillId="0" borderId="13" xfId="0" applyFont="1" applyBorder="1" applyAlignment="1">
      <x:alignment horizontal="left" vertical="top" wrapText="1"/>
    </x:xf>
    <x:xf numFmtId="0" fontId="0" fillId="0" borderId="13" xfId="0" applyBorder="1" applyAlignment="1">
      <x:alignment horizontal="left" vertical="top"/>
    </x:xf>
    <x:xf numFmtId="49" fontId="25" fillId="9" borderId="13" xfId="1" applyNumberFormat="1" applyBorder="1" applyAlignment="1">
      <x:alignment horizontal="left" vertical="top" wrapText="1"/>
    </x:xf>
    <x:xf numFmtId="0" fontId="3" fillId="2" borderId="4" xfId="0" applyFont="1" applyFill="1" applyBorder="1" applyAlignment="1">
      <x:alignment vertical="center" wrapText="1"/>
    </x:xf>
    <x:xf numFmtId="0" fontId="0" fillId="0" borderId="0" xfId="0" applyAlignment="1">
      <x:alignment vertical="center"/>
    </x:xf>
    <x:xf numFmtId="0" fontId="3" fillId="4" borderId="13" xfId="0" applyFont="1" applyFill="1" applyBorder="1" applyAlignment="1">
      <x:alignment wrapText="1"/>
    </x:xf>
    <x:xf numFmtId="0" fontId="3" fillId="2" borderId="4" xfId="0" applyFont="1" applyFill="1" applyBorder="1" applyAlignment="1">
      <x:alignment vertical="center" wrapText="1"/>
    </x:xf>
    <x:xf numFmtId="0" fontId="0" fillId="0" borderId="0" xfId="0"/>
    <x:xf numFmtId="0" fontId="3" fillId="0" borderId="0" xfId="0" applyFont="1" applyAlignment="1">
      <x:alignment vertical="center" wrapText="1"/>
    </x:xf>
    <x:xf numFmtId="0" fontId="3" fillId="0" borderId="0" xfId="0" applyFont="1" applyAlignment="1">
      <x:alignment vertical="top" wrapText="1"/>
    </x:xf>
    <x:xf numFmtId="0" fontId="3" fillId="2" borderId="13" xfId="0" applyFont="1" applyFill="1" applyBorder="1" applyAlignment="1">
      <x:alignment vertical="center" wrapText="1"/>
    </x:xf>
    <x:xf numFmtId="0" fontId="0" fillId="0" borderId="6" xfId="0" applyBorder="1"/>
    <x:xf numFmtId="0" fontId="0" fillId="0" borderId="16" xfId="0" applyBorder="1"/>
    <x:xf numFmtId="0" fontId="0" fillId="0" borderId="11" xfId="0" applyBorder="1"/>
    <x:xf numFmtId="0" fontId="12" fillId="0" borderId="13" xfId="0" applyFont="1" applyBorder="1" applyAlignment="1">
      <x:alignment wrapText="1"/>
    </x:xf>
    <x:xf numFmtId="0" fontId="3" fillId="2" borderId="13" xfId="0" applyFont="1" applyFill="1" applyBorder="1" applyAlignment="1">
      <x:alignment vertical="center" wrapText="1"/>
    </x:xf>
    <x:xf numFmtId="0" fontId="0" fillId="0" borderId="11" xfId="0" applyBorder="1" applyAlignment="1">
      <x:alignment wrapText="1"/>
    </x:xf>
    <x:xf numFmtId="0" fontId="4" fillId="2" borderId="13" xfId="0" applyFont="1" applyFill="1" applyBorder="1" applyAlignment="1">
      <x:alignment horizontal="center" vertical="top" wrapText="1"/>
    </x:xf>
    <x:xf numFmtId="0" fontId="4" fillId="2" borderId="13" xfId="0" applyFont="1" applyFill="1" applyBorder="1" applyAlignment="1">
      <x:alignment horizontal="center" vertical="top"/>
    </x:xf>
    <x:xf numFmtId="0" fontId="0" fillId="7" borderId="14" xfId="0" applyFill="1" applyBorder="1" applyAlignment="1">
      <x:alignment horizontal="center" vertical="center" wrapText="1"/>
    </x:xf>
    <x:xf numFmtId="0" fontId="0" fillId="0" borderId="0" xfId="0" applyAlignment="1">
      <x:alignment horizontal="left" vertical="top"/>
    </x:xf>
    <x:xf numFmtId="0" fontId="0" fillId="8" borderId="0" xfId="0" applyFill="1"/>
    <x:xf numFmtId="0" fontId="0" fillId="8" borderId="3" xfId="0" applyFill="1" applyBorder="1"/>
    <x:xf numFmtId="0" fontId="0" fillId="8" borderId="6" xfId="0" applyFill="1" applyBorder="1"/>
    <x:xf numFmtId="0" fontId="0" fillId="8" borderId="11" xfId="0" applyFill="1" applyBorder="1"/>
    <x:xf numFmtId="0" fontId="7" fillId="8" borderId="13" xfId="0" applyFont="1" applyFill="1" applyBorder="1" applyAlignment="1">
      <x:alignment wrapText="1"/>
    </x:xf>
    <x:xf numFmtId="0" fontId="7" fillId="8" borderId="13" xfId="0" applyFont="1" applyFill="1" applyBorder="1"/>
    <x:xf numFmtId="0" fontId="0" fillId="8" borderId="11" xfId="0" applyFill="1" applyBorder="1"/>
    <x:xf numFmtId="0" fontId="0" fillId="8" borderId="13" xfId="0" applyFill="1" applyBorder="1"/>
    <x:xf numFmtId="0" fontId="0" fillId="8" borderId="13" xfId="0" applyFill="1" applyBorder="1" applyAlignment="1">
      <x:alignment horizontal="center"/>
    </x:xf>
    <x:xf numFmtId="0" fontId="3" fillId="2" borderId="4" xfId="0" applyFont="1" applyFill="1" applyBorder="1" applyAlignment="1">
      <x:alignment wrapText="1"/>
    </x:xf>
    <x:xf numFmtId="0" fontId="24" fillId="2" borderId="13" xfId="0" applyFont="1" applyFill="1" applyBorder="1" applyAlignment="1">
      <x:alignment vertical="center"/>
    </x:xf>
    <x:xf numFmtId="0" fontId="0" fillId="8" borderId="4" xfId="0" applyFill="1" applyBorder="1" applyAlignment="1">
      <x:alignment wrapText="1"/>
    </x:xf>
    <x:xf numFmtId="0" fontId="0" fillId="8" borderId="4" xfId="0" applyFill="1" applyBorder="1"/>
    <x:xf numFmtId="0" fontId="0" fillId="8" borderId="13" xfId="0" applyFill="1" applyBorder="1" applyAlignment="1">
      <x:alignment horizontal="center"/>
    </x:xf>
    <x:xf numFmtId="0" fontId="0" fillId="0" borderId="2" xfId="0" applyBorder="1" applyAlignment="1">
      <x:alignment wrapText="1"/>
    </x:xf>
    <x:xf numFmtId="0" fontId="3" fillId="5" borderId="13" xfId="0" applyFont="1" applyFill="1" applyBorder="1" applyAlignment="1">
      <x:alignment horizontal="center" vertical="center"/>
    </x:xf>
    <x:xf numFmtId="0" fontId="3" fillId="5" borderId="13" xfId="0" applyFont="1" applyFill="1" applyBorder="1" applyAlignment="1">
      <x:alignment horizontal="center" vertical="center" wrapText="1"/>
    </x:xf>
    <x:xf numFmtId="0" fontId="0" fillId="3" borderId="2" xfId="0" applyFill="1" applyBorder="1"/>
    <x:xf numFmtId="0" fontId="40" fillId="0" borderId="0" xfId="0" applyFont="1" applyAlignment="1">
      <x:alignment vertical="center"/>
    </x:xf>
    <x:xf numFmtId="0" fontId="41" fillId="0" borderId="0" xfId="0" applyFont="1" applyAlignment="1">
      <x:alignment horizontal="left"/>
    </x:xf>
    <x:xf numFmtId="0" fontId="3" fillId="2" borderId="3" xfId="0" applyFont="1" applyFill="1" applyBorder="1" applyAlignment="1">
      <x:alignment horizontal="left" wrapText="1"/>
    </x:xf>
    <x:xf numFmtId="0" fontId="39" fillId="11" borderId="13" xfId="0" applyFont="1" applyFill="1" applyBorder="1"/>
    <x:xf numFmtId="0" fontId="39" fillId="11" borderId="11" xfId="0" applyFont="1" applyFill="1" applyBorder="1"/>
    <x:xf numFmtId="0" fontId="39" fillId="11" borderId="15" xfId="0" applyFont="1" applyFill="1" applyBorder="1"/>
    <x:xf numFmtId="1" fontId="39" fillId="11" borderId="15" xfId="0" applyNumberFormat="1" applyFont="1" applyFill="1" applyBorder="1"/>
    <x:xf numFmtId="49" fontId="39" fillId="11" borderId="15" xfId="0" applyNumberFormat="1" applyFont="1" applyFill="1" applyBorder="1"/>
    <x:xf numFmtId="0" fontId="39" fillId="11" borderId="15" xfId="0" applyFont="1" applyFill="1" applyBorder="1" applyAlignment="1">
      <x:alignment horizontal="left" vertical="top" wrapText="1"/>
    </x:xf>
    <x:xf numFmtId="1" fontId="0" fillId="0" borderId="13" xfId="0" applyNumberFormat="1" applyBorder="1" applyAlignment="1">
      <x:alignment wrapText="1"/>
    </x:xf>
    <x:xf numFmtId="49" fontId="0" fillId="0" borderId="13" xfId="0" applyNumberFormat="1" applyBorder="1" applyAlignment="1">
      <x:alignment wrapText="1"/>
    </x:xf>
    <x:xf numFmtId="0" fontId="33" fillId="0" borderId="13" xfId="3" applyBorder="1" applyAlignment="1">
      <x:alignment wrapText="1"/>
    </x:xf>
    <x:xf numFmtId="0" fontId="0" fillId="0" borderId="13" xfId="0" applyBorder="1" applyAlignment="1">
      <x:alignment horizontal="left" vertical="top" wrapText="1"/>
    </x:xf>
    <x:xf numFmtId="1" fontId="0" fillId="0" borderId="0" xfId="0" applyNumberFormat="1"/>
    <x:xf numFmtId="49" fontId="0" fillId="0" borderId="0" xfId="0" applyNumberFormat="1"/>
    <x:xf numFmtId="0" fontId="0" fillId="0" borderId="0" xfId="0" applyAlignment="1">
      <x:alignment horizontal="left" vertical="top" wrapText="1"/>
    </x:xf>
    <x:xf numFmtId="0" fontId="0" fillId="8" borderId="3" xfId="0" applyFill="1" applyBorder="1" applyAlignment="1">
      <x:alignment wrapText="1"/>
    </x:xf>
    <x:xf numFmtId="0" fontId="33" fillId="3" borderId="0" xfId="3" applyFill="1" applyAlignment="1">
      <x:alignment wrapText="1"/>
    </x:xf>
    <x:xf numFmtId="0" fontId="33" fillId="0" borderId="0" xfId="2"/>
    <x:xf numFmtId="0" fontId="5" fillId="2" borderId="4" xfId="0" applyFont="1" applyFill="1" applyBorder="1" applyAlignment="1">
      <x:alignment horizontal="center" wrapText="1"/>
    </x:xf>
    <x:xf numFmtId="0" fontId="3" fillId="2" borderId="4" xfId="0" applyFont="1" applyFill="1" applyBorder="1" applyAlignment="1">
      <x:alignment horizontal="left" wrapText="1"/>
    </x:xf>
    <x:xf numFmtId="0" fontId="5" fillId="2" borderId="4" xfId="0" applyFont="1" applyFill="1" applyBorder="1" applyAlignment="1">
      <x:alignment horizontal="left" wrapText="1"/>
    </x:xf>
    <x:xf numFmtId="0" fontId="0" fillId="0" borderId="13" xfId="0" applyBorder="1" applyAlignment="1">
      <x:alignment horizontal="left" wrapText="1"/>
    </x:xf>
    <x:xf numFmtId="0" fontId="39" fillId="11" borderId="13" xfId="0" applyFont="1" applyFill="1" applyBorder="1" applyAlignment="1">
      <x:alignment wrapText="1"/>
    </x:xf>
    <x:xf numFmtId="0" fontId="3" fillId="2" borderId="8" xfId="0" applyFont="1" applyFill="1" applyBorder="1"/>
    <x:xf numFmtId="49" fontId="3" fillId="3" borderId="13" xfId="1" applyNumberFormat="1" applyFont="1" applyFill="1" applyBorder="1" applyAlignment="1">
      <x:alignment horizontal="left" vertical="top" wrapText="1"/>
    </x:xf>
    <x:xf numFmtId="0" fontId="39" fillId="11" borderId="4" xfId="0" applyFont="1" applyFill="1" applyBorder="1"/>
    <x:xf numFmtId="0" fontId="0" fillId="0" borderId="3" xfId="0" applyBorder="1" applyAlignment="1">
      <x:alignment wrapText="1"/>
    </x:xf>
    <x:xf numFmtId="20" fontId="0" fillId="0" borderId="4" xfId="0" applyNumberFormat="1" applyBorder="1" applyAlignment="1">
      <x:alignment wrapText="1"/>
    </x:xf>
    <x:xf numFmtId="0" fontId="0" fillId="0" borderId="17" xfId="0" applyBorder="1" applyAlignment="1">
      <x:alignment wrapText="1"/>
    </x:xf>
    <x:xf numFmtId="0" fontId="0" fillId="8" borderId="11" xfId="0" applyFill="1" applyBorder="1" applyAlignment="1">
      <x:alignment wrapText="1"/>
    </x:xf>
    <x:xf numFmtId="0" fontId="40" fillId="0" borderId="15" xfId="0" applyFont="1" applyBorder="1" applyAlignment="1">
      <x:alignment wrapText="1"/>
    </x:xf>
    <x:xf numFmtId="0" fontId="50" fillId="8" borderId="13" xfId="0" applyFont="1" applyFill="1" applyBorder="1"/>
    <x:xf numFmtId="0" fontId="1" fillId="0" borderId="13" xfId="0" applyFont="1" applyBorder="1"/>
    <x:xf numFmtId="0" fontId="1" fillId="8" borderId="13" xfId="0" applyFont="1" applyFill="1" applyBorder="1"/>
    <x:xf numFmtId="0" fontId="3" fillId="2" borderId="13" xfId="0" applyFont="1" applyFill="1" applyBorder="1" applyAlignment="1">
      <x:alignment wrapText="1"/>
    </x:xf>
    <x:xf numFmtId="0" fontId="5" fillId="2" borderId="13" xfId="0" applyFont="1" applyFill="1" applyBorder="1" applyAlignment="1">
      <x:alignment wrapText="1"/>
    </x:xf>
    <x:xf numFmtId="0" fontId="55" fillId="0" borderId="0" xfId="0" applyFont="1" applyAlignment="1">
      <x:alignment wrapText="1"/>
    </x:xf>
    <x:xf numFmtId="0" fontId="56" fillId="3" borderId="0" xfId="0" applyFont="1" applyFill="1" applyAlignment="1">
      <x:alignment horizontal="left" vertical="top" wrapText="1"/>
    </x:xf>
    <x:xf numFmtId="0" fontId="56" fillId="3" borderId="13" xfId="0" applyFont="1" applyFill="1" applyBorder="1" applyAlignment="1">
      <x:alignment horizontal="left" vertical="top" wrapText="1"/>
    </x:xf>
    <x:xf numFmtId="0" fontId="57" fillId="0" borderId="0" xfId="0" applyFont="1"/>
    <x:xf numFmtId="0" fontId="58" fillId="0" borderId="0" xfId="0" applyFont="1" applyAlignment="1">
      <x:alignment vertical="center" wrapText="1"/>
    </x:xf>
    <x:xf numFmtId="0" fontId="57" fillId="0" borderId="0" xfId="0" applyFont="1" applyAlignment="1">
      <x:alignment wrapText="1"/>
    </x:xf>
    <x:xf numFmtId="0" fontId="0" fillId="3" borderId="0" xfId="0" applyFill="1" applyAlignment="1">
      <x:alignment horizontal="left" wrapText="1"/>
    </x:xf>
    <x:xf numFmtId="0" fontId="3" fillId="6" borderId="13" xfId="0" applyFont="1" applyFill="1" applyBorder="1" applyAlignment="1">
      <x:alignment horizontal="left" vertical="top" wrapText="1"/>
    </x:xf>
    <x:xf numFmtId="0" fontId="39" fillId="12" borderId="13" xfId="0" applyFont="1" applyFill="1" applyBorder="1" applyAlignment="1">
      <x:alignment horizontal="left" vertical="top" wrapText="1"/>
    </x:xf>
    <x:xf numFmtId="0" fontId="0" fillId="0" borderId="12" xfId="0" applyBorder="1"/>
    <x:xf numFmtId="0" fontId="0" fillId="0" borderId="11" xfId="0" applyBorder="1"/>
    <x:xf numFmtId="0" fontId="3" fillId="6" borderId="6" xfId="0" applyFont="1" applyFill="1" applyBorder="1" applyAlignment="1">
      <x:alignment horizontal="left" vertical="top" wrapText="1"/>
    </x:xf>
    <x:xf numFmtId="0" fontId="3" fillId="6" borderId="12" xfId="0" applyFont="1" applyFill="1" applyBorder="1" applyAlignment="1">
      <x:alignment horizontal="left" vertical="top" wrapText="1"/>
    </x:xf>
    <x:xf numFmtId="0" fontId="3" fillId="6" borderId="11" xfId="0" applyFont="1" applyFill="1" applyBorder="1" applyAlignment="1">
      <x:alignment horizontal="left" vertical="top" wrapText="1"/>
    </x:xf>
    <x:xf numFmtId="0" fontId="0" fillId="6" borderId="6" xfId="0" applyFill="1" applyBorder="1" applyAlignment="1">
      <x:alignment horizontal="left" vertical="top" wrapText="1"/>
    </x:xf>
    <x:xf numFmtId="0" fontId="0" fillId="6" borderId="12" xfId="0" applyFill="1" applyBorder="1" applyAlignment="1">
      <x:alignment horizontal="left" vertical="top"/>
    </x:xf>
    <x:xf numFmtId="0" fontId="0" fillId="6" borderId="11" xfId="0" applyFill="1" applyBorder="1" applyAlignment="1">
      <x:alignment horizontal="left" vertical="top"/>
    </x:xf>
    <x:xf numFmtId="0" fontId="3" fillId="6" borderId="13" xfId="0" applyFont="1" applyFill="1" applyBorder="1" applyAlignment="1">
      <x:alignment horizontal="center" vertical="top" wrapText="1"/>
    </x:xf>
    <x:xf numFmtId="0" fontId="0" fillId="6" borderId="13" xfId="0" applyFill="1" applyBorder="1" applyAlignment="1">
      <x:alignment horizontal="left" vertical="top" wrapText="1"/>
    </x:xf>
    <x:xf numFmtId="0" fontId="0" fillId="0" borderId="13" xfId="0" applyBorder="1"/>
    <x:xf numFmtId="0" fontId="3" fillId="6" borderId="7" xfId="0" applyFont="1" applyFill="1" applyBorder="1" applyAlignment="1">
      <x:alignment horizontal="left" vertical="top" wrapText="1"/>
    </x:xf>
    <x:xf numFmtId="0" fontId="0" fillId="0" borderId="0" xfId="0"/>
    <x:xf numFmtId="0" fontId="3" fillId="6" borderId="8" xfId="0" applyFont="1" applyFill="1" applyBorder="1" applyAlignment="1">
      <x:alignment horizontal="left" vertical="top" wrapText="1"/>
    </x:xf>
    <x:xf numFmtId="0" fontId="3" fillId="6" borderId="5" xfId="0" applyFont="1" applyFill="1" applyBorder="1" applyAlignment="1">
      <x:alignment horizontal="left" vertical="top" wrapText="1"/>
    </x:xf>
    <x:xf numFmtId="0" fontId="3" fillId="6" borderId="15" xfId="0" applyFont="1" applyFill="1" applyBorder="1" applyAlignment="1">
      <x:alignment horizontal="left" vertical="top" wrapText="1"/>
    </x:xf>
    <x:xf numFmtId="0" fontId="3" fillId="6" borderId="6" xfId="0" applyFont="1" applyFill="1" applyBorder="1" applyAlignment="1">
      <x:alignment vertical="top" wrapText="1"/>
    </x:xf>
    <x:xf numFmtId="0" fontId="3" fillId="6" borderId="12" xfId="0" applyFont="1" applyFill="1" applyBorder="1" applyAlignment="1">
      <x:alignment vertical="top" wrapText="1"/>
    </x:xf>
    <x:xf numFmtId="0" fontId="3" fillId="6" borderId="11" xfId="0" applyFont="1" applyFill="1" applyBorder="1" applyAlignment="1">
      <x:alignment vertical="top" wrapText="1"/>
    </x:xf>
    <x:xf numFmtId="0" fontId="0" fillId="6" borderId="12" xfId="0" applyFill="1" applyBorder="1" applyAlignment="1">
      <x:alignment horizontal="left" vertical="top" wrapText="1"/>
    </x:xf>
    <x:xf numFmtId="0" fontId="0" fillId="6" borderId="11" xfId="0" applyFill="1" applyBorder="1" applyAlignment="1">
      <x:alignment horizontal="left" vertical="top" wrapText="1"/>
    </x:xf>
    <x:xf numFmtId="0" fontId="0" fillId="0" borderId="5" xfId="0" applyBorder="1"/>
    <x:xf numFmtId="0" fontId="0" fillId="13" borderId="13" xfId="0" applyFill="1" applyBorder="1" applyAlignment="1">
      <x:alignment horizontal="left" vertical="top" wrapText="1"/>
    </x:xf>
    <x:xf numFmtId="0" fontId="39" fillId="12" borderId="4" xfId="0" applyFont="1" applyFill="1" applyBorder="1" applyAlignment="1">
      <x:alignment horizontal="left" vertical="top" wrapText="1"/>
    </x:xf>
    <x:xf numFmtId="0" fontId="0" fillId="0" borderId="15" xfId="0" applyBorder="1"/>
    <x:xf numFmtId="0" fontId="34" fillId="6" borderId="6" xfId="0" applyFont="1" applyFill="1" applyBorder="1" applyAlignment="1">
      <x:alignment horizontal="left" vertical="top" wrapText="1"/>
    </x:xf>
    <x:xf numFmtId="0" fontId="34" fillId="6" borderId="12" xfId="0" applyFont="1" applyFill="1" applyBorder="1" applyAlignment="1">
      <x:alignment horizontal="left" vertical="top" wrapText="1"/>
    </x:xf>
    <x:xf numFmtId="0" fontId="34" fillId="6" borderId="11" xfId="0" applyFont="1" applyFill="1" applyBorder="1" applyAlignment="1">
      <x:alignment horizontal="left" vertical="top" wrapText="1"/>
    </x:xf>
    <x:xf numFmtId="0" fontId="3" fillId="6" borderId="4" xfId="0" applyFont="1" applyFill="1" applyBorder="1" applyAlignment="1">
      <x:alignment horizontal="left" vertical="top" wrapText="1"/>
    </x:xf>
    <x:xf numFmtId="0" fontId="0" fillId="0" borderId="13" xfId="0" applyBorder="1">
      <x:extLst>
        <x:ext uri="{C7286773-470A-42A8-94C5-96B5CB345126}">
          <xfpb:xfComplement xmlns:xfpb="http://schemas.microsoft.com/office/spreadsheetml/2022/featurepropertybag" i="0"/>
        </x:ext>
      </x:extLst>
    </x:xf>
    <x:xf numFmtId="0" fontId="0" fillId="0" borderId="18" xfId="0" applyNumberFormat="1" applyFont="1" applyFill="1" applyBorder="1"/>
    <x:xf numFmtId="0" fontId="0" fillId="0" borderId="18" xfId="0" applyNumberFormat="1" applyFont="1" applyFill="1" applyBorder="1" applyAlignment="1">
      <x:alignment wrapText="1"/>
    </x:xf>
    <x:xf numFmtId="0" fontId="0" fillId="0" borderId="19" xfId="0" applyNumberFormat="1" applyFont="1" applyFill="1" applyBorder="1"/>
    <x:xf numFmtId="0" fontId="0" fillId="0" borderId="18" xfId="0" applyNumberFormat="1" applyFont="1" applyFill="1" applyBorder="1" applyAlignment="1">
      <x:alignment horizontal="center"/>
    </x:xf>
    <x:xf numFmtId="0" fontId="0" fillId="0" borderId="18" xfId="0" applyNumberFormat="1" applyFont="1" applyFill="1" applyBorder="1" applyAlignment="1">
      <x:alignment horizontal="left"/>
    </x:xf>
    <x:xf numFmtId="0" fontId="3" fillId="2" borderId="18" xfId="0" applyNumberFormat="1" applyFont="1" applyFill="1" applyBorder="1"/>
    <x:xf numFmtId="0" fontId="3" fillId="2" borderId="20" xfId="0" applyNumberFormat="1" applyFont="1" applyFill="1" applyBorder="1"/>
    <x:xf numFmtId="0" fontId="3" fillId="2" borderId="19" xfId="0" applyNumberFormat="1" applyFont="1" applyFill="1" applyBorder="1" applyAlignment="1">
      <x:alignment wrapText="1"/>
    </x:xf>
    <x:xf numFmtId="0" fontId="0" fillId="0" borderId="20" xfId="0" applyNumberFormat="1" applyFont="1" applyFill="1" applyBorder="1"/>
    <x:xf numFmtId="0" fontId="3" fillId="2" borderId="21" xfId="0" applyNumberFormat="1" applyFont="1" applyFill="1" applyBorder="1"/>
    <x:xf numFmtId="0" fontId="3" fillId="2" borderId="21" xfId="0" applyNumberFormat="1" applyFont="1" applyFill="1" applyBorder="1" applyAlignment="1">
      <x:alignment wrapText="1"/>
    </x:xf>
    <x:xf numFmtId="0" fontId="3" fillId="2" borderId="22" xfId="0" applyNumberFormat="1" applyFont="1" applyFill="1" applyBorder="1" applyAlignment="1">
      <x:alignment wrapText="1"/>
    </x:xf>
    <x:xf numFmtId="0" fontId="3" fillId="5" borderId="23" xfId="0" applyNumberFormat="1" applyFont="1" applyFill="1" applyBorder="1" applyAlignment="1">
      <x:alignment horizontal="center" vertical="center"/>
    </x:xf>
    <x:xf numFmtId="0" fontId="0" fillId="0" borderId="24" xfId="0" applyNumberFormat="1" applyFont="1" applyFill="1" applyBorder="1"/>
    <x:xf numFmtId="0" fontId="0" fillId="0" borderId="25" xfId="0" applyNumberFormat="1" applyFont="1" applyFill="1" applyBorder="1"/>
    <x:xf numFmtId="0" fontId="3" fillId="2" borderId="21" xfId="0" applyNumberFormat="1" applyFont="1" applyFill="1" applyBorder="1" applyAlignment="1">
      <x:alignment horizontal="left" wrapText="1"/>
    </x:xf>
    <x:xf numFmtId="0" fontId="3" fillId="2" borderId="20" xfId="0" applyNumberFormat="1" applyFont="1" applyFill="1" applyBorder="1" applyAlignment="1">
      <x:alignment wrapText="1"/>
    </x:xf>
    <x:xf numFmtId="0" fontId="6" fillId="0" borderId="22"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6" xfId="0" applyNumberFormat="1" applyFont="1" applyFill="1" applyBorder="1"/>
    <x:xf numFmtId="0" fontId="3" fillId="5" borderId="22" xfId="0" applyNumberFormat="1" applyFont="1" applyFill="1" applyBorder="1" applyAlignment="1">
      <x:alignment horizontal="center" vertical="center" wrapText="1"/>
    </x:xf>
    <x:xf numFmtId="0" fontId="3" fillId="5" borderId="26" xfId="0" applyNumberFormat="1" applyFont="1" applyFill="1" applyBorder="1" applyAlignment="1">
      <x:alignment horizontal="center" vertical="center" wrapText="1"/>
    </x:xf>
    <x:xf numFmtId="0" fontId="6" fillId="0" borderId="26" xfId="0" applyNumberFormat="1" applyFont="1" applyFill="1" applyBorder="1" applyAlignment="1">
      <x:alignment wrapText="1"/>
    </x:xf>
    <x:xf numFmtId="0" fontId="0" fillId="0" borderId="27"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3" borderId="21" xfId="0" applyNumberFormat="1" applyFont="1" applyFill="1" applyBorder="1"/>
    <x:xf numFmtId="0" fontId="0" fillId="3" borderId="21" xfId="0" applyNumberFormat="1" applyFont="1" applyFill="1" applyBorder="1" applyAlignment="1">
      <x:alignment wrapText="1"/>
    </x:xf>
    <x:xf numFmtId="0" fontId="0" fillId="3" borderId="18" xfId="0" applyNumberFormat="1" applyFont="1" applyFill="1" applyBorder="1"/>
    <x:xf numFmtId="0" fontId="0" fillId="0" borderId="21" xfId="0" applyNumberFormat="1" applyFont="1" applyFill="1" applyBorder="1" applyAlignment="1">
      <x:alignment wrapText="1"/>
    </x:xf>
    <x:xf numFmtId="0" fontId="3" fillId="2" borderId="26" xfId="0" applyNumberFormat="1" applyFont="1" applyFill="1" applyBorder="1" applyAlignment="1">
      <x:alignment wrapText="1"/>
    </x:xf>
    <x:xf numFmtId="0" fontId="3" fillId="2" borderId="26" xfId="0" applyNumberFormat="1" applyFont="1" applyFill="1" applyBorder="1"/>
    <x:xf numFmtId="0" fontId="2" fillId="2" borderId="21" xfId="0" applyNumberFormat="1" applyFont="1" applyFill="1" applyBorder="1"/>
    <x:xf numFmtId="0" fontId="2" fillId="2" borderId="21" xfId="0" applyNumberFormat="1" applyFont="1" applyFill="1" applyBorder="1" applyAlignment="1">
      <x:alignment horizontal="left"/>
    </x:xf>
    <x:xf numFmtId="0" fontId="0" fillId="0" borderId="21" xfId="0" applyNumberFormat="1" applyFont="1" applyFill="1" applyBorder="1" applyAlignment="1">
      <x:alignment horizontal="center"/>
    </x:xf>
    <x:xf numFmtId="0" fontId="0" fillId="0" borderId="21" xfId="0" applyNumberFormat="1" applyFont="1" applyFill="1" applyBorder="1" applyAlignment="1">
      <x:alignment horizontal="left"/>
    </x:xf>
    <x:xf numFmtId="0" fontId="3" fillId="0" borderId="18" xfId="0" applyNumberFormat="1" applyFont="1" applyFill="1" applyBorder="1"/>
    <x:xf numFmtId="0" fontId="0" fillId="0" borderId="28" xfId="0" applyNumberFormat="1" applyFont="1" applyFill="1" applyBorder="1"/>
    <x:xf numFmtId="0" fontId="3" fillId="4" borderId="21" xfId="0" applyNumberFormat="1" applyFont="1" applyFill="1" applyBorder="1"/>
    <x:xf numFmtId="0" fontId="5" fillId="4" borderId="21" xfId="0" applyNumberFormat="1" applyFont="1" applyFill="1" applyBorder="1" applyAlignment="1">
      <x:alignment vertical="center"/>
    </x:xf>
    <x:xf numFmtId="0" fontId="7" fillId="0" borderId="21" xfId="0" applyNumberFormat="1" applyFont="1" applyFill="1" applyBorder="1"/>
    <x:xf numFmtId="0" fontId="4" fillId="2" borderId="21" xfId="0" applyNumberFormat="1" applyFont="1" applyFill="1" applyBorder="1" applyAlignment="1">
      <x:alignment horizontal="center" vertical="top"/>
    </x:xf>
    <x:xf numFmtId="0" fontId="3" fillId="0" borderId="18" xfId="0" applyNumberFormat="1" applyFont="1" applyFill="1" applyBorder="1" applyAlignment="1">
      <x:alignment wrapText="1"/>
    </x:xf>
    <x:xf numFmtId="0" fontId="5" fillId="2" borderId="20" xfId="0" applyNumberFormat="1" applyFont="1" applyFill="1" applyBorder="1" applyAlignment="1">
      <x:alignment vertical="center" wrapText="1"/>
    </x:xf>
    <x:xf numFmtId="0" fontId="22" fillId="0" borderId="21" xfId="0" applyNumberFormat="1" applyFont="1" applyFill="1" applyBorder="1"/>
    <x:xf numFmtId="0" fontId="7" fillId="0" borderId="18" xfId="0" applyNumberFormat="1" applyFont="1" applyFill="1" applyBorder="1"/>
    <x:xf numFmtId="0" fontId="0" fillId="8" borderId="21" xfId="0" applyNumberFormat="1" applyFont="1" applyFill="1" applyBorder="1"/>
    <x:xf numFmtId="0" fontId="0" fillId="8" borderId="21" xfId="0" applyNumberFormat="1" applyFont="1" applyFill="1" applyBorder="1" applyAlignment="1">
      <x:alignment wrapText="1"/>
    </x:xf>
    <x:xf numFmtId="49" fontId="26" fillId="10" borderId="21" xfId="0" applyNumberFormat="1" applyFont="1" applyFill="1" applyBorder="1" applyAlignment="1">
      <x:alignment horizontal="left" vertical="top" wrapText="1"/>
    </x:xf>
    <x:xf numFmtId="49" fontId="3" fillId="0" borderId="21" xfId="0" applyNumberFormat="1" applyFont="1" applyFill="1" applyBorder="1" applyAlignment="1">
      <x:alignment horizontal="left" vertical="top" wrapText="1"/>
    </x:xf>
    <x:xf numFmtId="0" fontId="3" fillId="0" borderId="21" xfId="0" applyNumberFormat="1" applyFont="1" applyFill="1" applyBorder="1" applyAlignment="1">
      <x:alignment horizontal="left" vertical="top"/>
    </x:xf>
    <x:xf numFmtId="0" fontId="26" fillId="0" borderId="21" xfId="0" applyNumberFormat="1" applyFont="1" applyFill="1" applyBorder="1" applyAlignment="1">
      <x:alignment horizontal="left" vertical="top"/>
    </x:xf>
    <x:xf numFmtId="49" fontId="26" fillId="0" borderId="21" xfId="0" applyNumberFormat="1" applyFont="1" applyFill="1" applyBorder="1" applyAlignment="1">
      <x:alignment horizontal="left" vertical="top"/>
    </x:xf>
    <x:xf numFmtId="0" fontId="27" fillId="0" borderId="21" xfId="0" applyNumberFormat="1" applyFont="1" applyFill="1" applyBorder="1" applyAlignment="1">
      <x:alignment horizontal="left" vertical="top" wrapText="1"/>
    </x:xf>
    <x:xf numFmtId="0" fontId="26" fillId="0" borderId="21" xfId="0" applyNumberFormat="1" applyFont="1" applyFill="1" applyBorder="1" applyAlignment="1">
      <x:alignment horizontal="left" vertical="top" wrapText="1"/>
    </x:xf>
    <x:xf numFmtId="0" fontId="3" fillId="0" borderId="21" xfId="0" applyNumberFormat="1" applyFont="1" applyFill="1" applyBorder="1" applyAlignment="1">
      <x:alignment horizontal="left" vertical="top" wrapText="1"/>
    </x:xf>
    <x:xf numFmtId="0" fontId="0" fillId="0" borderId="21" xfId="0" applyNumberFormat="1" applyFont="1" applyFill="1" applyBorder="1" applyAlignment="1">
      <x:alignment horizontal="left" vertical="top"/>
    </x:xf>
    <x:xf numFmtId="49" fontId="25" fillId="9" borderId="21" xfId="0" applyNumberFormat="1" applyFont="1" applyFill="1" applyBorder="1" applyAlignment="1">
      <x:alignment horizontal="left" vertical="top" wrapText="1"/>
    </x:xf>
    <x:xf numFmtId="0" fontId="3" fillId="2" borderId="20" xfId="0" applyNumberFormat="1" applyFont="1" applyFill="1" applyBorder="1" applyAlignment="1">
      <x:alignment vertical="center" wrapText="1"/>
    </x:xf>
    <x:xf numFmtId="0" fontId="0" fillId="0" borderId="18" xfId="0" applyNumberFormat="1" applyFont="1" applyFill="1" applyBorder="1" applyAlignment="1">
      <x:alignment vertical="center"/>
    </x:xf>
    <x:xf numFmtId="0" fontId="3" fillId="4" borderId="21" xfId="0" applyNumberFormat="1" applyFont="1" applyFill="1" applyBorder="1" applyAlignment="1">
      <x:alignment wrapText="1"/>
    </x:xf>
    <x:xf numFmtId="0" fontId="3" fillId="0" borderId="18" xfId="0" applyNumberFormat="1" applyFont="1" applyFill="1" applyBorder="1" applyAlignment="1">
      <x:alignment vertical="center" wrapText="1"/>
    </x:xf>
    <x:xf numFmtId="0" fontId="3" fillId="0" borderId="18" xfId="0" applyNumberFormat="1" applyFont="1" applyFill="1" applyBorder="1" applyAlignment="1">
      <x:alignment vertical="top" wrapText="1"/>
    </x:xf>
    <x:xf numFmtId="0" fontId="3" fillId="2" borderId="21" xfId="0" applyNumberFormat="1" applyFont="1" applyFill="1" applyBorder="1" applyAlignment="1">
      <x:alignment vertical="center" wrapText="1"/>
    </x:xf>
    <x:xf numFmtId="0" fontId="0" fillId="0" borderId="23" xfId="0" applyNumberFormat="1" applyFont="1" applyFill="1" applyBorder="1"/>
    <x:xf numFmtId="0" fontId="0" fillId="0" borderId="29" xfId="0" applyNumberFormat="1" applyFont="1" applyFill="1" applyBorder="1"/>
    <x:xf numFmtId="0" fontId="0" fillId="0" borderId="30" xfId="0" applyNumberFormat="1" applyFont="1" applyFill="1" applyBorder="1"/>
    <x:xf numFmtId="0" fontId="12" fillId="0" borderId="21" xfId="0" applyNumberFormat="1" applyFont="1" applyFill="1" applyBorder="1" applyAlignment="1">
      <x:alignment wrapText="1"/>
    </x:xf>
    <x:xf numFmtId="0" fontId="0" fillId="0" borderId="30" xfId="0" applyNumberFormat="1" applyFont="1" applyFill="1" applyBorder="1" applyAlignment="1">
      <x:alignment wrapText="1"/>
    </x:xf>
    <x:xf numFmtId="0" fontId="4" fillId="2" borderId="21" xfId="0" applyNumberFormat="1" applyFont="1" applyFill="1" applyBorder="1" applyAlignment="1">
      <x:alignment horizontal="center" vertical="top" wrapText="1"/>
    </x:xf>
    <x:xf numFmtId="0" fontId="0" fillId="7" borderId="31" xfId="0" applyNumberFormat="1" applyFont="1" applyFill="1" applyBorder="1" applyAlignment="1">
      <x:alignment horizontal="center" vertical="center" wrapText="1"/>
    </x:xf>
    <x:xf numFmtId="0" fontId="0" fillId="0" borderId="18" xfId="0" applyNumberFormat="1" applyFont="1" applyFill="1" applyBorder="1" applyAlignment="1">
      <x:alignment horizontal="left" vertical="top"/>
    </x:xf>
    <x:xf numFmtId="0" fontId="0" fillId="8" borderId="18" xfId="0" applyNumberFormat="1" applyFont="1" applyFill="1" applyBorder="1"/>
    <x:xf numFmtId="0" fontId="0" fillId="8" borderId="26" xfId="0" applyNumberFormat="1" applyFont="1" applyFill="1" applyBorder="1"/>
    <x:xf numFmtId="0" fontId="0" fillId="8" borderId="23" xfId="0" applyNumberFormat="1" applyFont="1" applyFill="1" applyBorder="1"/>
    <x:xf numFmtId="0" fontId="0" fillId="8" borderId="30" xfId="0" applyNumberFormat="1" applyFont="1" applyFill="1" applyBorder="1"/>
    <x:xf numFmtId="0" fontId="7" fillId="8" borderId="21" xfId="0" applyNumberFormat="1" applyFont="1" applyFill="1" applyBorder="1" applyAlignment="1">
      <x:alignment wrapText="1"/>
    </x:xf>
    <x:xf numFmtId="0" fontId="7" fillId="8" borderId="21" xfId="0" applyNumberFormat="1" applyFont="1" applyFill="1" applyBorder="1"/>
    <x:xf numFmtId="0" fontId="0" fillId="8" borderId="21" xfId="0" applyNumberFormat="1" applyFont="1" applyFill="1" applyBorder="1" applyAlignment="1">
      <x:alignment horizontal="center"/>
    </x:xf>
    <x:xf numFmtId="0" fontId="24" fillId="2" borderId="21" xfId="0" applyNumberFormat="1" applyFont="1" applyFill="1" applyBorder="1" applyAlignment="1">
      <x:alignment vertical="center"/>
    </x:xf>
    <x:xf numFmtId="0" fontId="0" fillId="8" borderId="20" xfId="0" applyNumberFormat="1" applyFont="1" applyFill="1" applyBorder="1" applyAlignment="1">
      <x:alignment wrapText="1"/>
    </x:xf>
    <x:xf numFmtId="0" fontId="0" fillId="8" borderId="20" xfId="0" applyNumberFormat="1" applyFont="1" applyFill="1" applyBorder="1"/>
    <x:xf numFmtId="0" fontId="0" fillId="0" borderId="22" xfId="0" applyNumberFormat="1" applyFont="1" applyFill="1" applyBorder="1" applyAlignment="1">
      <x:alignment wrapText="1"/>
    </x:xf>
    <x:xf numFmtId="0" fontId="3" fillId="5" borderId="21" xfId="0" applyNumberFormat="1" applyFont="1" applyFill="1" applyBorder="1" applyAlignment="1">
      <x:alignment horizontal="center" vertical="center"/>
    </x:xf>
    <x:xf numFmtId="0" fontId="3" fillId="5" borderId="21" xfId="0" applyNumberFormat="1" applyFont="1" applyFill="1" applyBorder="1" applyAlignment="1">
      <x:alignment horizontal="center" vertical="center" wrapText="1"/>
    </x:xf>
    <x:xf numFmtId="0" fontId="0" fillId="3" borderId="22" xfId="0" applyNumberFormat="1" applyFont="1" applyFill="1" applyBorder="1"/>
    <x:xf numFmtId="0" fontId="32" fillId="0" borderId="18" xfId="0" applyNumberFormat="1" applyFont="1" applyFill="1" applyBorder="1" applyAlignment="1">
      <x:alignment vertical="center"/>
    </x:xf>
    <x:xf numFmtId="0" fontId="41" fillId="0" borderId="18" xfId="0" applyNumberFormat="1" applyFont="1" applyFill="1" applyBorder="1" applyAlignment="1">
      <x:alignment horizontal="left"/>
    </x:xf>
    <x:xf numFmtId="0" fontId="3" fillId="2" borderId="26" xfId="0" applyNumberFormat="1" applyFont="1" applyFill="1" applyBorder="1" applyAlignment="1">
      <x:alignment horizontal="left" wrapText="1"/>
    </x:xf>
    <x:xf numFmtId="0" fontId="39" fillId="11" borderId="21" xfId="0" applyNumberFormat="1" applyFont="1" applyFill="1" applyBorder="1"/>
    <x:xf numFmtId="0" fontId="39" fillId="11" borderId="30" xfId="0" applyNumberFormat="1" applyFont="1" applyFill="1" applyBorder="1"/>
    <x:xf numFmtId="0" fontId="39" fillId="11" borderId="32" xfId="0" applyNumberFormat="1" applyFont="1" applyFill="1" applyBorder="1"/>
    <x:xf numFmtId="1" fontId="39" fillId="11" borderId="32" xfId="0" applyNumberFormat="1" applyFont="1" applyFill="1" applyBorder="1"/>
    <x:xf numFmtId="49" fontId="39" fillId="11" borderId="32" xfId="0" applyNumberFormat="1" applyFont="1" applyFill="1" applyBorder="1"/>
    <x:xf numFmtId="0" fontId="39" fillId="11" borderId="32" xfId="0" applyNumberFormat="1" applyFont="1" applyFill="1" applyBorder="1" applyAlignment="1">
      <x:alignment horizontal="left" vertical="top" wrapText="1"/>
    </x:xf>
    <x:xf numFmtId="1" fontId="0" fillId="0" borderId="21" xfId="0" applyNumberFormat="1" applyFont="1" applyFill="1" applyBorder="1" applyAlignment="1">
      <x:alignment wrapText="1"/>
    </x:xf>
    <x:xf numFmtId="49" fontId="0" fillId="0" borderId="21" xfId="0" applyNumberFormat="1" applyFont="1" applyFill="1" applyBorder="1" applyAlignment="1">
      <x:alignment wrapText="1"/>
    </x:xf>
    <x:xf numFmtId="0" fontId="33" fillId="0" borderId="21" xfId="0" applyNumberFormat="1" applyFont="1" applyFill="1" applyBorder="1" applyAlignment="1">
      <x:alignment wrapText="1"/>
    </x:xf>
    <x:xf numFmtId="0" fontId="0" fillId="0" borderId="21" xfId="0" applyNumberFormat="1" applyFont="1" applyFill="1" applyBorder="1" applyAlignment="1">
      <x:alignment horizontal="left" vertical="top" wrapText="1"/>
    </x:xf>
    <x:xf numFmtId="1" fontId="0" fillId="0" borderId="18" xfId="0" applyNumberFormat="1" applyFont="1" applyFill="1" applyBorder="1"/>
    <x:xf numFmtId="49" fontId="0" fillId="0" borderId="18" xfId="0" applyNumberFormat="1" applyFont="1" applyFill="1" applyBorder="1"/>
    <x:xf numFmtId="0" fontId="0" fillId="0" borderId="18" xfId="0" applyNumberFormat="1" applyFont="1" applyFill="1" applyBorder="1" applyAlignment="1">
      <x:alignment horizontal="left" vertical="top" wrapText="1"/>
    </x:xf>
    <x:xf numFmtId="0" fontId="0" fillId="8" borderId="26" xfId="0" applyNumberFormat="1" applyFont="1" applyFill="1" applyBorder="1" applyAlignment="1">
      <x:alignment wrapText="1"/>
    </x:xf>
    <x:xf numFmtId="0" fontId="33" fillId="3" borderId="18" xfId="0" applyNumberFormat="1" applyFont="1" applyFill="1" applyBorder="1" applyAlignment="1">
      <x:alignment wrapText="1"/>
    </x:xf>
    <x:xf numFmtId="0" fontId="33" fillId="0" borderId="18" xfId="0" applyNumberFormat="1" applyFont="1" applyFill="1" applyBorder="1"/>
    <x:xf numFmtId="0" fontId="5" fillId="2" borderId="20" xfId="0" applyNumberFormat="1" applyFont="1" applyFill="1" applyBorder="1" applyAlignment="1">
      <x:alignment horizontal="center" wrapText="1"/>
    </x:xf>
    <x:xf numFmtId="0" fontId="3" fillId="2" borderId="20" xfId="0" applyNumberFormat="1" applyFont="1" applyFill="1" applyBorder="1" applyAlignment="1">
      <x:alignment horizontal="left" wrapText="1"/>
    </x:xf>
    <x:xf numFmtId="0" fontId="5" fillId="2" borderId="20" xfId="0" applyNumberFormat="1" applyFont="1" applyFill="1" applyBorder="1" applyAlignment="1">
      <x:alignment horizontal="left" wrapText="1"/>
    </x:xf>
    <x:xf numFmtId="0" fontId="0" fillId="0" borderId="21" xfId="0" applyNumberFormat="1" applyFont="1" applyFill="1" applyBorder="1" applyAlignment="1">
      <x:alignment horizontal="left" wrapText="1"/>
    </x:xf>
    <x:xf numFmtId="0" fontId="39" fillId="11" borderId="21" xfId="0" applyNumberFormat="1" applyFont="1" applyFill="1" applyBorder="1" applyAlignment="1">
      <x:alignment wrapText="1"/>
    </x:xf>
    <x:xf numFmtId="0" fontId="3" fillId="2" borderId="25" xfId="0" applyNumberFormat="1" applyFont="1" applyFill="1" applyBorder="1"/>
    <x:xf numFmtId="49" fontId="3" fillId="3" borderId="21" xfId="0" applyNumberFormat="1" applyFont="1" applyFill="1" applyBorder="1" applyAlignment="1">
      <x:alignment horizontal="left" vertical="top" wrapText="1"/>
    </x:xf>
    <x:xf numFmtId="0" fontId="39" fillId="11" borderId="20" xfId="0" applyNumberFormat="1" applyFont="1" applyFill="1" applyBorder="1"/>
    <x:xf numFmtId="0" fontId="0" fillId="0" borderId="26" xfId="0" applyNumberFormat="1" applyFont="1" applyFill="1" applyBorder="1" applyAlignment="1">
      <x:alignment wrapText="1"/>
    </x:xf>
    <x:xf numFmtId="20" fontId="0" fillId="0" borderId="20" xfId="0" applyNumberFormat="1" applyFont="1" applyFill="1" applyBorder="1" applyAlignment="1">
      <x:alignment wrapText="1"/>
    </x:xf>
    <x:xf numFmtId="0" fontId="0" fillId="0" borderId="33" xfId="0" applyNumberFormat="1" applyFont="1" applyFill="1" applyBorder="1" applyAlignment="1">
      <x:alignment wrapText="1"/>
    </x:xf>
    <x:xf numFmtId="0" fontId="0" fillId="8" borderId="30" xfId="0" applyNumberFormat="1" applyFont="1" applyFill="1" applyBorder="1" applyAlignment="1">
      <x:alignment wrapText="1"/>
    </x:xf>
    <x:xf numFmtId="0" fontId="32" fillId="0" borderId="32" xfId="0" applyNumberFormat="1" applyFont="1" applyFill="1" applyBorder="1" applyAlignment="1">
      <x:alignment wrapText="1"/>
    </x:xf>
    <x:xf numFmtId="0" fontId="50" fillId="8" borderId="21" xfId="0" applyNumberFormat="1" applyFont="1" applyFill="1" applyBorder="1"/>
    <x:xf numFmtId="0" fontId="1" fillId="0" borderId="21" xfId="0" applyNumberFormat="1" applyFont="1" applyFill="1" applyBorder="1"/>
    <x:xf numFmtId="0" fontId="1" fillId="8" borderId="21" xfId="0" applyNumberFormat="1" applyFont="1" applyFill="1" applyBorder="1"/>
    <x:xf numFmtId="0" fontId="5" fillId="2" borderId="21" xfId="0" applyNumberFormat="1" applyFont="1" applyFill="1" applyBorder="1" applyAlignment="1">
      <x:alignment wrapText="1"/>
    </x:xf>
    <x:xf numFmtId="0" fontId="55" fillId="0" borderId="18" xfId="0" applyNumberFormat="1" applyFont="1" applyFill="1" applyBorder="1" applyAlignment="1">
      <x:alignment wrapText="1"/>
    </x:xf>
    <x:xf numFmtId="0" fontId="56" fillId="3" borderId="18" xfId="0" applyNumberFormat="1" applyFont="1" applyFill="1" applyBorder="1" applyAlignment="1">
      <x:alignment horizontal="left" vertical="top" wrapText="1"/>
    </x:xf>
    <x:xf numFmtId="0" fontId="56" fillId="3" borderId="21" xfId="0" applyNumberFormat="1" applyFont="1" applyFill="1" applyBorder="1" applyAlignment="1">
      <x:alignment horizontal="left" vertical="top" wrapText="1"/>
    </x:xf>
    <x:xf numFmtId="0" fontId="57" fillId="0" borderId="18" xfId="0" applyNumberFormat="1" applyFont="1" applyFill="1" applyBorder="1"/>
    <x:xf numFmtId="0" fontId="58" fillId="0" borderId="18" xfId="0" applyNumberFormat="1" applyFont="1" applyFill="1" applyBorder="1" applyAlignment="1">
      <x:alignment vertical="center" wrapText="1"/>
    </x:xf>
    <x:xf numFmtId="0" fontId="57" fillId="0" borderId="18" xfId="0" applyNumberFormat="1" applyFont="1" applyFill="1" applyBorder="1" applyAlignment="1">
      <x:alignment wrapText="1"/>
    </x:xf>
    <x:xf numFmtId="0" fontId="0" fillId="3" borderId="18" xfId="0" applyNumberFormat="1" applyFont="1" applyFill="1" applyBorder="1" applyAlignment="1">
      <x:alignment horizontal="left" wrapText="1"/>
    </x:xf>
    <x:xf numFmtId="0" fontId="3" fillId="6" borderId="21" xfId="0" applyNumberFormat="1" applyFont="1" applyFill="1" applyBorder="1" applyAlignment="1">
      <x:alignment horizontal="left" vertical="top" wrapText="1"/>
    </x:xf>
    <x:xf numFmtId="0" fontId="39" fillId="12" borderId="21" xfId="0" applyNumberFormat="1" applyFont="1" applyFill="1" applyBorder="1" applyAlignment="1">
      <x:alignment horizontal="left" vertical="top" wrapText="1"/>
    </x:xf>
    <x:xf numFmtId="0" fontId="0" fillId="0" borderId="34" xfId="0" applyNumberFormat="1" applyFont="1" applyFill="1" applyBorder="1"/>
    <x:xf numFmtId="0" fontId="3" fillId="6" borderId="23" xfId="0" applyNumberFormat="1" applyFont="1" applyFill="1" applyBorder="1" applyAlignment="1">
      <x:alignment horizontal="left" vertical="top" wrapText="1"/>
    </x:xf>
    <x:xf numFmtId="0" fontId="3" fillId="6" borderId="34" xfId="0" applyNumberFormat="1" applyFont="1" applyFill="1" applyBorder="1" applyAlignment="1">
      <x:alignment horizontal="left" vertical="top" wrapText="1"/>
    </x:xf>
    <x:xf numFmtId="0" fontId="3" fillId="6" borderId="30" xfId="0" applyNumberFormat="1" applyFont="1" applyFill="1" applyBorder="1" applyAlignment="1">
      <x:alignment horizontal="left" vertical="top" wrapText="1"/>
    </x:xf>
    <x:xf numFmtId="0" fontId="0" fillId="6" borderId="23" xfId="0" applyNumberFormat="1" applyFont="1" applyFill="1" applyBorder="1" applyAlignment="1">
      <x:alignment horizontal="left" vertical="top" wrapText="1"/>
    </x:xf>
    <x:xf numFmtId="0" fontId="0" fillId="6" borderId="34" xfId="0" applyNumberFormat="1" applyFont="1" applyFill="1" applyBorder="1" applyAlignment="1">
      <x:alignment horizontal="left" vertical="top"/>
    </x:xf>
    <x:xf numFmtId="0" fontId="0" fillId="6" borderId="30" xfId="0" applyNumberFormat="1" applyFont="1" applyFill="1" applyBorder="1" applyAlignment="1">
      <x:alignment horizontal="left" vertical="top"/>
    </x:xf>
    <x:xf numFmtId="0" fontId="3" fillId="6" borderId="21" xfId="0" applyNumberFormat="1" applyFont="1" applyFill="1" applyBorder="1" applyAlignment="1">
      <x:alignment horizontal="center" vertical="top" wrapText="1"/>
    </x:xf>
    <x:xf numFmtId="0" fontId="0" fillId="6" borderId="21" xfId="0" applyNumberFormat="1" applyFont="1" applyFill="1" applyBorder="1" applyAlignment="1">
      <x:alignment horizontal="left" vertical="top" wrapText="1"/>
    </x:xf>
    <x:xf numFmtId="0" fontId="3" fillId="6" borderId="24" xfId="0" applyNumberFormat="1" applyFont="1" applyFill="1" applyBorder="1" applyAlignment="1">
      <x:alignment horizontal="left" vertical="top" wrapText="1"/>
    </x:xf>
    <x:xf numFmtId="0" fontId="3" fillId="6" borderId="25" xfId="0" applyNumberFormat="1" applyFont="1" applyFill="1" applyBorder="1" applyAlignment="1">
      <x:alignment horizontal="left" vertical="top" wrapText="1"/>
    </x:xf>
    <x:xf numFmtId="0" fontId="3" fillId="6" borderId="28" xfId="0" applyNumberFormat="1" applyFont="1" applyFill="1" applyBorder="1" applyAlignment="1">
      <x:alignment horizontal="left" vertical="top" wrapText="1"/>
    </x:xf>
    <x:xf numFmtId="0" fontId="3" fillId="6" borderId="32" xfId="0" applyNumberFormat="1" applyFont="1" applyFill="1" applyBorder="1" applyAlignment="1">
      <x:alignment horizontal="left" vertical="top" wrapText="1"/>
    </x:xf>
    <x:xf numFmtId="0" fontId="3" fillId="6" borderId="23" xfId="0" applyNumberFormat="1" applyFont="1" applyFill="1" applyBorder="1" applyAlignment="1">
      <x:alignment vertical="top" wrapText="1"/>
    </x:xf>
    <x:xf numFmtId="0" fontId="3" fillId="6" borderId="34" xfId="0" applyNumberFormat="1" applyFont="1" applyFill="1" applyBorder="1" applyAlignment="1">
      <x:alignment vertical="top" wrapText="1"/>
    </x:xf>
    <x:xf numFmtId="0" fontId="3" fillId="6" borderId="30" xfId="0" applyNumberFormat="1" applyFont="1" applyFill="1" applyBorder="1" applyAlignment="1">
      <x:alignment vertical="top" wrapText="1"/>
    </x:xf>
    <x:xf numFmtId="0" fontId="0" fillId="6" borderId="34" xfId="0" applyNumberFormat="1" applyFont="1" applyFill="1" applyBorder="1" applyAlignment="1">
      <x:alignment horizontal="left" vertical="top" wrapText="1"/>
    </x:xf>
    <x:xf numFmtId="0" fontId="0" fillId="6" borderId="30" xfId="0" applyNumberFormat="1" applyFont="1" applyFill="1" applyBorder="1" applyAlignment="1">
      <x:alignment horizontal="left" vertical="top" wrapText="1"/>
    </x:xf>
    <x:xf numFmtId="0" fontId="0" fillId="13" borderId="21" xfId="0" applyNumberFormat="1" applyFont="1" applyFill="1" applyBorder="1" applyAlignment="1">
      <x:alignment horizontal="left" vertical="top" wrapText="1"/>
    </x:xf>
    <x:xf numFmtId="0" fontId="39" fillId="12" borderId="20" xfId="0" applyNumberFormat="1" applyFont="1" applyFill="1" applyBorder="1" applyAlignment="1">
      <x:alignment horizontal="left" vertical="top" wrapText="1"/>
    </x:xf>
    <x:xf numFmtId="0" fontId="0" fillId="0" borderId="32" xfId="0" applyNumberFormat="1" applyFont="1" applyFill="1" applyBorder="1"/>
    <x:xf numFmtId="0" fontId="34" fillId="6" borderId="23" xfId="0" applyNumberFormat="1" applyFont="1" applyFill="1" applyBorder="1" applyAlignment="1">
      <x:alignment horizontal="left" vertical="top" wrapText="1"/>
    </x:xf>
    <x:xf numFmtId="0" fontId="34" fillId="6" borderId="34" xfId="0" applyNumberFormat="1" applyFont="1" applyFill="1" applyBorder="1" applyAlignment="1">
      <x:alignment horizontal="left" vertical="top" wrapText="1"/>
    </x:xf>
    <x:xf numFmtId="0" fontId="34" fillId="6" borderId="30" xfId="0" applyNumberFormat="1" applyFont="1" applyFill="1" applyBorder="1" applyAlignment="1">
      <x:alignment horizontal="left" vertical="top" wrapText="1"/>
    </x:xf>
    <x:xf numFmtId="0" fontId="3" fillId="6" borderId="20" xfId="0" applyNumberFormat="1" applyFont="1" applyFill="1" applyBorder="1" applyAlignment="1">
      <x:alignment horizontal="left" vertical="top" wrapText="1"/>
    </x:xf>
    <x:xf numFmtId="0" fontId="0" fillId="8" borderId="13" xfId="0" applyFill="1" applyBorder="1">
      <x:extLst>
        <x:ext uri="{C7286773-470A-42A8-94C5-96B5CB345126}">
          <xfpb:xfComplement xmlns:xfpb="http://schemas.microsoft.com/office/spreadsheetml/2022/featurepropertybag" i="0"/>
        </x:ext>
      </x:extLst>
    </x:xf>
    <x:xf numFmtId="0" fontId="0" fillId="0" borderId="13" xfId="0" applyBorder="1" applyAlignment="1">
      <x:alignment wrapText="1"/>
      <x:extLst>
        <x:ext uri="{C7286773-470A-42A8-94C5-96B5CB345126}">
          <xfpb:xfComplement xmlns:xfpb="http://schemas.microsoft.com/office/spreadsheetml/2022/featurepropertybag" i="0"/>
        </x:ext>
      </x:extLst>
    </x:xf>
    <x:xf numFmtId="0" fontId="0" fillId="0" borderId="21" xfId="0" applyNumberFormat="1" applyFont="1" applyFill="1" applyBorder="1">
      <x:extLst>
        <x:ext uri="{C7286773-470A-42A8-94C5-96B5CB345126}">
          <xfpb:xfComplement xmlns:xfpb="http://schemas.microsoft.com/office/spreadsheetml/2022/featurepropertybag" i="0"/>
        </x:ext>
      </x:extLst>
    </x:xf>
    <x:xf numFmtId="0" fontId="0" fillId="8" borderId="21" xfId="0" applyNumberFormat="1" applyFont="1" applyFill="1" applyBorder="1">
      <x:extLst>
        <x:ext uri="{C7286773-470A-42A8-94C5-96B5CB345126}">
          <xfpb:xfComplement xmlns:xfpb="http://schemas.microsoft.com/office/spreadsheetml/2022/featurepropertybag" i="0"/>
        </x:ext>
      </x:extLst>
    </x:xf>
    <x:xf numFmtId="0" fontId="0" fillId="0" borderId="0" xfId="0">
      <x:extLst>
        <x:ext uri="{C7286773-470A-42A8-94C5-96B5CB345126}">
          <xfpb:xfComplement xmlns:xfpb="http://schemas.microsoft.com/office/spreadsheetml/2022/featurepropertybag" i="0"/>
        </x:ext>
      </x:extLst>
    </x:xf>
    <x:xf numFmtId="0" fontId="0" fillId="0" borderId="2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3" borderId="13" xfId="0" applyFill="1" applyBorder="1">
      <x:extLst>
        <x:ext uri="{C7286773-470A-42A8-94C5-96B5CB345126}">
          <xfpb:xfComplement xmlns:xfpb="http://schemas.microsoft.com/office/spreadsheetml/2022/featurepropertybag" i="0"/>
        </x:ext>
      </x:extLst>
    </x:xf>
    <x:xf numFmtId="0" fontId="0" fillId="0" borderId="18" xfId="0" applyNumberFormat="1" applyFont="1" applyFill="1" applyBorder="1">
      <x:extLst>
        <x:ext uri="{C7286773-470A-42A8-94C5-96B5CB345126}">
          <xfpb:xfComplement xmlns:xfpb="http://schemas.microsoft.com/office/spreadsheetml/2022/featurepropertybag" i="0"/>
        </x:ext>
      </x:extLst>
    </x:xf>
    <x:xf numFmtId="0" fontId="0" fillId="3" borderId="21" xfId="0" applyNumberFormat="1" applyFont="1" applyFill="1" applyBorder="1">
      <x:extLst>
        <x:ext uri="{C7286773-470A-42A8-94C5-96B5CB345126}">
          <xfpb:xfComplement xmlns:xfpb="http://schemas.microsoft.com/office/spreadsheetml/2022/featurepropertybag" i="0"/>
        </x:ext>
      </x:extLst>
    </x:xf>
    <x:xf numFmtId="0" fontId="0" fillId="14" borderId="0" xfId="0" applyNumberFormat="1" applyFont="1" applyFill="1" applyBorder="1"/>
    <x:xf numFmtId="0" fontId="59" fillId="14" borderId="0" xfId="0" applyNumberFormat="1" applyFont="1" applyFill="1" applyBorder="1"/>
    <x:xf numFmtId="0" fontId="59" fillId="14" borderId="0" xfId="0" applyNumberFormat="1" applyFont="1" applyFill="1" applyBorder="1" applyAlignment="1">
      <x:alignment horizontal="center"/>
    </x:xf>
    <x:xf numFmtId="0" fontId="59" fillId="14" borderId="0" xfId="0" applyNumberFormat="1" applyFont="1" applyFill="1" applyBorder="1" applyAlignment="1">
      <x:alignment horizontal="center" vertical="center"/>
    </x:xf>
    <x:xf numFmtId="0" fontId="0" fillId="14" borderId="18" xfId="0" applyNumberFormat="1" applyFont="1" applyFill="1" applyBorder="1"/>
    <x:xf numFmtId="0" fontId="59" fillId="14" borderId="18" xfId="0" applyNumberFormat="1" applyFont="1" applyFill="1" applyBorder="1"/>
    <x:xf numFmtId="0" fontId="59" fillId="14" borderId="18" xfId="0" applyNumberFormat="1" applyFont="1" applyFill="1" applyBorder="1" applyAlignment="1">
      <x:alignment horizontal="center"/>
    </x:xf>
    <x:xf numFmtId="0" fontId="59" fillId="14" borderId="18" xfId="0" applyNumberFormat="1" applyFont="1" applyFill="1" applyBorder="1" applyAlignment="1">
      <x:alignment horizontal="center" vertical="center"/>
    </x:xf>
    <x:xf numFmtId="0" fontId="0" fillId="15" borderId="0" xfId="0" applyNumberFormat="1" applyFont="1" applyFill="1" applyBorder="1"/>
    <x:xf numFmtId="0" fontId="60" fillId="15" borderId="0" xfId="0" applyNumberFormat="1" applyFont="1" applyFill="1" applyBorder="1"/>
    <x:xf numFmtId="0" fontId="60" fillId="15" borderId="0" xfId="0" applyNumberFormat="1" applyFont="1" applyFill="1" applyBorder="1" applyAlignment="1">
      <x:alignment wrapText="1"/>
    </x:xf>
    <x:xf numFmtId="0" fontId="60" fillId="15" borderId="0" xfId="0" applyNumberFormat="1" applyFont="1" applyFill="1" applyBorder="1" applyAlignment="1">
      <x:alignment horizontal="center" wrapText="1"/>
    </x:xf>
    <x:xf numFmtId="0" fontId="60" fillId="15" borderId="0" xfId="0" applyNumberFormat="1" applyFont="1" applyFill="1" applyBorder="1" applyAlignment="1">
      <x:alignment horizontal="center" vertical="center" wrapText="1"/>
    </x:xf>
    <x:xf numFmtId="0" fontId="0" fillId="15" borderId="18" xfId="0" applyNumberFormat="1" applyFont="1" applyFill="1" applyBorder="1"/>
    <x:xf numFmtId="0" fontId="60" fillId="15" borderId="18" xfId="0" applyNumberFormat="1" applyFont="1" applyFill="1" applyBorder="1"/>
    <x:xf numFmtId="0" fontId="60" fillId="15" borderId="18" xfId="0" applyNumberFormat="1" applyFont="1" applyFill="1" applyBorder="1" applyAlignment="1">
      <x:alignment wrapText="1"/>
    </x:xf>
    <x:xf numFmtId="0" fontId="60" fillId="15" borderId="18" xfId="0" applyNumberFormat="1" applyFont="1" applyFill="1" applyBorder="1" applyAlignment="1">
      <x:alignment horizontal="center" wrapText="1"/>
    </x:xf>
    <x:xf numFmtId="0" fontId="60" fillId="15" borderId="18" xfId="0" applyNumberFormat="1" applyFont="1" applyFill="1" applyBorder="1" applyAlignment="1">
      <x:alignment horizontal="center" vertical="center" wrapText="1"/>
    </x:xf>
    <x:xf numFmtId="0" fontId="59" fillId="14"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x:xf numFmtId="0" fontId="0" fillId="0" borderId="1" xfId="0" applyNumberFormat="1" applyFont="1" applyFill="1" applyBorder="1"/>
    <x:xf numFmtId="0" fontId="0" fillId="0" borderId="0" xfId="0" applyNumberFormat="1" applyFont="1" applyFill="1" applyBorder="1" applyAlignment="1">
      <x:alignment horizontal="center"/>
    </x:xf>
    <x:xf numFmtId="0" fontId="0" fillId="0" borderId="0" xfId="0" applyNumberFormat="1" applyFont="1" applyFill="1" applyBorder="1" applyAlignment="1">
      <x:alignment horizontal="left"/>
    </x:xf>
    <x:xf numFmtId="0" fontId="3" fillId="2" borderId="0" xfId="0" applyNumberFormat="1" applyFont="1" applyFill="1" applyBorder="1"/>
    <x:xf numFmtId="0" fontId="3" fillId="2" borderId="4" xfId="0" applyNumberFormat="1" applyFont="1" applyFill="1" applyBorder="1"/>
    <x:xf numFmtId="0" fontId="3" fillId="2" borderId="1" xfId="0" applyNumberFormat="1" applyFont="1" applyFill="1" applyBorder="1" applyAlignment="1">
      <x:alignment wrapText="1"/>
    </x:xf>
    <x:xf numFmtId="0" fontId="0" fillId="0" borderId="4" xfId="0" applyNumberFormat="1" applyFont="1" applyFill="1" applyBorder="1"/>
    <x:xf numFmtId="0" fontId="3" fillId="2" borderId="9" xfId="0" applyNumberFormat="1" applyFont="1" applyFill="1" applyBorder="1"/>
    <x:xf numFmtId="0" fontId="3" fillId="2" borderId="9" xfId="0" applyNumberFormat="1" applyFont="1" applyFill="1" applyBorder="1" applyAlignment="1">
      <x:alignment wrapText="1"/>
    </x:xf>
    <x:xf numFmtId="0" fontId="3" fillId="2" borderId="2" xfId="0" applyNumberFormat="1" applyFont="1" applyFill="1" applyBorder="1" applyAlignment="1">
      <x:alignment wrapText="1"/>
    </x:xf>
    <x:xf numFmtId="0" fontId="3" fillId="5" borderId="6" xfId="0" applyNumberFormat="1" applyFont="1" applyFill="1" applyBorder="1" applyAlignment="1">
      <x:alignment horizontal="center" vertical="center"/>
    </x:xf>
    <x:xf numFmtId="0" fontId="0" fillId="0" borderId="7" xfId="0" applyNumberFormat="1" applyFont="1" applyFill="1" applyBorder="1"/>
    <x:xf numFmtId="0" fontId="0" fillId="0" borderId="8" xfId="0" applyNumberFormat="1" applyFont="1" applyFill="1" applyBorder="1"/>
    <x:xf numFmtId="0" fontId="3" fillId="2" borderId="9" xfId="0" applyNumberFormat="1" applyFont="1" applyFill="1" applyBorder="1" applyAlignment="1">
      <x:alignment horizontal="left" wrapText="1"/>
    </x:xf>
    <x:xf numFmtId="0" fontId="3" fillId="2" borderId="4" xfId="0" applyNumberFormat="1" applyFont="1" applyFill="1" applyBorder="1" applyAlignment="1">
      <x:alignment wrapText="1"/>
    </x:xf>
    <x:xf numFmtId="0" fontId="6" fillId="0" borderId="2"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3" xfId="0" applyNumberFormat="1" applyFont="1" applyFill="1" applyBorder="1"/>
    <x:xf numFmtId="0" fontId="3" fillId="5" borderId="2" xfId="0" applyNumberFormat="1" applyFont="1" applyFill="1" applyBorder="1" applyAlignment="1">
      <x:alignment horizontal="center" vertical="center" wrapText="1"/>
    </x:xf>
    <x:xf numFmtId="0" fontId="3" fillId="5" borderId="3" xfId="0" applyNumberFormat="1" applyFont="1" applyFill="1" applyBorder="1" applyAlignment="1">
      <x:alignment horizontal="center" vertical="center" wrapText="1"/>
    </x:xf>
    <x:xf numFmtId="0" fontId="6" fillId="0" borderId="3" xfId="0" applyNumberFormat="1" applyFont="1" applyFill="1" applyBorder="1" applyAlignment="1">
      <x:alignment wrapText="1"/>
    </x:xf>
    <x:xf numFmtId="0" fontId="0" fillId="0" borderId="10" xfId="0" applyNumberFormat="1" applyFont="1" applyFill="1" applyBorder="1"/>
    <x:xf numFmtId="0" fontId="0" fillId="0" borderId="9" xfId="0" applyNumberFormat="1" applyFont="1" applyFill="1" applyBorder="1"/>
    <x:xf numFmtId="0" fontId="0" fillId="0" borderId="2" xfId="0" applyNumberFormat="1" applyFont="1" applyFill="1" applyBorder="1"/>
    <x:xf numFmtId="0" fontId="0" fillId="3" borderId="9" xfId="0" applyNumberFormat="1" applyFont="1" applyFill="1" applyBorder="1"/>
    <x:xf numFmtId="0" fontId="0" fillId="3" borderId="9" xfId="0" applyNumberFormat="1" applyFont="1" applyFill="1" applyBorder="1" applyAlignment="1">
      <x:alignment wrapText="1"/>
    </x:xf>
    <x:xf numFmtId="0" fontId="0" fillId="3" borderId="0" xfId="0" applyNumberFormat="1" applyFont="1" applyFill="1" applyBorder="1"/>
    <x:xf numFmtId="0" fontId="0" fillId="0" borderId="9"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3" xfId="0" applyNumberFormat="1" applyFont="1" applyFill="1" applyBorder="1"/>
    <x:xf numFmtId="0" fontId="2" fillId="2" borderId="9" xfId="0" applyNumberFormat="1" applyFont="1" applyFill="1" applyBorder="1"/>
    <x:xf numFmtId="0" fontId="2" fillId="2" borderId="9" xfId="0" applyNumberFormat="1" applyFont="1" applyFill="1" applyBorder="1" applyAlignment="1">
      <x:alignment horizontal="left"/>
    </x:xf>
    <x:xf numFmtId="0" fontId="0" fillId="0" borderId="9" xfId="0" applyNumberFormat="1" applyFont="1" applyFill="1" applyBorder="1" applyAlignment="1">
      <x:alignment horizontal="center"/>
    </x:xf>
    <x:xf numFmtId="0" fontId="0" fillId="0" borderId="9" xfId="0" applyNumberFormat="1" applyFont="1" applyFill="1" applyBorder="1" applyAlignment="1">
      <x:alignment horizontal="left"/>
    </x:xf>
    <x:xf numFmtId="0" fontId="3" fillId="0" borderId="0" xfId="0" applyNumberFormat="1" applyFont="1" applyFill="1" applyBorder="1"/>
    <x:xf numFmtId="0" fontId="0" fillId="0" borderId="5" xfId="0" applyNumberFormat="1" applyFont="1" applyFill="1" applyBorder="1"/>
    <x:xf numFmtId="0" fontId="3" fillId="4" borderId="9" xfId="0" applyNumberFormat="1" applyFont="1" applyFill="1" applyBorder="1"/>
    <x:xf numFmtId="0" fontId="5" fillId="4" borderId="9" xfId="0" applyNumberFormat="1" applyFont="1" applyFill="1" applyBorder="1" applyAlignment="1">
      <x:alignment vertical="center"/>
    </x:xf>
    <x:xf numFmtId="0" fontId="7" fillId="0" borderId="9" xfId="0" applyNumberFormat="1" applyFont="1" applyFill="1" applyBorder="1"/>
    <x:xf numFmtId="0" fontId="4" fillId="2" borderId="9" xfId="0" applyNumberFormat="1" applyFont="1" applyFill="1" applyBorder="1" applyAlignment="1">
      <x:alignment horizontal="center" vertical="top"/>
    </x:xf>
    <x:xf numFmtId="0" fontId="3" fillId="0" borderId="0" xfId="0" applyNumberFormat="1" applyFont="1" applyFill="1" applyBorder="1" applyAlignment="1">
      <x:alignment wrapText="1"/>
    </x:xf>
    <x:xf numFmtId="0" fontId="5" fillId="2" borderId="4" xfId="0" applyNumberFormat="1" applyFont="1" applyFill="1" applyBorder="1" applyAlignment="1">
      <x:alignment vertical="center" wrapText="1"/>
    </x:xf>
    <x:xf numFmtId="0" fontId="22" fillId="0" borderId="9" xfId="0" applyNumberFormat="1" applyFont="1" applyFill="1" applyBorder="1"/>
    <x:xf numFmtId="0" fontId="7" fillId="0" borderId="0" xfId="0" applyNumberFormat="1" applyFont="1" applyFill="1" applyBorder="1"/>
    <x:xf numFmtId="0" fontId="0" fillId="8" borderId="9" xfId="0" applyNumberFormat="1" applyFont="1" applyFill="1" applyBorder="1"/>
    <x:xf numFmtId="0" fontId="0" fillId="8" borderId="9" xfId="0" applyNumberFormat="1" applyFont="1" applyFill="1" applyBorder="1" applyAlignment="1">
      <x:alignment wrapText="1"/>
    </x:xf>
    <x:xf numFmtId="49" fontId="26" fillId="10" borderId="9" xfId="0" applyNumberFormat="1" applyFont="1" applyFill="1" applyBorder="1" applyAlignment="1">
      <x:alignment horizontal="left" vertical="top" wrapText="1"/>
    </x:xf>
    <x:xf numFmtId="49" fontId="3" fillId="0" borderId="9" xfId="0" applyNumberFormat="1" applyFont="1" applyFill="1" applyBorder="1" applyAlignment="1">
      <x:alignment horizontal="left" vertical="top" wrapText="1"/>
    </x:xf>
    <x:xf numFmtId="0" fontId="3" fillId="0" borderId="9" xfId="0" applyNumberFormat="1" applyFont="1" applyFill="1" applyBorder="1" applyAlignment="1">
      <x:alignment horizontal="left" vertical="top"/>
    </x:xf>
    <x:xf numFmtId="0" fontId="26" fillId="0" borderId="9" xfId="0" applyNumberFormat="1" applyFont="1" applyFill="1" applyBorder="1" applyAlignment="1">
      <x:alignment horizontal="left" vertical="top"/>
    </x:xf>
    <x:xf numFmtId="49" fontId="26" fillId="0" borderId="9" xfId="0" applyNumberFormat="1" applyFont="1" applyFill="1" applyBorder="1" applyAlignment="1">
      <x:alignment horizontal="left" vertical="top"/>
    </x:xf>
    <x:xf numFmtId="0" fontId="27" fillId="0" borderId="9" xfId="0" applyNumberFormat="1" applyFont="1" applyFill="1" applyBorder="1" applyAlignment="1">
      <x:alignment horizontal="left" vertical="top" wrapText="1"/>
    </x:xf>
    <x:xf numFmtId="0" fontId="26" fillId="0" borderId="9" xfId="0" applyNumberFormat="1" applyFont="1" applyFill="1" applyBorder="1" applyAlignment="1">
      <x:alignment horizontal="left" vertical="top" wrapText="1"/>
    </x:xf>
    <x:xf numFmtId="0" fontId="3" fillId="0" borderId="9" xfId="0" applyNumberFormat="1" applyFont="1" applyFill="1" applyBorder="1" applyAlignment="1">
      <x:alignment horizontal="left" vertical="top" wrapText="1"/>
    </x:xf>
    <x:xf numFmtId="0" fontId="0" fillId="0" borderId="9" xfId="0" applyNumberFormat="1" applyFont="1" applyFill="1" applyBorder="1" applyAlignment="1">
      <x:alignment horizontal="left" vertical="top"/>
    </x:xf>
    <x:xf numFmtId="49" fontId="25" fillId="9" borderId="9" xfId="0" applyNumberFormat="1" applyFont="1" applyFill="1" applyBorder="1" applyAlignment="1">
      <x:alignment horizontal="left" vertical="top" wrapText="1"/>
    </x:xf>
    <x:xf numFmtId="0" fontId="3" fillId="2" borderId="4"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3" fillId="4" borderId="9"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0" borderId="0" xfId="0" applyNumberFormat="1" applyFont="1" applyFill="1" applyBorder="1" applyAlignment="1">
      <x:alignment vertical="top" wrapText="1"/>
    </x:xf>
    <x:xf numFmtId="0" fontId="3" fillId="2" borderId="9" xfId="0" applyNumberFormat="1" applyFont="1" applyFill="1" applyBorder="1" applyAlignment="1">
      <x:alignment vertical="center" wrapText="1"/>
    </x:xf>
    <x:xf numFmtId="0" fontId="0" fillId="0" borderId="6" xfId="0" applyNumberFormat="1" applyFont="1" applyFill="1" applyBorder="1"/>
    <x:xf numFmtId="0" fontId="0" fillId="0" borderId="16" xfId="0" applyNumberFormat="1" applyFont="1" applyFill="1" applyBorder="1"/>
    <x:xf numFmtId="0" fontId="0" fillId="0" borderId="11" xfId="0" applyNumberFormat="1" applyFont="1" applyFill="1" applyBorder="1"/>
    <x:xf numFmtId="0" fontId="12" fillId="0" borderId="9" xfId="0" applyNumberFormat="1" applyFont="1" applyFill="1" applyBorder="1" applyAlignment="1">
      <x:alignment wrapText="1"/>
    </x:xf>
    <x:xf numFmtId="0" fontId="0" fillId="0" borderId="11" xfId="0" applyNumberFormat="1" applyFont="1" applyFill="1" applyBorder="1" applyAlignment="1">
      <x:alignment wrapText="1"/>
    </x:xf>
    <x:xf numFmtId="0" fontId="4" fillId="2" borderId="9" xfId="0" applyNumberFormat="1" applyFont="1" applyFill="1" applyBorder="1" applyAlignment="1">
      <x:alignment horizontal="center" vertical="top" wrapText="1"/>
    </x:xf>
    <x:xf numFmtId="0" fontId="0" fillId="7" borderId="14" xfId="0" applyNumberFormat="1" applyFont="1" applyFill="1" applyBorder="1" applyAlignment="1">
      <x:alignment horizontal="center" vertical="center" wrapText="1"/>
    </x:xf>
    <x:xf numFmtId="0" fontId="0" fillId="0" borderId="0" xfId="0" applyNumberFormat="1" applyFont="1" applyFill="1" applyBorder="1" applyAlignment="1">
      <x:alignment horizontal="left" vertical="top"/>
    </x:xf>
    <x:xf numFmtId="0" fontId="0" fillId="8" borderId="0" xfId="0" applyNumberFormat="1" applyFont="1" applyFill="1" applyBorder="1"/>
    <x:xf numFmtId="0" fontId="0" fillId="8" borderId="3" xfId="0" applyNumberFormat="1" applyFont="1" applyFill="1" applyBorder="1"/>
    <x:xf numFmtId="0" fontId="0" fillId="8" borderId="6" xfId="0" applyNumberFormat="1" applyFont="1" applyFill="1" applyBorder="1"/>
    <x:xf numFmtId="0" fontId="0" fillId="8" borderId="11" xfId="0" applyNumberFormat="1" applyFont="1" applyFill="1" applyBorder="1"/>
    <x:xf numFmtId="0" fontId="7" fillId="8" borderId="9" xfId="0" applyNumberFormat="1" applyFont="1" applyFill="1" applyBorder="1" applyAlignment="1">
      <x:alignment wrapText="1"/>
    </x:xf>
    <x:xf numFmtId="0" fontId="7" fillId="8" borderId="9" xfId="0" applyNumberFormat="1" applyFont="1" applyFill="1" applyBorder="1"/>
    <x:xf numFmtId="0" fontId="0" fillId="8" borderId="9" xfId="0" applyNumberFormat="1" applyFont="1" applyFill="1" applyBorder="1" applyAlignment="1">
      <x:alignment horizontal="center"/>
    </x:xf>
    <x:xf numFmtId="0" fontId="24" fillId="2" borderId="9" xfId="0" applyNumberFormat="1" applyFont="1" applyFill="1" applyBorder="1" applyAlignment="1">
      <x:alignment vertical="center"/>
    </x:xf>
    <x:xf numFmtId="0" fontId="0" fillId="8" borderId="4" xfId="0" applyNumberFormat="1" applyFont="1" applyFill="1" applyBorder="1" applyAlignment="1">
      <x:alignment wrapText="1"/>
    </x:xf>
    <x:xf numFmtId="0" fontId="0" fillId="8" borderId="4" xfId="0" applyNumberFormat="1" applyFont="1" applyFill="1" applyBorder="1"/>
    <x:xf numFmtId="0" fontId="0" fillId="0" borderId="2" xfId="0" applyNumberFormat="1" applyFont="1" applyFill="1" applyBorder="1" applyAlignment="1">
      <x:alignment wrapText="1"/>
    </x:xf>
    <x:xf numFmtId="0" fontId="3" fillId="5" borderId="9" xfId="0" applyNumberFormat="1" applyFont="1" applyFill="1" applyBorder="1" applyAlignment="1">
      <x:alignment horizontal="center" vertical="center"/>
    </x:xf>
    <x:xf numFmtId="0" fontId="3" fillId="5" borderId="9" xfId="0" applyNumberFormat="1" applyFont="1" applyFill="1" applyBorder="1" applyAlignment="1">
      <x:alignment horizontal="center" vertical="center" wrapText="1"/>
    </x:xf>
    <x:xf numFmtId="0" fontId="0" fillId="3" borderId="2" xfId="0" applyNumberFormat="1" applyFont="1" applyFill="1" applyBorder="1"/>
    <x:xf numFmtId="0" fontId="32" fillId="0" borderId="0" xfId="0" applyNumberFormat="1" applyFont="1" applyFill="1" applyBorder="1" applyAlignment="1">
      <x:alignment vertical="center"/>
    </x:xf>
    <x:xf numFmtId="0" fontId="41" fillId="0" borderId="0" xfId="0" applyNumberFormat="1" applyFont="1" applyFill="1" applyBorder="1" applyAlignment="1">
      <x:alignment horizontal="left"/>
    </x:xf>
    <x:xf numFmtId="0" fontId="3" fillId="2" borderId="3" xfId="0" applyNumberFormat="1" applyFont="1" applyFill="1" applyBorder="1" applyAlignment="1">
      <x:alignment horizontal="left" wrapText="1"/>
    </x:xf>
    <x:xf numFmtId="0" fontId="39" fillId="11" borderId="9" xfId="0" applyNumberFormat="1" applyFont="1" applyFill="1" applyBorder="1"/>
    <x:xf numFmtId="0" fontId="39" fillId="11" borderId="11" xfId="0" applyNumberFormat="1" applyFont="1" applyFill="1" applyBorder="1"/>
    <x:xf numFmtId="0" fontId="39" fillId="11" borderId="15" xfId="0" applyNumberFormat="1" applyFont="1" applyFill="1" applyBorder="1"/>
    <x:xf numFmtId="0" fontId="39" fillId="11" borderId="15" xfId="0" applyNumberFormat="1" applyFont="1" applyFill="1" applyBorder="1" applyAlignment="1">
      <x:alignment horizontal="left" vertical="top" wrapText="1"/>
    </x:xf>
    <x:xf numFmtId="1" fontId="0" fillId="0" borderId="9" xfId="0" applyNumberFormat="1" applyFont="1" applyFill="1" applyBorder="1" applyAlignment="1">
      <x:alignment wrapText="1"/>
    </x:xf>
    <x:xf numFmtId="49" fontId="0" fillId="0" borderId="9" xfId="0" applyNumberFormat="1" applyFont="1" applyFill="1" applyBorder="1" applyAlignment="1">
      <x:alignment wrapText="1"/>
    </x:xf>
    <x:xf numFmtId="0" fontId="33" fillId="0" borderId="9" xfId="0" applyNumberFormat="1" applyFont="1" applyFill="1" applyBorder="1" applyAlignment="1">
      <x:alignment wrapText="1"/>
    </x:xf>
    <x:xf numFmtId="0" fontId="0" fillId="0" borderId="9" xfId="0" applyNumberFormat="1" applyFont="1" applyFill="1" applyBorder="1" applyAlignment="1">
      <x:alignment horizontal="left" vertical="top" wrapText="1"/>
    </x:xf>
    <x:xf numFmtId="1" fontId="0" fillId="0" borderId="0" xfId="0" applyNumberFormat="1" applyFont="1" applyFill="1" applyBorder="1"/>
    <x:xf numFmtId="49" fontId="0" fillId="0" borderId="0" xfId="0" applyNumberFormat="1" applyFont="1" applyFill="1" applyBorder="1"/>
    <x:xf numFmtId="0" fontId="0" fillId="0" borderId="0" xfId="0" applyNumberFormat="1" applyFont="1" applyFill="1" applyBorder="1" applyAlignment="1">
      <x:alignment horizontal="left" vertical="top" wrapText="1"/>
    </x:xf>
    <x:xf numFmtId="0" fontId="0" fillId="8" borderId="3" xfId="0" applyNumberFormat="1" applyFont="1" applyFill="1" applyBorder="1" applyAlignment="1">
      <x:alignment wrapText="1"/>
    </x:xf>
    <x:xf numFmtId="0" fontId="33" fillId="3" borderId="0" xfId="0" applyNumberFormat="1" applyFont="1" applyFill="1" applyBorder="1" applyAlignment="1">
      <x:alignment wrapText="1"/>
    </x:xf>
    <x:xf numFmtId="0" fontId="33" fillId="0" borderId="0" xfId="0" applyNumberFormat="1" applyFont="1" applyFill="1" applyBorder="1"/>
    <x:xf numFmtId="0" fontId="5" fillId="2" borderId="4" xfId="0" applyNumberFormat="1" applyFont="1" applyFill="1" applyBorder="1" applyAlignment="1">
      <x:alignment horizontal="center" wrapText="1"/>
    </x:xf>
    <x:xf numFmtId="0" fontId="3" fillId="2" borderId="4" xfId="0" applyNumberFormat="1" applyFont="1" applyFill="1" applyBorder="1" applyAlignment="1">
      <x:alignment horizontal="left" wrapText="1"/>
    </x:xf>
    <x:xf numFmtId="0" fontId="5" fillId="2" borderId="4" xfId="0" applyNumberFormat="1" applyFont="1" applyFill="1" applyBorder="1" applyAlignment="1">
      <x:alignment horizontal="left" wrapText="1"/>
    </x:xf>
    <x:xf numFmtId="0" fontId="0" fillId="0" borderId="9" xfId="0" applyNumberFormat="1" applyFont="1" applyFill="1" applyBorder="1" applyAlignment="1">
      <x:alignment horizontal="left" wrapText="1"/>
    </x:xf>
    <x:xf numFmtId="0" fontId="39" fillId="11" borderId="9" xfId="0" applyNumberFormat="1" applyFont="1" applyFill="1" applyBorder="1" applyAlignment="1">
      <x:alignment wrapText="1"/>
    </x:xf>
    <x:xf numFmtId="0" fontId="3" fillId="2" borderId="8" xfId="0" applyNumberFormat="1" applyFont="1" applyFill="1" applyBorder="1"/>
    <x:xf numFmtId="49" fontId="3" fillId="3" borderId="9" xfId="0" applyNumberFormat="1" applyFont="1" applyFill="1" applyBorder="1" applyAlignment="1">
      <x:alignment horizontal="left" vertical="top" wrapText="1"/>
    </x:xf>
    <x:xf numFmtId="0" fontId="39" fillId="11" borderId="4" xfId="0" applyNumberFormat="1" applyFont="1" applyFill="1" applyBorder="1"/>
    <x:xf numFmtId="0" fontId="0" fillId="0" borderId="3" xfId="0" applyNumberFormat="1" applyFont="1" applyFill="1" applyBorder="1" applyAlignment="1">
      <x:alignment wrapText="1"/>
    </x:xf>
    <x:xf numFmtId="20" fontId="0" fillId="0" borderId="4" xfId="0" applyNumberFormat="1" applyFont="1" applyFill="1" applyBorder="1" applyAlignment="1">
      <x:alignment wrapText="1"/>
    </x:xf>
    <x:xf numFmtId="0" fontId="0" fillId="0" borderId="17" xfId="0" applyNumberFormat="1" applyFont="1" applyFill="1" applyBorder="1" applyAlignment="1">
      <x:alignment wrapText="1"/>
    </x:xf>
    <x:xf numFmtId="0" fontId="0" fillId="8" borderId="11" xfId="0" applyNumberFormat="1" applyFont="1" applyFill="1" applyBorder="1" applyAlignment="1">
      <x:alignment wrapText="1"/>
    </x:xf>
    <x:xf numFmtId="0" fontId="32" fillId="0" borderId="15" xfId="0" applyNumberFormat="1" applyFont="1" applyFill="1" applyBorder="1" applyAlignment="1">
      <x:alignment wrapText="1"/>
    </x:xf>
    <x:xf numFmtId="0" fontId="50" fillId="8" borderId="9" xfId="0" applyNumberFormat="1" applyFont="1" applyFill="1" applyBorder="1"/>
    <x:xf numFmtId="0" fontId="1" fillId="0" borderId="9" xfId="0" applyNumberFormat="1" applyFont="1" applyFill="1" applyBorder="1"/>
    <x:xf numFmtId="0" fontId="1" fillId="8" borderId="9" xfId="0" applyNumberFormat="1" applyFont="1" applyFill="1" applyBorder="1"/>
    <x:xf numFmtId="0" fontId="5" fillId="2" borderId="9" xfId="0" applyNumberFormat="1" applyFont="1" applyFill="1" applyBorder="1" applyAlignment="1">
      <x:alignment wrapText="1"/>
    </x:xf>
    <x:xf numFmtId="0" fontId="55" fillId="0" borderId="0" xfId="0" applyNumberFormat="1" applyFont="1" applyFill="1" applyBorder="1" applyAlignment="1">
      <x:alignment wrapText="1"/>
    </x:xf>
    <x:xf numFmtId="0" fontId="56" fillId="3" borderId="0" xfId="0" applyNumberFormat="1" applyFont="1" applyFill="1" applyBorder="1" applyAlignment="1">
      <x:alignment horizontal="left" vertical="top" wrapText="1"/>
    </x:xf>
    <x:xf numFmtId="0" fontId="56" fillId="3" borderId="9" xfId="0" applyNumberFormat="1" applyFont="1" applyFill="1" applyBorder="1" applyAlignment="1">
      <x:alignment horizontal="left" vertical="top" wrapText="1"/>
    </x:xf>
    <x:xf numFmtId="0" fontId="57" fillId="0" borderId="0" xfId="0" applyNumberFormat="1" applyFont="1" applyFill="1" applyBorder="1"/>
    <x:xf numFmtId="0" fontId="58" fillId="0" borderId="0" xfId="0" applyNumberFormat="1" applyFont="1" applyFill="1" applyBorder="1" applyAlignment="1">
      <x:alignment vertical="center" wrapText="1"/>
    </x:xf>
    <x:xf numFmtId="0" fontId="57" fillId="0" borderId="0" xfId="0" applyNumberFormat="1" applyFont="1" applyFill="1" applyBorder="1" applyAlignment="1">
      <x:alignment wrapText="1"/>
    </x:xf>
    <x:xf numFmtId="0" fontId="0" fillId="3" borderId="0" xfId="0" applyNumberFormat="1" applyFont="1" applyFill="1" applyBorder="1" applyAlignment="1">
      <x:alignment horizontal="left" wrapText="1"/>
    </x:xf>
    <x:xf numFmtId="0" fontId="3" fillId="6" borderId="9" xfId="0" applyNumberFormat="1" applyFont="1" applyFill="1" applyBorder="1" applyAlignment="1">
      <x:alignment horizontal="left" vertical="top" wrapText="1"/>
    </x:xf>
    <x:xf numFmtId="0" fontId="39" fillId="12" borderId="9" xfId="0" applyNumberFormat="1" applyFont="1" applyFill="1" applyBorder="1" applyAlignment="1">
      <x:alignment horizontal="left" vertical="top" wrapText="1"/>
    </x:xf>
    <x:xf numFmtId="0" fontId="0" fillId="0" borderId="12" xfId="0" applyNumberFormat="1" applyFont="1" applyFill="1" applyBorder="1"/>
    <x:xf numFmtId="0" fontId="3" fillId="6" borderId="6" xfId="0" applyNumberFormat="1" applyFont="1" applyFill="1" applyBorder="1" applyAlignment="1">
      <x:alignment horizontal="left" vertical="top" wrapText="1"/>
    </x:xf>
    <x:xf numFmtId="0" fontId="3" fillId="6" borderId="12" xfId="0" applyNumberFormat="1" applyFont="1" applyFill="1" applyBorder="1" applyAlignment="1">
      <x:alignment horizontal="left" vertical="top" wrapText="1"/>
    </x:xf>
    <x:xf numFmtId="0" fontId="3" fillId="6" borderId="11" xfId="0" applyNumberFormat="1" applyFont="1" applyFill="1" applyBorder="1" applyAlignment="1">
      <x:alignment horizontal="left" vertical="top" wrapText="1"/>
    </x:xf>
    <x:xf numFmtId="0" fontId="0" fillId="6" borderId="6" xfId="0" applyNumberFormat="1" applyFont="1" applyFill="1" applyBorder="1" applyAlignment="1">
      <x:alignment horizontal="left" vertical="top" wrapText="1"/>
    </x:xf>
    <x:xf numFmtId="0" fontId="0" fillId="6" borderId="12" xfId="0" applyNumberFormat="1" applyFont="1" applyFill="1" applyBorder="1" applyAlignment="1">
      <x:alignment horizontal="left" vertical="top"/>
    </x:xf>
    <x:xf numFmtId="0" fontId="0" fillId="6" borderId="11" xfId="0" applyNumberFormat="1" applyFont="1" applyFill="1" applyBorder="1" applyAlignment="1">
      <x:alignment horizontal="left" vertical="top"/>
    </x:xf>
    <x:xf numFmtId="0" fontId="3" fillId="6" borderId="9" xfId="0" applyNumberFormat="1" applyFont="1" applyFill="1" applyBorder="1" applyAlignment="1">
      <x:alignment horizontal="center" vertical="top" wrapText="1"/>
    </x:xf>
    <x:xf numFmtId="0" fontId="0" fillId="6" borderId="9" xfId="0" applyNumberFormat="1" applyFont="1" applyFill="1" applyBorder="1" applyAlignment="1">
      <x:alignment horizontal="left" vertical="top" wrapText="1"/>
    </x:xf>
    <x:xf numFmtId="0" fontId="3" fillId="6" borderId="7" xfId="0" applyNumberFormat="1" applyFont="1" applyFill="1" applyBorder="1" applyAlignment="1">
      <x:alignment horizontal="left" vertical="top" wrapText="1"/>
    </x:xf>
    <x:xf numFmtId="0" fontId="3" fillId="6" borderId="8" xfId="0" applyNumberFormat="1" applyFont="1" applyFill="1" applyBorder="1" applyAlignment="1">
      <x:alignment horizontal="left" vertical="top" wrapText="1"/>
    </x:xf>
    <x:xf numFmtId="0" fontId="3" fillId="6" borderId="5" xfId="0" applyNumberFormat="1" applyFont="1" applyFill="1" applyBorder="1" applyAlignment="1">
      <x:alignment horizontal="left" vertical="top" wrapText="1"/>
    </x:xf>
    <x:xf numFmtId="0" fontId="3" fillId="6" borderId="15" xfId="0" applyNumberFormat="1" applyFont="1" applyFill="1" applyBorder="1" applyAlignment="1">
      <x:alignment horizontal="left" vertical="top" wrapText="1"/>
    </x:xf>
    <x:xf numFmtId="0" fontId="3" fillId="6" borderId="6" xfId="0" applyNumberFormat="1" applyFont="1" applyFill="1" applyBorder="1" applyAlignment="1">
      <x:alignment vertical="top" wrapText="1"/>
    </x:xf>
    <x:xf numFmtId="0" fontId="3" fillId="6" borderId="12" xfId="0" applyNumberFormat="1" applyFont="1" applyFill="1" applyBorder="1" applyAlignment="1">
      <x:alignment vertical="top" wrapText="1"/>
    </x:xf>
    <x:xf numFmtId="0" fontId="3" fillId="6" borderId="11" xfId="0" applyNumberFormat="1" applyFont="1" applyFill="1" applyBorder="1" applyAlignment="1">
      <x:alignment vertical="top" wrapText="1"/>
    </x:xf>
    <x:xf numFmtId="0" fontId="0" fillId="6" borderId="12" xfId="0" applyNumberFormat="1" applyFont="1" applyFill="1" applyBorder="1" applyAlignment="1">
      <x:alignment horizontal="left" vertical="top" wrapText="1"/>
    </x:xf>
    <x:xf numFmtId="0" fontId="0" fillId="6" borderId="11" xfId="0" applyNumberFormat="1" applyFont="1" applyFill="1" applyBorder="1" applyAlignment="1">
      <x:alignment horizontal="left" vertical="top" wrapText="1"/>
    </x:xf>
    <x:xf numFmtId="0" fontId="0" fillId="13" borderId="9" xfId="0" applyNumberFormat="1" applyFont="1" applyFill="1" applyBorder="1" applyAlignment="1">
      <x:alignment horizontal="left" vertical="top" wrapText="1"/>
    </x:xf>
    <x:xf numFmtId="0" fontId="39" fillId="12" borderId="4" xfId="0" applyNumberFormat="1" applyFont="1" applyFill="1" applyBorder="1" applyAlignment="1">
      <x:alignment horizontal="left" vertical="top" wrapText="1"/>
    </x:xf>
    <x:xf numFmtId="0" fontId="0" fillId="0" borderId="15" xfId="0" applyNumberFormat="1" applyFont="1" applyFill="1" applyBorder="1"/>
    <x:xf numFmtId="0" fontId="34" fillId="6" borderId="6" xfId="0" applyNumberFormat="1" applyFont="1" applyFill="1" applyBorder="1" applyAlignment="1">
      <x:alignment horizontal="left" vertical="top" wrapText="1"/>
    </x:xf>
    <x:xf numFmtId="0" fontId="34" fillId="6" borderId="12" xfId="0" applyNumberFormat="1" applyFont="1" applyFill="1" applyBorder="1" applyAlignment="1">
      <x:alignment horizontal="left" vertical="top" wrapText="1"/>
    </x:xf>
    <x:xf numFmtId="0" fontId="34" fillId="6" borderId="11" xfId="0" applyNumberFormat="1" applyFont="1" applyFill="1" applyBorder="1" applyAlignment="1">
      <x:alignment horizontal="left" vertical="top" wrapText="1"/>
    </x:xf>
    <x:xf numFmtId="0" fontId="3" fillId="6" borderId="4" xfId="0" applyNumberFormat="1" applyFont="1" applyFill="1" applyBorder="1" applyAlignment="1">
      <x:alignment horizontal="left" vertical="top" wrapText="1"/>
    </x:xf>
    <x:xf numFmtId="0" fontId="0" fillId="0" borderId="9" xfId="0" applyNumberFormat="1" applyFont="1" applyFill="1" applyBorder="1">
      <x:extLst>
        <x:ext uri="{C7286773-470A-42A8-94C5-96B5CB345126}">
          <xfpb:xfComplement xmlns:xfpb="http://schemas.microsoft.com/office/spreadsheetml/2022/featurepropertybag" i="0"/>
        </x:ext>
      </x:extLst>
    </x:xf>
    <x:xf numFmtId="0" fontId="0" fillId="8" borderId="9" xfId="0" applyNumberFormat="1" applyFont="1" applyFill="1" applyBorder="1">
      <x:extLst>
        <x:ext uri="{C7286773-470A-42A8-94C5-96B5CB345126}">
          <xfpb:xfComplement xmlns:xfpb="http://schemas.microsoft.com/office/spreadsheetml/2022/featurepropertybag" i="0"/>
        </x:ext>
      </x:extLst>
    </x:xf>
    <x:xf numFmtId="0" fontId="0" fillId="0" borderId="9"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3" borderId="9" xfId="0" applyNumberFormat="1" applyFont="1" applyFill="1" applyBorder="1">
      <x:extLst>
        <x:ext uri="{C7286773-470A-42A8-94C5-96B5CB345126}">
          <xfpb:xfComplement xmlns:xfpb="http://schemas.microsoft.com/office/spreadsheetml/2022/featurepropertybag" i="0"/>
        </x:ext>
      </x:extLst>
    </x:xf>
    <x:xf numFmtId="0" fontId="2" fillId="2" borderId="9" xfId="0" applyNumberFormat="1" applyFont="1" applyFill="1" applyBorder="1" applyAlignment="1">
      <x:alignment horizontal="left" wrapText="1"/>
    </x:xf>
    <x:xf numFmtId="0" fontId="2" fillId="2" borderId="9" xfId="0" applyNumberFormat="1" applyFont="1" applyFill="1" applyBorder="1" applyAlignment="1">
      <x:alignment wrapText="1"/>
    </x:xf>
    <x:xf numFmtId="0" fontId="0" fillId="0" borderId="9" xfId="0" applyNumberFormat="1" applyFont="1" applyFill="1" applyBorder="1" applyAlignment="1">
      <x:alignment horizontal="center" wrapText="1"/>
    </x:xf>
    <x:xf numFmtId="0" fontId="0" fillId="8" borderId="9"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39" fillId="11" borderId="11" xfId="0" applyNumberFormat="1" applyFont="1" applyFill="1" applyBorder="1" applyAlignment="1">
      <x:alignment wrapText="1"/>
    </x:xf>
    <x:xf numFmtId="0" fontId="39" fillId="11" borderId="15" xfId="0" applyNumberFormat="1" applyFont="1" applyFill="1" applyBorder="1" applyAlignment="1">
      <x:alignment wrapText="1"/>
    </x:xf>
    <x:xf numFmtId="0" fontId="39" fillId="11" borderId="4" xfId="0" applyNumberFormat="1" applyFont="1" applyFill="1" applyBorder="1" applyAlignment="1">
      <x:alignment wrapText="1"/>
    </x:xf>
    <x:xf numFmtId="0" fontId="0" fillId="16" borderId="0" xfId="0" applyNumberFormat="1" applyFont="1" applyFill="1" applyBorder="1"/>
    <x:xf numFmtId="0" fontId="61" fillId="16" borderId="0" xfId="0" applyNumberFormat="1" applyFont="1" applyFill="1" applyBorder="1"/>
    <x:xf numFmtId="0" fontId="61" fillId="16" borderId="0" xfId="0" applyNumberFormat="1" applyFont="1" applyFill="1" applyBorder="1" applyAlignment="1">
      <x:alignment wrapText="1"/>
    </x:xf>
    <x:xf numFmtId="0" fontId="61" fillId="16" borderId="0" xfId="0" applyNumberFormat="1" applyFont="1" applyFill="1" applyBorder="1" applyAlignment="1">
      <x:alignment horizontal="center" wrapText="1"/>
    </x:xf>
    <x:xf numFmtId="0" fontId="61" fillId="16" borderId="0" xfId="0" applyNumberFormat="1" applyFont="1" applyFill="1" applyBorder="1" applyAlignment="1">
      <x:alignment horizontal="center" vertical="center" wrapText="1"/>
    </x:xf>
    <x:xf numFmtId="0" fontId="61" fillId="14" borderId="0" xfId="0" applyNumberFormat="1" applyFont="1" applyFill="1" applyBorder="1"/>
    <x:xf numFmtId="0" fontId="61" fillId="14" borderId="0" xfId="0" applyNumberFormat="1" applyFont="1" applyFill="1" applyBorder="1" applyAlignment="1">
      <x:alignment wrapText="1"/>
    </x:xf>
    <x:xf numFmtId="0" fontId="61" fillId="14" borderId="0" xfId="0" applyNumberFormat="1" applyFont="1" applyFill="1" applyBorder="1" applyAlignment="1">
      <x:alignment horizontal="center" wrapText="1"/>
    </x:xf>
    <x:xf numFmtId="0" fontId="61" fillId="14" borderId="0" xfId="0" applyNumberFormat="1" applyFont="1" applyFill="1" applyBorder="1" applyAlignment="1">
      <x:alignment horizontal="center" vertical="center" wrapText="1"/>
    </x:xf>
    <x:xf numFmtId="0" fontId="0" fillId="17" borderId="0" xfId="0" applyNumberFormat="1" applyFont="1" applyFill="1" applyBorder="1"/>
    <x:xf numFmtId="0" fontId="61" fillId="17" borderId="0" xfId="0" applyNumberFormat="1" applyFont="1" applyFill="1" applyBorder="1"/>
    <x:xf numFmtId="0" fontId="61" fillId="17" borderId="0" xfId="0" applyNumberFormat="1" applyFont="1" applyFill="1" applyBorder="1" applyAlignment="1">
      <x:alignment wrapText="1"/>
    </x:xf>
    <x:xf numFmtId="0" fontId="61" fillId="17" borderId="0" xfId="0" applyNumberFormat="1" applyFont="1" applyFill="1" applyBorder="1" applyAlignment="1">
      <x:alignment horizontal="center" wrapText="1"/>
    </x:xf>
    <x:xf numFmtId="0" fontId="61" fillId="17" borderId="0" xfId="0" applyNumberFormat="1" applyFont="1" applyFill="1" applyBorder="1" applyAlignment="1">
      <x:alignment horizontal="center" vertical="center" wrapText="1"/>
    </x:xf>
    <x:xf numFmtId="0" fontId="0" fillId="18" borderId="0" xfId="0" applyNumberFormat="1" applyFont="1" applyFill="1" applyBorder="1"/>
    <x:xf numFmtId="0" fontId="60" fillId="18" borderId="0" xfId="0" applyNumberFormat="1" applyFont="1" applyFill="1" applyBorder="1"/>
    <x:xf numFmtId="0" fontId="60" fillId="18" borderId="0" xfId="0" applyNumberFormat="1" applyFont="1" applyFill="1" applyBorder="1" applyAlignment="1">
      <x:alignment wrapText="1"/>
    </x:xf>
    <x:xf numFmtId="0" fontId="60" fillId="18" borderId="0" xfId="0" applyNumberFormat="1" applyFont="1" applyFill="1" applyBorder="1" applyAlignment="1">
      <x:alignment horizontal="center" wrapText="1"/>
    </x:xf>
    <x:xf numFmtId="0" fontId="60" fillId="18" borderId="0" xfId="0" applyNumberFormat="1" applyFont="1" applyFill="1" applyBorder="1" applyAlignment="1">
      <x:alignment horizontal="center" vertical="center" wrapText="1"/>
    </x:xf>
    <x:xf numFmtId="0" fontId="59" fillId="17" borderId="0" xfId="0" applyNumberFormat="1" applyFont="1" applyFill="1" applyBorder="1" applyAlignment="1">
      <x:alignment horizontal="center" vertical="center" wrapText="1"/>
    </x:xf>
  </x:cellXfs>
  <x:cellStyles count="4">
    <x:cellStyle name="Bad" xfId="1"/>
    <x:cellStyle name="Hyperlink" xfId="2"/>
    <x:cellStyle name="Hyperlink 2" xfId="3"/>
    <x:cellStyle name="Normal" xfId="0"/>
  </x:cellStyles>
  <x:dxfs count="12">
    <x:dxf>
      <x:font>
        <x:b/>
      </x:font>
      <x:fill>
        <x:patternFill>
          <x:bgColor rgb="FFF4CCCC"/>
        </x:patternFill>
      </x:fill>
    </x:dxf>
    <x:dxf>
      <x:font>
        <x:b/>
      </x:font>
      <x:fill>
        <x:patternFill>
          <x:bgColor rgb="FFFFF2CC"/>
        </x:patternFill>
      </x:fill>
    </x:dxf>
    <x:dxf>
      <x:font>
        <x:b/>
      </x:font>
      <x:fill>
        <x:patternFill>
          <x:bgColor rgb="FFD9EAD3"/>
        </x:patternFill>
      </x:fill>
    </x:dxf>
    <x:dxf>
      <x:font>
        <x:b/>
      </x:font>
      <x:fill>
        <x:patternFill>
          <x:bgColor rgb="FFF4CCCC"/>
        </x:patternFill>
      </x:fill>
    </x:dxf>
    <x:dxf>
      <x:fill>
        <x:patternFill>
          <x:bgColor rgb="FFD9EAD3"/>
        </x:patternFill>
      </x:fill>
    </x:dxf>
    <x:dxf>
      <x:font>
        <x:b/>
      </x:font>
      <x:fill>
        <x:patternFill patternType="solid">
          <x:bgColor rgb="FFD9EAD3"/>
        </x:patternFill>
      </x:fill>
    </x:dxf>
    <x:dxf>
      <x:font>
        <x:b/>
      </x:font>
      <x:fill>
        <x:patternFill patternType="solid">
          <x:bgColor rgb="FFF4CCCC"/>
        </x:patternFill>
      </x:fill>
    </x:dxf>
    <x:dxf>
      <x:font>
        <x:b/>
      </x:font>
      <x:fill>
        <x:patternFill patternType="solid">
          <x:bgColor rgb="FFF4CCCC"/>
        </x:patternFill>
      </x:fill>
    </x:dxf>
    <x:dxf>
      <x:font>
        <x:b/>
      </x:font>
      <x:fill>
        <x:patternFill patternType="solid">
          <x:bgColor rgb="FFFFF2CC"/>
        </x:patternFill>
      </x:fill>
    </x:dxf>
    <x:dxf>
      <x:font>
        <x:b/>
      </x:font>
      <x:fill>
        <x:patternFill patternType="solid">
          <x:bgColor rgb="FFD9EAD3"/>
        </x:patternFill>
      </x:fill>
    </x:dxf>
    <x:dxf>
      <x:font>
        <x:b/>
      </x:font>
      <x:fill>
        <x:patternFill patternType="solid">
          <x:bgColor rgb="FFF4CCCC"/>
        </x:patternFill>
      </x:fill>
    </x:dxf>
    <x:dxf>
      <x:font>
        <x:b/>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ded158632f94923" /><Relationship Type="http://schemas.openxmlformats.org/officeDocument/2006/relationships/theme" Target="/xl/theme/theme1.xml" Id="Rb0c178f27f9b40c8" /><Relationship Type="http://schemas.openxmlformats.org/officeDocument/2006/relationships/sheetMetadata" Target="/xl/metadata1.xml" Id="R3843ab1c6df84ef3" /><Relationship Type="http://schemas.microsoft.com/office/2022/11/relationships/FeaturePropertyBag" Target="/xl/featurePropertyBag/featurePropertyBag.xml" Id="Rcc97b2ac72df47ae" /><Relationship Type="http://schemas.openxmlformats.org/officeDocument/2006/relationships/sharedStrings" Target="/xl/sharedStrings.xml" Id="R844db187206543f7" /><Relationship Type="http://schemas.openxmlformats.org/officeDocument/2006/relationships/worksheet" Target="/xl/worksheets/sheet1.xml" Id="R0e64746f0ee44d9b" /><Relationship Type="http://schemas.openxmlformats.org/officeDocument/2006/relationships/worksheet" Target="/xl/worksheets/sheet2.xml" Id="R31082e552268433c" /><Relationship Type="http://schemas.openxmlformats.org/officeDocument/2006/relationships/worksheet" Target="/xl/worksheets/sheet3.xml" Id="R0e021d1f39e0475d" /><Relationship Type="http://schemas.openxmlformats.org/officeDocument/2006/relationships/worksheet" Target="/xl/worksheets/sheet4.xml" Id="R91ea18b28f2c45b6" /><Relationship Type="http://schemas.openxmlformats.org/officeDocument/2006/relationships/worksheet" Target="/xl/worksheets/sheet5.xml" Id="R80768e6e651a4263" /><Relationship Type="http://schemas.openxmlformats.org/officeDocument/2006/relationships/worksheet" Target="/xl/worksheets/sheet6.xml" Id="R1cec583922a04ad1" /><Relationship Type="http://schemas.openxmlformats.org/officeDocument/2006/relationships/worksheet" Target="/xl/worksheets/sheet7.xml" Id="Raee58ea1508744e9" /><Relationship Type="http://schemas.openxmlformats.org/officeDocument/2006/relationships/worksheet" Target="/xl/worksheets/sheet8.xml" Id="R2b33a90435f84721" /><Relationship Type="http://schemas.openxmlformats.org/officeDocument/2006/relationships/worksheet" Target="/xl/worksheets/sheet9.xml" Id="R8bd807b0f8c14b2c" /><Relationship Type="http://schemas.openxmlformats.org/officeDocument/2006/relationships/worksheet" Target="/xl/worksheets/sheet10.xml" Id="R9847dc51951c43e9" /><Relationship Type="http://schemas.openxmlformats.org/officeDocument/2006/relationships/worksheet" Target="/xl/worksheets/sheet11.xml" Id="Rcb09076907f948e5" /><Relationship Type="http://schemas.openxmlformats.org/officeDocument/2006/relationships/worksheet" Target="/xl/worksheets/sheet12.xml" Id="R58b6d93ed55b4a2a" /><Relationship Type="http://schemas.openxmlformats.org/officeDocument/2006/relationships/worksheet" Target="/xl/worksheets/sheet13.xml" Id="R64015c53e6a340b5" /><Relationship Type="http://schemas.openxmlformats.org/officeDocument/2006/relationships/worksheet" Target="/xl/worksheets/sheet14.xml" Id="Re9fc8ba320f24e3d" /><Relationship Type="http://schemas.openxmlformats.org/officeDocument/2006/relationships/worksheet" Target="/xl/worksheets/sheet15.xml" Id="Re7e758a2425c4daf" /><Relationship Type="http://schemas.openxmlformats.org/officeDocument/2006/relationships/worksheet" Target="/xl/worksheets/sheet16.xml" Id="R2a50fde7c13244c5" /><Relationship Type="http://schemas.openxmlformats.org/officeDocument/2006/relationships/worksheet" Target="/xl/worksheets/sheet17.xml" Id="Rbb68843976234986" /><Relationship Type="http://schemas.openxmlformats.org/officeDocument/2006/relationships/worksheet" Target="/xl/worksheets/sheet18.xml" Id="R8298de32c61949e2" /><Relationship Type="http://schemas.openxmlformats.org/officeDocument/2006/relationships/worksheet" Target="/xl/worksheets/sheet19.xml" Id="R6dedf031c73546ad" /><Relationship Type="http://schemas.openxmlformats.org/officeDocument/2006/relationships/worksheet" Target="/xl/worksheets/sheet20.xml" Id="Re8a56fcdf3f644a9" /><Relationship Type="http://schemas.openxmlformats.org/officeDocument/2006/relationships/worksheet" Target="/xl/worksheets/sheet21.xml" Id="R959f513f069b42cd" /><Relationship Type="http://schemas.openxmlformats.org/officeDocument/2006/relationships/worksheet" Target="/xl/worksheets/sheet22.xml" Id="Rd27809144b974ef1" /><Relationship Type="http://schemas.openxmlformats.org/officeDocument/2006/relationships/worksheet" Target="/xl/worksheets/sheet23.xml" Id="R926ddda3b6a54355" /><Relationship Type="http://schemas.openxmlformats.org/officeDocument/2006/relationships/worksheet" Target="/xl/worksheets/sheet24.xml" Id="R94e57a8661804bdc" /><Relationship Type="http://schemas.openxmlformats.org/officeDocument/2006/relationships/worksheet" Target="/xl/worksheets/sheet25.xml" Id="R492b8be2168f4f12" /><Relationship Type="http://schemas.openxmlformats.org/officeDocument/2006/relationships/worksheet" Target="/xl/worksheets/sheet26.xml" Id="Rfdef3ecbc51f44ff" /><Relationship Type="http://schemas.openxmlformats.org/officeDocument/2006/relationships/worksheet" Target="/xl/worksheets/sheet27.xml" Id="R1b85a6bd8b1d4921" /><Relationship Type="http://schemas.openxmlformats.org/officeDocument/2006/relationships/worksheet" Target="/xl/worksheets/sheet28.xml" Id="R3257c89cc31e43a2" /><Relationship Type="http://schemas.openxmlformats.org/officeDocument/2006/relationships/worksheet" Target="/xl/worksheets/sheet29.xml" Id="R4286d562917f49e6" /><Relationship Type="http://schemas.openxmlformats.org/officeDocument/2006/relationships/worksheet" Target="/xl/worksheets/sheet30.xml" Id="Rd6f1ec9285b74c3a" /><Relationship Type="http://schemas.openxmlformats.org/officeDocument/2006/relationships/worksheet" Target="/xl/worksheets/sheet31.xml" Id="R2d7ed1fdbf9144f4" /><Relationship Type="http://schemas.openxmlformats.org/officeDocument/2006/relationships/worksheet" Target="/xl/worksheets/sheet32.xml" Id="Racba0e75278c4137" /><Relationship Type="http://schemas.openxmlformats.org/officeDocument/2006/relationships/worksheet" Target="/xl/worksheets/sheet33.xml" Id="R94dd5407d4d7479b" /><Relationship Type="http://schemas.openxmlformats.org/officeDocument/2006/relationships/worksheet" Target="/xl/worksheets/sheet34.xml" Id="R9d071d609ea34d76" /><Relationship Type="http://schemas.openxmlformats.org/officeDocument/2006/relationships/worksheet" Target="/xl/worksheets/sheet35.xml" Id="Rfda9dabddb924593" /><Relationship Type="http://schemas.openxmlformats.org/officeDocument/2006/relationships/worksheet" Target="/xl/worksheets/sheet36.xml" Id="R43ef93dc489f4ecd" /><Relationship Type="http://schemas.openxmlformats.org/officeDocument/2006/relationships/worksheet" Target="/xl/worksheets/sheet37.xml" Id="R06622c19784f4e21" /><Relationship Type="http://schemas.openxmlformats.org/officeDocument/2006/relationships/worksheet" Target="/xl/worksheets/sheet38.xml" Id="R5386745c37154eac" /><Relationship Type="http://schemas.openxmlformats.org/officeDocument/2006/relationships/worksheet" Target="/xl/worksheets/sheet39.xml" Id="Rfaa8772e04dd43d5" /><Relationship Type="http://schemas.openxmlformats.org/officeDocument/2006/relationships/worksheet" Target="/xl/worksheets/sheet40.xml" Id="Rbfeaf007b7d74c29" /><Relationship Type="http://schemas.openxmlformats.org/officeDocument/2006/relationships/worksheet" Target="/xl/worksheets/sheet41.xml" Id="R29b4cc7a0683487f" /><Relationship Type="http://schemas.openxmlformats.org/officeDocument/2006/relationships/worksheet" Target="/xl/worksheets/sheet42.xml" Id="R5cdd906966d84edc" /><Relationship Type="http://schemas.openxmlformats.org/officeDocument/2006/relationships/worksheet" Target="/xl/worksheets/sheet43.xml" Id="R4c625ad541074af5" /><Relationship Type="http://schemas.openxmlformats.org/officeDocument/2006/relationships/worksheet" Target="/xl/worksheets/sheet44.xml" Id="R4864b9fe6cca4c0e" /><Relationship Type="http://schemas.openxmlformats.org/officeDocument/2006/relationships/worksheet" Target="/xl/worksheets/sheet45.xml" Id="R589a65f9a16a47e2" /><Relationship Type="http://schemas.openxmlformats.org/officeDocument/2006/relationships/worksheet" Target="/xl/worksheets/sheet46.xml" Id="Red0c9f3e75574311" /><Relationship Type="http://schemas.openxmlformats.org/officeDocument/2006/relationships/worksheet" Target="/xl/worksheets/sheet47.xml" Id="R9a7f644f8df84068" /><Relationship Type="http://schemas.openxmlformats.org/officeDocument/2006/relationships/worksheet" Target="/xl/worksheets/sheet48.xml" Id="R808486328b9a4bd7" /><Relationship Type="http://schemas.openxmlformats.org/officeDocument/2006/relationships/worksheet" Target="/xl/worksheets/sheet49.xml" Id="R19f11db2ec314306" /><Relationship Type="http://schemas.openxmlformats.org/officeDocument/2006/relationships/worksheet" Target="/xl/worksheets/sheet50.xml" Id="Rab9fc5994a8e42e8" /><Relationship Type="http://schemas.openxmlformats.org/officeDocument/2006/relationships/worksheet" Target="/xl/worksheets/sheet51.xml" Id="Rd43f09319f6d4dc1" /><Relationship Type="http://schemas.openxmlformats.org/officeDocument/2006/relationships/worksheet" Target="/xl/worksheets/sheet52.xml" Id="R1991d37e84b341c3" /><Relationship Type="http://schemas.openxmlformats.org/officeDocument/2006/relationships/worksheet" Target="/xl/worksheets/sheet53.xml" Id="R725d3e0994564c9c" /><Relationship Type="http://schemas.openxmlformats.org/officeDocument/2006/relationships/worksheet" Target="/xl/worksheets/sheet54.xml" Id="Rcbd82b472f474a02" /><Relationship Type="http://schemas.openxmlformats.org/officeDocument/2006/relationships/worksheet" Target="/xl/worksheets/sheet55.xml" Id="R682f94a279a44ce0" /><Relationship Type="http://schemas.microsoft.com/office/2017/10/relationships/person" Target="/xl/persons/person.xml" Id="Rc44da29df1b24a4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Suruchi" id="{1AC5E0BB-1B9F-6B08-5587-EA799DDC46C9}"/>
  <xltc:person displayName="Suruchi" id="{9E8C691A-E894-F4E7-1BBD-E03266FC9C54}"/>
  <xltc:person displayName="Microsoft Office User" id="{1F7BF4E5-4C16-4E8E-1CC9-ABF85ADE2B39}"/>
  <xltc:person displayName="suruchi" id="{BEFE8F85-88FB-C959-C9F1-A537C0068220}"/>
  <xltc:person displayName="Suruchi" id="{E7C9458E-DE9F-2030-6AA3-BCB9C3D9500C}"/>
  <xltc:person displayName="Suruchi" id="{D96945BF-B241-5425-2229-706DDBE7310E}"/>
  <xltc:person displayName="suruchi" id="{05D01DCC-5406-F9AB-67C1-F581DD14EF87}"/>
  <xltc:person displayName="Suruchi" id="{F729B825-3E60-6373-AA2A-B31CEEACD636}"/>
  <xltc:person displayName="Suruchi" id="{F2818F21-C422-5359-FD6E-24859F147B41}"/>
  <xltc:person displayName="Mukund Murali" id="{DEE29E52-18BB-F6E2-22CD-52712F24AF49}"/>
  <xltc:person displayName="suruchi" id="{7221AEA2-75EC-98FB-EEF6-D8EB97252C5D}"/>
</xltc:personList>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9.xml.rels>&#65279;<?xml version="1.0" encoding="utf-8"?><Relationships xmlns="http://schemas.openxmlformats.org/package/2006/relationships"><Relationship Type="http://schemas.openxmlformats.org/officeDocument/2006/relationships/comments" Target="/xl/comments1.xml" Id="R1e7f7799d03b4c8b" /><Relationship Type="http://schemas.openxmlformats.org/officeDocument/2006/relationships/vmlDrawing" Target="/xl/drawings/vmldrawing.vml" Id="R9bc9ba8a757947a3" /></Relationships>
</file>

<file path=xl/worksheets/_rels/sheet23.xml.rels>&#65279;<?xml version="1.0" encoding="utf-8"?><Relationships xmlns="http://schemas.openxmlformats.org/package/2006/relationships"><Relationship Type="http://schemas.openxmlformats.org/officeDocument/2006/relationships/comments" Target="/xl/comments2.xml" Id="R42fda0b70afe4e0f" /><Relationship Type="http://schemas.openxmlformats.org/officeDocument/2006/relationships/vmlDrawing" Target="/xl/drawings/vmldrawing2.vml" Id="R002cae872ebc491a" /></Relationships>
</file>

<file path=xl/worksheets/_rels/sheet25.xml.rels>&#65279;<?xml version="1.0" encoding="utf-8"?><Relationships xmlns="http://schemas.openxmlformats.org/package/2006/relationships"><Relationship Type="http://schemas.openxmlformats.org/officeDocument/2006/relationships/comments" Target="/xl/comments3.xml" Id="Rea3b5b91dcf3445e" /><Relationship Type="http://schemas.openxmlformats.org/officeDocument/2006/relationships/vmlDrawing" Target="/xl/drawings/vmldrawing3.vml" Id="Rdd1e7805704b41ca" /></Relationships>
</file>

<file path=xl/worksheets/_rels/sheet37.xml.rels>&#65279;<?xml version="1.0" encoding="utf-8"?><Relationships xmlns="http://schemas.openxmlformats.org/package/2006/relationships"><Relationship Type="http://schemas.openxmlformats.org/officeDocument/2006/relationships/comments" Target="/xl/comments4.xml" Id="Reb5c1950fdcc4555" /><Relationship Type="http://schemas.openxmlformats.org/officeDocument/2006/relationships/vmlDrawing" Target="/xl/drawings/vmldrawing4.vml" Id="Rb71bc36e286a4c98" /></Relationships>
</file>

<file path=xl/worksheets/_rels/sheet39.xml.rels>&#65279;<?xml version="1.0" encoding="utf-8"?><Relationships xmlns="http://schemas.openxmlformats.org/package/2006/relationships"><Relationship Type="http://schemas.openxmlformats.org/officeDocument/2006/relationships/comments" Target="/xl/comments5.xml" Id="R871eba76d1bc4294" /><Relationship Type="http://schemas.openxmlformats.org/officeDocument/2006/relationships/vmlDrawing" Target="/xl/drawings/vmldrawing5.vml" Id="R9b0d13577d014e10" /></Relationships>
</file>

<file path=xl/worksheets/_rels/sheet41.xml.rels>&#65279;<?xml version="1.0" encoding="utf-8"?><Relationships xmlns="http://schemas.openxmlformats.org/package/2006/relationships"><Relationship Type="http://schemas.openxmlformats.org/officeDocument/2006/relationships/comments" Target="/xl/comments6.xml" Id="Ra7542deab22248c0" /><Relationship Type="http://schemas.openxmlformats.org/officeDocument/2006/relationships/vmlDrawing" Target="/xl/drawings/vmldrawing6.vml" Id="R8c2b96a351444e6e" /></Relationships>
</file>

<file path=xl/worksheets/_rels/sheet42.xml.rels>&#65279;<?xml version="1.0" encoding="utf-8"?><Relationships xmlns="http://schemas.openxmlformats.org/package/2006/relationships"><Relationship Type="http://schemas.openxmlformats.org/officeDocument/2006/relationships/comments" Target="/xl/comments7.xml" Id="Re646195154d749cd" /><Relationship Type="http://schemas.openxmlformats.org/officeDocument/2006/relationships/vmlDrawing" Target="/xl/drawings/vmldrawing7.vml" Id="Re8035d554bef4bde" /></Relationships>
</file>

<file path=xl/worksheets/_rels/sheet45.xml.rels>&#65279;<?xml version="1.0" encoding="utf-8"?><Relationships xmlns="http://schemas.openxmlformats.org/package/2006/relationships"><Relationship Type="http://schemas.openxmlformats.org/officeDocument/2006/relationships/comments" Target="/xl/comments8.xml" Id="Rd66492f670ba479e" /><Relationship Type="http://schemas.openxmlformats.org/officeDocument/2006/relationships/vmlDrawing" Target="/xl/drawings/vmldrawing8.vml" Id="R0b1b98c89ded4556" /></Relationships>
</file>

<file path=xl/worksheets/_rels/sheet47.xml.rels>&#65279;<?xml version="1.0" encoding="utf-8"?><Relationships xmlns="http://schemas.openxmlformats.org/package/2006/relationships"><Relationship Type="http://schemas.openxmlformats.org/officeDocument/2006/relationships/comments" Target="/xl/comments9.xml" Id="Re908f875d4c8450c" /><Relationship Type="http://schemas.openxmlformats.org/officeDocument/2006/relationships/vmlDrawing" Target="/xl/drawings/vmldrawing9.vml" Id="R4a95b3c5ca504a17" /></Relationships>
</file>

<file path=xl/worksheets/sheet1.xml><?xml version="1.0" encoding="utf-8"?>
<x:worksheet xmlns:x="http://schemas.openxmlformats.org/spreadsheetml/2006/main">
  <x:sheetPr>
    <x:tabColor rgb="FF00B050"/>
  </x:sheetPr>
  <x:sheetFormatPr baseColWidth="10" defaultColWidth="8.83203125" defaultRowHeight="15"/>
  <x:cols>
    <x:col min="1" max="1" width="167.1640625" customWidth="1"/>
  </x:cols>
  <x:sheetData>
    <x:row r="1" ht="16"/>
    <x:row r="2" ht="59.25" customHeight="1">
      <x:c r="A2" s="81" t="s">
        <x:v>0</x:v>
      </x:c>
    </x:row>
  </x:sheetData>
  <x:pageMargins left="0.7" right="0.7" top="0.75" bottom="0.75" header="0.3" footer="0.3"/>
</x:worksheet>
</file>

<file path=xl/worksheets/sheet2.xml><?xml version="1.0" encoding="utf-8"?>
<x:worksheet xmlns:x="http://schemas.openxmlformats.org/spreadsheetml/2006/main">
  <x:sheetPr>
    <x:tabColor theme="4" tint="0.59999"/>
  </x:sheetPr>
  <x:sheetFormatPr baseColWidth="10" defaultColWidth="8.83203125" defaultRowHeight="15"/>
  <x:cols>
    <x:col min="1" max="1" width="9.1640625" customWidth="1"/>
    <x:col min="2" max="2" width="22.5" customWidth="1"/>
    <x:col min="3" max="3" width="40.83203125" customWidth="1"/>
    <x:col min="4" max="4" width="32.5" customWidth="1"/>
    <x:col min="5" max="5" width="25.83203125" customWidth="1"/>
  </x:cols>
  <x:sheetData>
    <x:row r="1" s="40" customFormat="1" ht="108" customHeight="1">
      <x:c r="A1" s="145" t="s">
        <x:v>1</x:v>
      </x:c>
      <x:c r="B1" s="145"/>
      <x:c r="C1" s="145"/>
      <x:c r="D1" s="145"/>
      <x:c r="E1" s="145"/>
    </x:row>
    <x:row r="2">
      <x:c r="A2" s="26" t="s">
        <x:v>2</x:v>
      </x:c>
      <x:c r="B2" s="26" t="s">
        <x:v>3</x:v>
      </x:c>
      <x:c r="C2" s="26" t="s">
        <x:v>4</x:v>
      </x:c>
      <x:c r="D2" s="26" t="s">
        <x:v>5</x:v>
      </x:c>
      <x:c r="E2" s="26" t="s">
        <x:v>6</x:v>
      </x:c>
    </x:row>
    <x:row r="3" ht="43.5" customHeight="1">
      <x:c r="A3" s="32" t="str">
        <x:v>Ashburn</x:v>
      </x:c>
      <x:c r="B3" s="32" t="str">
        <x:v>EBLZ</x:v>
      </x:c>
      <x:c r="C3" s="32" t="str">
        <x:v>Enterprise baseline landing zone parent</x:v>
      </x:c>
      <x:c r="D3" s="32" t="str">
        <x:v>root</x:v>
      </x:c>
      <x:c r="E3" s="33" t="str">
        <x:v>Governance.ManagedBy=CD3;Governance.Compliance=SCCA;Governance.Environment=Shared;Governance.DataClassification=CUI</x:v>
      </x:c>
    </x:row>
    <x:row r="4" ht="29.25" customHeight="1">
      <x:c r="A4" s="32" t="str">
        <x:v>Ashburn</x:v>
      </x:c>
      <x:c r="B4" s="32" t="str">
        <x:v>VDMS</x:v>
      </x:c>
      <x:c r="C4" s="32" t="str">
        <x:v>Virtual Data Management Services</x:v>
      </x:c>
      <x:c r="D4" s="32" t="str">
        <x:v>EBLZ</x:v>
      </x:c>
      <x:c r="E4" s="33" t="str">
        <x:v>Governance.ManagedBy=CD3;Governance.Compliance=SCCA;Governance.Environment=Shared;Governance.DataClassification=CUI</x:v>
      </x:c>
    </x:row>
    <x:row r="5" ht="45" customHeight="1">
      <x:c r="A5" s="32" t="str">
        <x:v>Ashburn</x:v>
      </x:c>
      <x:c r="B5" s="32" t="str">
        <x:v>Network</x:v>
      </x:c>
      <x:c r="C5" s="32" t="str">
        <x:v>VDMS management network resources</x:v>
      </x:c>
      <x:c r="D5" s="32" t="str">
        <x:v>EBLZ::VDMS</x:v>
      </x:c>
      <x:c r="E5" s="33" t="str">
        <x:v>Governance.ManagedBy=CD3;Governance.Compliance=SCCA;Governance.Environment=Shared;Governance.DataClassification=CUI</x:v>
      </x:c>
    </x:row>
    <x:row r="6" ht="28.5" customHeight="1">
      <x:c r="A6" s="32" t="str">
        <x:v>Ashburn</x:v>
      </x:c>
      <x:c r="B6" s="32" t="str">
        <x:v>Operations</x:v>
      </x:c>
      <x:c r="C6" s="32" t="str">
        <x:v>Central logging, monitoring, notifications and automation</x:v>
      </x:c>
      <x:c r="D6" s="32" t="str">
        <x:v>EBLZ::VDMS</x:v>
      </x:c>
      <x:c r="E6" s="33" t="str">
        <x:v>Governance.ManagedBy=CD3;Governance.Compliance=SCCA;Governance.Environment=Shared;Governance.DataClassification=CUI</x:v>
      </x:c>
    </x:row>
    <x:row r="7">
      <x:c r="A7" s="33" t="str">
        <x:v>Ashburn</x:v>
      </x:c>
      <x:c r="B7" s="33" t="str">
        <x:v>Identity</x:v>
      </x:c>
      <x:c r="C7" s="33" t="str">
        <x:v>Identity integration and privileged access support</x:v>
      </x:c>
      <x:c r="D7" s="32" t="str">
        <x:v>EBLZ::VDMS</x:v>
      </x:c>
      <x:c r="E7" s="33" t="str">
        <x:v>Governance.ManagedBy=CD3;Governance.Compliance=SCCA;Governance.Environment=Shared;Governance.DataClassification=CUI</x:v>
      </x:c>
    </x:row>
    <x:row r="8">
      <x:c r="A8" s="53" t="str">
        <x:v>Ashburn</x:v>
      </x:c>
      <x:c r="B8" s="53" t="str">
        <x:v>AD-Shared-Services</x:v>
      </x:c>
      <x:c r="C8" s="53" t="str">
        <x:v>Active Directory, DNS and enterprise identity shared services</x:v>
      </x:c>
      <x:c r="D8" s="53" t="str">
        <x:v>EBLZ::VDMS</x:v>
      </x:c>
      <x:c r="E8" s="53" t="str">
        <x:v>Governance.ManagedBy=CD3;Governance.Compliance=SCCA;Governance.Environment=Shared;Governance.DataClassification=CUI</x:v>
      </x:c>
    </x:row>
    <x:row r="9" ht="15.75" customHeight="1">
      <x:c r="A9" s="53" t="str">
        <x:v>Ashburn</x:v>
      </x:c>
      <x:c r="B9" s="53" t="str">
        <x:v>VDSS</x:v>
      </x:c>
      <x:c r="C9" s="53" t="str">
        <x:v>Virtual Data Security Stack</x:v>
      </x:c>
      <x:c r="D9" s="53" t="str">
        <x:v>EBLZ</x:v>
      </x:c>
      <x:c r="E9" s="53" t="str">
        <x:v>Governance.ManagedBy=CD3;Governance.Compliance=SCCA;Governance.Environment=Shared;Governance.DataClassification=CUI</x:v>
      </x:c>
    </x:row>
    <x:row r="10">
      <x:c r="A10" s="53" t="str">
        <x:v>Ashburn</x:v>
      </x:c>
      <x:c r="B10" s="53" t="str">
        <x:v>Network</x:v>
      </x:c>
      <x:c r="C10" s="53" t="str">
        <x:v>Inspection, transit, firewall and security networking</x:v>
      </x:c>
      <x:c r="D10" s="53" t="str">
        <x:v>EBLZ::VDSS</x:v>
      </x:c>
      <x:c r="E10" s="53" t="str">
        <x:v>Governance.ManagedBy=CD3;Governance.Compliance=SCCA;Governance.Environment=Shared;Governance.DataClassification=CUI</x:v>
      </x:c>
    </x:row>
    <x:row r="11">
      <x:c r="A11" s="53" t="str">
        <x:v>Ashburn</x:v>
      </x:c>
      <x:c r="B11" s="53" t="str">
        <x:v>Security</x:v>
      </x:c>
      <x:c r="C11" s="53" t="str">
        <x:v>Cloud Guard, vulnerability scanning, KMS and security tooling</x:v>
      </x:c>
      <x:c r="D11" s="53" t="str">
        <x:v>EBLZ::VDSS</x:v>
      </x:c>
      <x:c r="E11" s="53" t="str">
        <x:v>Governance.ManagedBy=CD3;Governance.Compliance=SCCA;Governance.Environment=Shared;Governance.DataClassification=CUI</x:v>
      </x:c>
    </x:row>
    <x:row r="12">
      <x:c r="A12" s="53" t="str">
        <x:v>Ashburn</x:v>
      </x:c>
      <x:c r="B12" s="53" t="str">
        <x:v>Logging</x:v>
      </x:c>
      <x:c r="C12" s="53" t="str">
        <x:v>Security logs, evidence staging and SIEM integration</x:v>
      </x:c>
      <x:c r="D12" s="53" t="str">
        <x:v>EBLZ::VDSS</x:v>
      </x:c>
      <x:c r="E12" s="53" t="str">
        <x:v>Governance.ManagedBy=CD3;Governance.Compliance=SCCA;Governance.Environment=Shared;Governance.DataClassification=CUI</x:v>
      </x:c>
    </x:row>
    <x:row r="13">
      <x:c r="A13" s="53" t="str">
        <x:v>Ashburn</x:v>
      </x:c>
      <x:c r="B13" s="53" t="str">
        <x:v>Evidence-Exchange</x:v>
      </x:c>
      <x:c r="C13" s="53" t="str">
        <x:v>Controlled evidence exchange for the external Auditor tenancy</x:v>
      </x:c>
      <x:c r="D13" s="53" t="str">
        <x:v>EBLZ::VDSS</x:v>
      </x:c>
      <x:c r="E13" s="53" t="str">
        <x:v>Governance.ManagedBy=CD3;Governance.Compliance=SCCA;Governance.Environment=Shared;Governance.DataClassification=CUI</x:v>
      </x:c>
    </x:row>
    <x:row r="14">
      <x:c r="A14" s="53" t="str">
        <x:v>Ashburn</x:v>
      </x:c>
      <x:c r="B14" s="53" t="str">
        <x:v>Programs</x:v>
      </x:c>
      <x:c r="C14" s="53" t="str">
        <x:v>Mission program parent</x:v>
      </x:c>
      <x:c r="D14" s="53" t="str">
        <x:v>EBLZ</x:v>
      </x:c>
      <x:c r="E14" s="53" t="str">
        <x:v>Governance.ManagedBy=CD3;Governance.Compliance=SCCA;Governance.Environment=Shared;Governance.DataClassification=CUI</x:v>
      </x:c>
    </x:row>
    <x:row r="15" ht="32">
      <x:c r="A15" s="53" t="str">
        <x:v>Ashburn</x:v>
      </x:c>
      <x:c r="B15" s="53" t="str">
        <x:v>CDAS</x:v>
      </x:c>
      <x:c r="C15" s="53" t="str">
        <x:v>CDAS program parent</x:v>
      </x:c>
      <x:c r="D15" s="53" t="str">
        <x:v>EBLZ::Programs</x:v>
      </x:c>
      <x:c r="E15" s="54" t="str">
        <x:v>Governance.ManagedBy=CD3;Governance.Compliance=SCCA;Governance.Environment=Shared;Governance.DataClassification=CUI;Governance.Program=CDAS</x:v>
      </x:c>
    </x:row>
    <x:row r="16">
      <x:c r="A16" t="str">
        <x:v>Ashburn</x:v>
      </x:c>
      <x:c r="B16" t="str">
        <x:v>CDAS-NonProd</x:v>
      </x:c>
      <x:c r="C16" t="str">
        <x:v>CDAS nonproduction resources</x:v>
      </x:c>
      <x:c r="D16" t="str">
        <x:v>EBLZ::Programs::CDAS</x:v>
      </x:c>
      <x:c r="E16" t="str">
        <x:v>Governance.ManagedBy=CD3;Governance.Compliance=SCCA;Governance.Environment=NonProd;Governance.DataClassification=CUI;Governance.Program=CDAS</x:v>
      </x:c>
    </x:row>
    <x:row r="17">
      <x:c r="A17" t="str">
        <x:v>Ashburn</x:v>
      </x:c>
      <x:c r="B17" t="str">
        <x:v>CDAS-Prod</x:v>
      </x:c>
      <x:c r="C17" t="str">
        <x:v>CDAS production resources</x:v>
      </x:c>
      <x:c r="D17" t="str">
        <x:v>EBLZ::Programs::CDAS</x:v>
      </x:c>
      <x:c r="E17" t="str">
        <x:v>Governance.ManagedBy=CD3;Governance.Compliance=SCCA;Governance.Environment=Prod;Governance.DataClassification=CUI;Governance.Program=CDAS</x:v>
      </x:c>
    </x:row>
    <x:row r="18">
      <x:c r="A18" t="str">
        <x:v>Ashburn</x:v>
      </x:c>
      <x:c r="B18" t="str">
        <x:v>MSAS</x:v>
      </x:c>
      <x:c r="C18" t="str">
        <x:v>MSAS program parent</x:v>
      </x:c>
      <x:c r="D18" t="str">
        <x:v>EBLZ::Programs</x:v>
      </x:c>
      <x:c r="E18" t="str">
        <x:v>Governance.ManagedBy=CD3;Governance.Compliance=SCCA;Governance.Environment=Shared;Governance.DataClassification=CUI;Governance.Program=MSAS</x:v>
      </x:c>
    </x:row>
    <x:row r="19">
      <x:c r="A19" t="str">
        <x:v>Ashburn</x:v>
      </x:c>
      <x:c r="B19" t="str">
        <x:v>DataWalk-Dev</x:v>
      </x:c>
      <x:c r="C19" t="str">
        <x:v>DataWalk development resources</x:v>
      </x:c>
      <x:c r="D19" t="str">
        <x:v>EBLZ::Programs::MSAS</x:v>
      </x:c>
      <x:c r="E19" t="str">
        <x:v>Governance.ManagedBy=CD3;Governance.Compliance=SCCA;Governance.Environment=Dev;Governance.DataClassification=CUI;Governance.Program=MSAS;Governance.Project=DataWalk</x:v>
      </x:c>
    </x:row>
    <x:row r="20">
      <x:c r="A20" t="str">
        <x:v>Ashburn</x:v>
      </x:c>
      <x:c r="B20" t="str">
        <x:v>DataWalk-Test</x:v>
      </x:c>
      <x:c r="C20" t="str">
        <x:v>DataWalk test resources</x:v>
      </x:c>
      <x:c r="D20" t="str">
        <x:v>EBLZ::Programs::MSAS</x:v>
      </x:c>
      <x:c r="E20" t="str">
        <x:v>Governance.ManagedBy=CD3;Governance.Compliance=SCCA;Governance.Environment=Test;Governance.DataClassification=CUI;Governance.Program=MSAS;Governance.Project=DataWalk</x:v>
      </x:c>
    </x:row>
    <x:row r="21">
      <x:c r="A21" t="str">
        <x:v>Ashburn</x:v>
      </x:c>
      <x:c r="B21" t="str">
        <x:v>DataWalk-Prod</x:v>
      </x:c>
      <x:c r="C21" t="str">
        <x:v>DataWalk production resources</x:v>
      </x:c>
      <x:c r="D21" t="str">
        <x:v>EBLZ::Programs::MSAS</x:v>
      </x:c>
      <x:c r="E21" t="str">
        <x:v>Governance.ManagedBy=CD3;Governance.Compliance=SCCA;Governance.Environment=Prod;Governance.DataClassification=CUI;Governance.Program=MSAS;Governance.Project=DataWalk</x:v>
      </x:c>
    </x:row>
    <x:row r="22">
      <x:c r="A22" t="str">
        <x:v>Ashburn</x:v>
      </x:c>
      <x:c r="B22" t="str">
        <x:v>Hyperscience-Dev</x:v>
      </x:c>
      <x:c r="C22" t="str">
        <x:v>Hyperscience development resources</x:v>
      </x:c>
      <x:c r="D22" t="str">
        <x:v>EBLZ::Programs::MSAS</x:v>
      </x:c>
      <x:c r="E22" t="str">
        <x:v>Governance.ManagedBy=CD3;Governance.Compliance=SCCA;Governance.Environment=Dev;Governance.DataClassification=CUI;Governance.Program=MSAS;Governance.Project=Hyperscience</x:v>
      </x:c>
    </x:row>
    <x:row r="23">
      <x:c r="A23" t="str">
        <x:v>Ashburn</x:v>
      </x:c>
      <x:c r="B23" t="str">
        <x:v>Hyperscience-Prod</x:v>
      </x:c>
      <x:c r="C23" t="str">
        <x:v>Hyperscience production and GPU resources</x:v>
      </x:c>
      <x:c r="D23" t="str">
        <x:v>EBLZ::Programs::MSAS</x:v>
      </x:c>
      <x:c r="E23" t="str">
        <x:v>Governance.ManagedBy=CD3;Governance.Compliance=SCCA;Governance.Environment=Prod;Governance.DataClassification=CUI;Governance.Program=MSAS;Governance.Project=Hyperscience</x:v>
      </x:c>
    </x:row>
    <x:row r="24">
      <x:c r="A24" t="str">
        <x:v>Ashburn</x:v>
      </x:c>
      <x:c r="B24" t="str">
        <x:v>Sandbox</x:v>
      </x:c>
      <x:c r="C24" t="str">
        <x:v>Restricted developer sandbox</x:v>
      </x:c>
      <x:c r="D24" t="str">
        <x:v>EBLZ</x:v>
      </x:c>
      <x:c r="E24" t="str">
        <x:v>Governance.ManagedBy=CD3;Governance.Compliance=SCCA;Governance.Environment=Sandbox;Governance.DataClassification=Internal</x:v>
      </x:c>
    </x:row>
    <x:row r="25">
      <x:c r="A25" t="str">
        <x:v>&lt;END&gt;</x:v>
      </x:c>
    </x:row>
  </x:sheetData>
  <x:mergeCells>
    <x:mergeCell ref="A1:E1"/>
  </x:mergeCells>
  <x:dataValidations count="1">
    <x:dataValidation allowBlank="1" sqref="A1:B2 B3:B1048576 C1:XFD1048576"/>
  </x:dataValidations>
  <x:pageMargins left="0.7" right="0.7" top="0.75" bottom="0.75" header="0.3" footer="0.3"/>
</x:worksheet>
</file>

<file path=xl/worksheets/sheet3.xml><?xml version="1.0" encoding="utf-8"?>
<x:worksheet xmlns:x="http://schemas.openxmlformats.org/spreadsheetml/2006/main">
  <x:sheetPr>
    <x:tabColor theme="4" tint="0.59999"/>
  </x:sheetPr>
  <x:sheetFormatPr baseColWidth="10" defaultColWidth="8.83203125" defaultRowHeight="15"/>
  <x:cols>
    <x:col min="1" max="1" width="9.1640625" customWidth="1"/>
    <x:col min="2" max="2" width="16.5" customWidth="1"/>
    <x:col min="3" max="3" width="32" customWidth="1"/>
    <x:col min="4" max="4" width="17.33203125" customWidth="1"/>
    <x:col min="5" max="5" width="13.33203125" customWidth="1"/>
    <x:col min="6" max="6" width="20.6640625" customWidth="1"/>
    <x:col min="7" max="7" width="17.1640625" customWidth="1"/>
  </x:cols>
  <x:sheetData>
    <x:row r="1" s="40" customFormat="1" ht="173" customHeight="1">
      <x:c r="A1" s="146" t="s">
        <x:v>7</x:v>
      </x:c>
      <x:c r="B1" s="147"/>
      <x:c r="C1" s="147"/>
      <x:c r="D1" s="147"/>
      <x:c r="E1" s="147"/>
      <x:c r="F1" s="147"/>
      <x:c r="G1" s="148"/>
    </x:row>
    <x:row r="2">
      <x:c r="A2" s="468" t="s">
        <x:v>2</x:v>
      </x:c>
      <x:c r="B2" s="525" t="s">
        <x:v>3</x:v>
      </x:c>
      <x:c r="C2" s="525" t="s">
        <x:v>4</x:v>
      </x:c>
      <x:c r="D2" s="526" t="s">
        <x:v>8</x:v>
      </x:c>
      <x:c r="E2" s="526" t="s">
        <x:v>9</x:v>
      </x:c>
      <x:c r="F2" s="527" t="s">
        <x:v>10</x:v>
      </x:c>
      <x:c r="G2" s="526" t="s">
        <x:v>6</x:v>
      </x:c>
    </x:row>
    <x:row r="3" ht="48">
      <x:c r="A3" s="390" t="str">
        <x:v>Ashburn</x:v>
      </x:c>
      <x:c r="B3" s="390" t="str">
        <x:v>IAM-Governance-Admins</x:v>
      </x:c>
      <x:c r="C3" s="390" t="str">
        <x:v>Manage compartments, groups, policies, tags, quotas and governance configuration</x:v>
      </x:c>
      <x:c r="D3" s="390"/>
      <x:c r="E3" s="390"/>
      <x:c r="F3" s="390"/>
      <x:c r="G3" s="390" t="str">
        <x:v>Governance.ManagedBy=CD3;Governance.Compliance=SCCA</x:v>
      </x:c>
    </x:row>
    <x:row r="4" ht="32">
      <x:c r="A4" s="390" t="str">
        <x:v>Ashburn</x:v>
      </x:c>
      <x:c r="B4" s="390" t="str">
        <x:v>VDMS-Platform-Admins</x:v>
      </x:c>
      <x:c r="C4" s="390" t="str">
        <x:v>Administrators for VDMS shared management services</x:v>
      </x:c>
      <x:c r="D4" s="390"/>
      <x:c r="E4" s="390"/>
      <x:c r="F4" s="390"/>
      <x:c r="G4" s="390" t="str">
        <x:v>Governance.ManagedBy=CD3;Governance.Compliance=SCCA</x:v>
      </x:c>
    </x:row>
    <x:row r="5" ht="32">
      <x:c r="A5" s="390" t="str">
        <x:v>Ashburn</x:v>
      </x:c>
      <x:c r="B5" s="390" t="str">
        <x:v>VDSS-Security-Admins</x:v>
      </x:c>
      <x:c r="C5" s="390" t="str">
        <x:v>Administrators for VDSS security services and controls</x:v>
      </x:c>
      <x:c r="D5" s="390"/>
      <x:c r="E5" s="390"/>
      <x:c r="F5" s="390"/>
      <x:c r="G5" s="390" t="str">
        <x:v>Governance.ManagedBy=CD3;Governance.Compliance=SCCA</x:v>
      </x:c>
    </x:row>
    <x:row r="6" ht="32">
      <x:c r="A6" s="390" t="str">
        <x:v>Ashburn</x:v>
      </x:c>
      <x:c r="B6" s="390" t="str">
        <x:v>Network-Admins</x:v>
      </x:c>
      <x:c r="C6" s="390" t="str">
        <x:v>Administrators for VCNs, DRGs, routing, DNS, firewalls and connectivity</x:v>
      </x:c>
      <x:c r="D6" s="390"/>
      <x:c r="E6" s="390"/>
      <x:c r="F6" s="390"/>
      <x:c r="G6" s="390" t="str">
        <x:v>Governance.ManagedBy=CD3;Governance.Compliance=SCCA</x:v>
      </x:c>
    </x:row>
    <x:row r="7" ht="32">
      <x:c r="A7" s="472" t="str">
        <x:v>Ashburn</x:v>
      </x:c>
      <x:c r="B7" s="390" t="str">
        <x:v>CloudOps</x:v>
      </x:c>
      <x:c r="C7" s="390" t="str">
        <x:v>Day-to-day OCI platform operations</x:v>
      </x:c>
      <x:c r="D7" s="390"/>
      <x:c r="E7" s="472"/>
      <x:c r="F7" s="390"/>
      <x:c r="G7" s="390" t="str">
        <x:v>Governance.ManagedBy=CD3;Governance.Compliance=SCCA</x:v>
      </x:c>
    </x:row>
    <x:row r="8" ht="32">
      <x:c r="A8" s="390" t="str">
        <x:v>Ashburn</x:v>
      </x:c>
      <x:c r="B8" s="472" t="str">
        <x:v>EntOps</x:v>
      </x:c>
      <x:c r="C8" s="472" t="str">
        <x:v>Enterprise monitoring, logging and management operations</x:v>
      </x:c>
      <x:c r="D8" s="472"/>
      <x:c r="E8" s="390"/>
      <x:c r="F8" s="390"/>
      <x:c r="G8" s="390" t="str">
        <x:v>Governance.ManagedBy=CD3;Governance.Compliance=SCCA</x:v>
      </x:c>
    </x:row>
    <x:row r="9" ht="16" customHeight="1">
      <x:c r="A9" s="390" t="str">
        <x:v>Ashburn</x:v>
      </x:c>
      <x:c r="B9" s="390" t="str">
        <x:v>SecOps</x:v>
      </x:c>
      <x:c r="C9" s="390" t="str">
        <x:v>Security operations, Cloud Guard, scanning and incident response</x:v>
      </x:c>
      <x:c r="D9" s="390"/>
      <x:c r="E9" s="390"/>
      <x:c r="F9" s="390"/>
      <x:c r="G9" s="390" t="str">
        <x:v>Governance.ManagedBy=CD3;Governance.Compliance=SCCA</x:v>
      </x:c>
    </x:row>
    <x:row r="10" ht="28" customHeight="1">
      <x:c r="A10" s="390" t="str">
        <x:v>Ashburn</x:v>
      </x:c>
      <x:c r="B10" s="390" t="str">
        <x:v>Security-Auditors</x:v>
      </x:c>
      <x:c r="C10" s="390" t="str">
        <x:v>Read-only security, compliance and evidence reviewers</x:v>
      </x:c>
      <x:c r="D10" s="390"/>
      <x:c r="E10" s="390"/>
      <x:c r="F10" s="390"/>
      <x:c r="G10" s="390" t="str">
        <x:v>Governance.ManagedBy=CD3;Governance.Compliance=SCCA</x:v>
      </x:c>
    </x:row>
    <x:row r="11" ht="28" customHeight="1">
      <x:c r="A11" s="390" t="str">
        <x:v>Ashburn</x:v>
      </x:c>
      <x:c r="B11" s="390" t="str">
        <x:v>ORM-Deployment-Admins</x:v>
      </x:c>
      <x:c r="C11" s="390" t="str">
        <x:v>Human administrators allowed to operate OCI Resource Manager and CD3 stacks</x:v>
      </x:c>
      <x:c r="D11" s="390"/>
      <x:c r="E11" s="390"/>
      <x:c r="F11" s="390"/>
      <x:c r="G11" s="390" t="str">
        <x:v>Governance.ManagedBy=CD3;Governance.Compliance=SCCA</x:v>
      </x:c>
    </x:row>
    <x:row r="12" ht="16">
      <x:c r="A12" s="390" t="str">
        <x:v>Ashburn</x:v>
      </x:c>
      <x:c r="B12" s="390" t="str">
        <x:v>AppDev</x:v>
      </x:c>
      <x:c r="C12" s="390" t="str">
        <x:v>Application developers for approved nonproduction and sandbox compartments</x:v>
      </x:c>
      <x:c r="D12" s="390"/>
      <x:c r="E12" s="390"/>
      <x:c r="F12" s="390"/>
      <x:c r="G12" s="390" t="str">
        <x:v>Governance.ManagedBy=CD3;Governance.Compliance=SCCA</x:v>
      </x:c>
    </x:row>
    <x:row r="13" ht="32">
      <x:c r="A13" s="390" t="str">
        <x:v>Ashburn</x:v>
      </x:c>
      <x:c r="B13" s="390" t="str">
        <x:v>DevOps</x:v>
      </x:c>
      <x:c r="C13" s="390" t="str">
        <x:v>CI/CD and controlled workload deployment engineers</x:v>
      </x:c>
      <x:c r="D13" s="390"/>
      <x:c r="E13" s="390"/>
      <x:c r="F13" s="390"/>
      <x:c r="G13" s="390" t="str">
        <x:v>Governance.ManagedBy=CD3;Governance.Compliance=SCCA</x:v>
      </x:c>
    </x:row>
    <x:row r="14" ht="16">
      <x:c r="A14" s="390" t="str">
        <x:v>Ashburn</x:v>
      </x:c>
      <x:c r="B14" s="390" t="str">
        <x:v>Database-Admins</x:v>
      </x:c>
      <x:c r="C14" s="390" t="str">
        <x:v>Database administrators for approved program compartments</x:v>
      </x:c>
      <x:c r="D14" s="390"/>
      <x:c r="E14" s="390"/>
      <x:c r="F14" s="390"/>
      <x:c r="G14" s="390" t="str">
        <x:v>Governance.ManagedBy=CD3;Governance.Compliance=SCCA</x:v>
      </x:c>
    </x:row>
    <x:row r="15" ht="80">
      <x:c r="A15" s="390" t="str">
        <x:v>Ashburn</x:v>
      </x:c>
      <x:c r="B15" s="379" t="str">
        <x:v>FinOps</x:v>
      </x:c>
      <x:c r="C15" s="379" t="str">
        <x:v>Cost, usage, budgets, chargeback and showback administrators</x:v>
      </x:c>
      <x:c r="D15" s="390"/>
      <x:c r="E15" s="379"/>
      <x:c r="F15" s="390"/>
      <x:c r="G15" s="390" t="str">
        <x:v>Governance.ManagedBy=CD3;Governance.Compliance=SCCA</x:v>
      </x:c>
    </x:row>
    <x:row r="16" ht="64">
      <x:c r="A16" s="390" t="str">
        <x:v>Ashburn</x:v>
      </x:c>
      <x:c r="B16" s="390" t="str">
        <x:v>Program-Admins-CDAS</x:v>
      </x:c>
      <x:c r="C16" s="390" t="str">
        <x:v>Administrators scoped to CDAS compartments</x:v>
      </x:c>
      <x:c r="D16" s="390"/>
      <x:c r="E16" s="390"/>
      <x:c r="F16" s="390"/>
      <x:c r="G16" s="390" t="str">
        <x:v>Governance.ManagedBy=CD3;Governance.Compliance=SCCA;Governance.Program=CDAS</x:v>
      </x:c>
    </x:row>
    <x:row r="17" ht="64">
      <x:c r="A17" s="390" t="str">
        <x:v>Ashburn</x:v>
      </x:c>
      <x:c r="B17" s="390" t="str">
        <x:v>Program-Admins-MSAS</x:v>
      </x:c>
      <x:c r="C17" s="390" t="str">
        <x:v>Administrators scoped to MSAS compartments</x:v>
      </x:c>
      <x:c r="D17" s="390"/>
      <x:c r="E17" s="390"/>
      <x:c r="F17" s="390"/>
      <x:c r="G17" s="390" t="str">
        <x:v>Governance.ManagedBy=CD3;Governance.Compliance=SCCA;Governance.Program=MSAS</x:v>
      </x:c>
    </x:row>
    <x:row r="18" ht="64">
      <x:c r="A18" s="390" t="str">
        <x:v>Ashburn</x:v>
      </x:c>
      <x:c r="B18" s="390" t="str">
        <x:v>DataWalk-Admins</x:v>
      </x:c>
      <x:c r="C18" s="390" t="str">
        <x:v>Administrators scoped to DataWalk Dev, Test and Prod</x:v>
      </x:c>
      <x:c r="D18" s="390"/>
      <x:c r="E18" s="390"/>
      <x:c r="F18" s="390"/>
      <x:c r="G18" s="390" t="str">
        <x:v>Governance.ManagedBy=CD3;Governance.Compliance=SCCA;Governance.Project=DataWalk</x:v>
      </x:c>
    </x:row>
    <x:row r="19">
      <x:c r="A19" s="361" t="str">
        <x:v>Ashburn</x:v>
      </x:c>
      <x:c r="B19" s="361" t="str">
        <x:v>Hyperscience-Admins</x:v>
      </x:c>
      <x:c r="C19" s="361" t="str">
        <x:v>Administrators scoped to Hyperscience Dev and Prod</x:v>
      </x:c>
      <x:c r="D19" s="361"/>
      <x:c r="E19" s="361"/>
      <x:c r="F19" s="361"/>
      <x:c r="G19" s="361" t="str">
        <x:v>Governance.ManagedBy=CD3;Governance.Compliance=SCCA;Governance.Project=Hyperscience</x:v>
      </x:c>
    </x:row>
    <x:row r="20">
      <x:c r="A20" s="361" t="str">
        <x:v>Ashburn</x:v>
      </x:c>
      <x:c r="B20" s="361" t="str">
        <x:v>Sandbox-Admins</x:v>
      </x:c>
      <x:c r="C20" s="361" t="str">
        <x:v>Administrators scoped to the restricted Sandbox compartment</x:v>
      </x:c>
      <x:c r="D20" s="361"/>
      <x:c r="E20" s="361"/>
      <x:c r="F20" s="361"/>
      <x:c r="G20" s="361" t="str">
        <x:v>Governance.ManagedBy=CD3;Governance.Compliance=SCCA</x:v>
      </x:c>
    </x:row>
    <x:row r="21">
      <x:c r="A21" s="361" t="str">
        <x:v>Ashburn</x:v>
      </x:c>
      <x:c r="B21" s="361" t="str">
        <x:v>Auditor-Exchange-Admins</x:v>
      </x:c>
      <x:c r="C21" s="361" t="str">
        <x:v>Manage controlled evidence exchange with the separate Auditor tenancy</x:v>
      </x:c>
      <x:c r="D21" s="361"/>
      <x:c r="E21" s="361"/>
      <x:c r="F21" s="361"/>
      <x:c r="G21" s="361" t="str">
        <x:v>Governance.ManagedBy=CD3;Governance.Compliance=SCCA</x:v>
      </x:c>
    </x:row>
    <x:row r="22">
      <x:c r="A22" t="str">
        <x:v>Ashburn</x:v>
      </x:c>
      <x:c r="B22" t="str">
        <x:v>BreakGlass-Admins</x:v>
      </x:c>
      <x:c r="C22" t="str">
        <x:v>Emergency cloud-local administrators; never federate from ADFS</x:v>
      </x:c>
      <x:c r="D22"/>
      <x:c r="E22"/>
      <x:c r="F22"/>
      <x:c r="G22" t="str">
        <x:v>Governance.ManagedBy=Manual;Governance.Compliance=SCCA</x:v>
      </x:c>
    </x:row>
    <x:row r="23">
      <x:c r="A23" t="str">
        <x:v>Ashburn</x:v>
      </x:c>
      <x:c r="B23" t="str">
        <x:v>CD3-ORM-Dynamic-Group</x:v>
      </x:c>
      <x:c r="C23" t="str">
        <x:v>Resource principal group for approved Resource Manager stacks</x:v>
      </x:c>
      <x:c r="D23"/>
      <x:c r="E23"/>
      <x:c r="F23" t="str">
        <x:v>ALL {resource.type = 'ormstack', resource.compartment.id = '&lt;REPLACE_ORM_COMPARTMENT_OCID&gt;'}</x:v>
      </x:c>
      <x:c r="G23" t="str">
        <x:v>Governance.ManagedBy=CD3;Governance.Compliance=SCCA</x:v>
      </x:c>
    </x:row>
    <x:row r="24">
      <x:c r="A24" t="str">
        <x:v>&lt;END&gt;</x:v>
      </x:c>
    </x:row>
  </x:sheetData>
  <x:mergeCells>
    <x:mergeCell ref="A1:G1"/>
  </x:mergeCells>
  <x:dataValidations count="3">
    <x:dataValidation allowBlank="1" sqref="F15:F18 B19:D1048576 B15:C18 B3:B14 D3:D14 C3:C12 C14"/>
    <x:dataValidation showInputMessage="1" showErrorMessage="1" sqref="H1:XFD2 C13"/>
    <x:dataValidation allowBlank="1" prompt="Specify the defined tag key and its value in the format - &lt;Namespace&gt;.&lt;TagKey&gt;=&lt;Value&gt; else leave it empty._x000a_Multiple Tag Key , Values can be specified using semi colon (;) as the delimeter. _x000a_Example: Operations.CostCenter=01;Users.Name=user01" sqref="E3:E1048576"/>
  </x:dataValidations>
  <x:pageMargins left="0.7" right="0.7" top="0.75" bottom="0.75" header="0.3" footer="0.3"/>
</x:worksheet>
</file>

<file path=xl/worksheets/sheet4.xml><?xml version="1.0" encoding="utf-8"?>
<x:worksheet xmlns:x="http://schemas.openxmlformats.org/spreadsheetml/2006/main">
  <x:sheetPr>
    <x:tabColor theme="4" tint="0.59999"/>
  </x:sheetPr>
  <x:sheetFormatPr baseColWidth="10" defaultColWidth="8.83203125" defaultRowHeight="156.75"/>
  <x:cols>
    <x:col min="1" max="1" width="9.1640625" customWidth="1"/>
    <x:col min="2" max="2" width="16.5" customWidth="1"/>
    <x:col min="3" max="3" width="32" customWidth="1"/>
    <x:col min="4" max="4" width="31.33203125" customWidth="1"/>
    <x:col min="5" max="6" width="23.6640625" customWidth="1"/>
    <x:col min="7" max="7" width="23.83203125" customWidth="1"/>
    <x:col min="8" max="8" width="13" style="33" customWidth="1"/>
  </x:cols>
  <x:sheetData>
    <x:row r="1" s="40" customFormat="1" ht="166" customHeight="1">
      <x:c r="A1" s="145" t="s">
        <x:v>11</x:v>
      </x:c>
      <x:c r="B1" s="147"/>
      <x:c r="C1" s="147"/>
      <x:c r="D1" s="147"/>
      <x:c r="E1" s="147"/>
      <x:c r="F1" s="147"/>
      <x:c r="G1" s="147"/>
      <x:c r="H1" s="148"/>
    </x:row>
    <x:row r="2" ht="14.5" customHeight="1">
      <x:c r="A2" s="26" t="s">
        <x:v>2</x:v>
      </x:c>
      <x:c r="B2" s="26" t="s">
        <x:v>12</x:v>
      </x:c>
      <x:c r="C2" s="26" t="s">
        <x:v>13</x:v>
      </x:c>
      <x:c r="D2" s="26" t="s">
        <x:v>4</x:v>
      </x:c>
      <x:c r="E2" s="6" t="s">
        <x:v>14</x:v>
      </x:c>
      <x:c r="F2" s="6" t="s">
        <x:v>15</x:v>
      </x:c>
      <x:c r="G2" s="125" t="s">
        <x:v>8</x:v>
      </x:c>
      <x:c r="H2" s="26" t="s">
        <x:v>6</x:v>
      </x:c>
    </x:row>
    <x:row r="3" ht="15">
      <x:c r="A3" s="33" t="str">
        <x:v>&lt;END&gt;</x:v>
      </x:c>
      <x:c r="B3" s="33"/>
      <x:c r="C3" s="33"/>
      <x:c r="D3" s="33"/>
      <x:c r="E3" s="33"/>
      <x:c r="F3" s="33"/>
      <x:c r="G3" s="73"/>
    </x:row>
    <x:row r="4" ht="14.5" customHeight="1">
      <x:c r="A4" s="33"/>
      <x:c r="B4" s="33"/>
      <x:c r="C4" s="33"/>
      <x:c r="D4" s="33"/>
      <x:c r="E4" s="33"/>
      <x:c r="F4" s="33"/>
      <x:c r="G4" s="73"/>
    </x:row>
    <x:row r="5" ht="14.5" customHeight="1">
      <x:c r="A5" s="33"/>
      <x:c r="B5" s="33"/>
      <x:c r="C5" s="33"/>
      <x:c r="D5" s="33"/>
      <x:c r="E5" s="33"/>
      <x:c r="F5" s="33"/>
      <x:c r="G5" s="73"/>
    </x:row>
    <x:row r="6" ht="14.5" customHeight="1">
      <x:c r="A6" s="33"/>
      <x:c r="B6" s="33"/>
      <x:c r="C6" s="33"/>
      <x:c r="D6" s="33"/>
      <x:c r="E6" s="33"/>
      <x:c r="F6" s="33"/>
      <x:c r="G6" s="73"/>
    </x:row>
    <x:row r="7" ht="14.5" customHeight="1">
      <x:c r="A7" s="33"/>
      <x:c r="B7" s="33"/>
      <x:c r="C7" s="33"/>
      <x:c r="D7" s="33"/>
      <x:c r="E7" s="33"/>
      <x:c r="F7" s="33"/>
      <x:c r="G7" s="73"/>
    </x:row>
    <x:row r="8" ht="14.5" customHeight="1">
      <x:c r="A8" s="33"/>
      <x:c r="B8" s="33"/>
      <x:c r="C8" s="33"/>
      <x:c r="D8" s="33"/>
      <x:c r="E8" s="33"/>
      <x:c r="F8" s="33"/>
      <x:c r="G8" s="73"/>
    </x:row>
    <x:row r="9" ht="14.5" customHeight="1">
      <x:c r="A9" s="33"/>
      <x:c r="B9" s="33"/>
      <x:c r="C9" s="33"/>
      <x:c r="D9" s="33"/>
      <x:c r="E9" s="33"/>
      <x:c r="F9" s="33"/>
      <x:c r="G9" s="73"/>
    </x:row>
    <x:row r="10" ht="14.5" customHeight="1">
      <x:c r="A10" s="33"/>
      <x:c r="B10" s="33"/>
      <x:c r="C10" s="33"/>
      <x:c r="D10" s="33"/>
      <x:c r="E10" s="33"/>
      <x:c r="F10" s="33"/>
      <x:c r="G10" s="73"/>
    </x:row>
    <x:row r="11" ht="14.5" customHeight="1">
      <x:c r="A11" s="33"/>
      <x:c r="B11" s="33"/>
      <x:c r="C11" s="33"/>
      <x:c r="D11" s="33"/>
      <x:c r="E11" s="33"/>
      <x:c r="F11" s="33"/>
      <x:c r="G11" s="73"/>
    </x:row>
    <x:row r="12" ht="14.5" customHeight="1">
      <x:c r="A12" s="33"/>
      <x:c r="B12" s="33"/>
      <x:c r="C12" s="33"/>
      <x:c r="D12" s="33"/>
      <x:c r="E12" s="33"/>
      <x:c r="F12" s="33"/>
      <x:c r="G12" s="73"/>
    </x:row>
    <x:row r="13" ht="14.5" customHeight="1">
      <x:c r="A13" s="33"/>
      <x:c r="B13" s="33"/>
      <x:c r="C13" s="33"/>
      <x:c r="D13" s="33"/>
      <x:c r="E13" s="33"/>
      <x:c r="F13" s="33"/>
      <x:c r="G13" s="73"/>
    </x:row>
    <x:row r="14" ht="14.5" customHeight="1">
      <x:c r="A14" s="33"/>
      <x:c r="B14" s="33"/>
      <x:c r="C14" s="33"/>
      <x:c r="D14" s="33"/>
      <x:c r="E14" s="33"/>
      <x:c r="F14" s="33"/>
      <x:c r="G14" s="73"/>
    </x:row>
    <x:row r="15" ht="14.5" customHeight="1">
      <x:c r="A15" s="33"/>
      <x:c r="B15" s="33"/>
      <x:c r="C15" s="33"/>
      <x:c r="D15" s="33"/>
      <x:c r="E15" s="33"/>
      <x:c r="F15" s="33"/>
      <x:c r="G15" s="73"/>
    </x:row>
    <x:row r="16" ht="14.5" customHeight="1">
      <x:c r="A16" s="33"/>
      <x:c r="B16" s="33"/>
      <x:c r="C16" s="33"/>
      <x:c r="D16" s="33"/>
      <x:c r="E16" s="33"/>
      <x:c r="F16" s="33"/>
      <x:c r="G16" s="73"/>
    </x:row>
    <x:row r="17" ht="14.5" customHeight="1">
      <x:c r="A17" s="33"/>
      <x:c r="B17" s="33"/>
      <x:c r="C17" s="33"/>
      <x:c r="D17" s="33"/>
      <x:c r="E17" s="33"/>
      <x:c r="F17" s="33"/>
      <x:c r="G17" s="73"/>
    </x:row>
    <x:row r="18" ht="14.5" customHeight="1">
      <x:c r="A18" s="33"/>
      <x:c r="B18" s="33"/>
      <x:c r="C18" s="33"/>
      <x:c r="D18" s="33"/>
      <x:c r="E18" s="33"/>
      <x:c r="F18" s="33"/>
      <x:c r="G18" s="73"/>
    </x:row>
    <x:row r="19" ht="14.5" customHeight="1">
      <x:c r="A19" s="33"/>
      <x:c r="B19" s="33"/>
      <x:c r="C19" s="33"/>
      <x:c r="D19" s="33"/>
      <x:c r="E19" s="33"/>
      <x:c r="F19" s="33"/>
      <x:c r="G19" s="73"/>
    </x:row>
    <x:row r="20" ht="14.5" customHeight="1">
      <x:c r="A20" s="33"/>
      <x:c r="B20" s="33"/>
      <x:c r="C20" s="33"/>
      <x:c r="D20" s="33"/>
      <x:c r="E20" s="33"/>
      <x:c r="F20" s="33"/>
      <x:c r="G20" s="73"/>
    </x:row>
    <x:row r="21" ht="14.5" customHeight="1">
      <x:c r="A21" s="33"/>
      <x:c r="B21" s="33"/>
      <x:c r="C21" s="33"/>
      <x:c r="D21" s="33"/>
      <x:c r="E21" s="33"/>
      <x:c r="F21" s="33"/>
      <x:c r="G21" s="73"/>
    </x:row>
    <x:row r="22" ht="14.5" customHeight="1">
      <x:c r="A22" s="33"/>
      <x:c r="B22" s="33"/>
      <x:c r="C22" s="33"/>
      <x:c r="D22" s="33"/>
      <x:c r="E22" s="33"/>
      <x:c r="F22" s="33"/>
      <x:c r="G22" s="73"/>
    </x:row>
    <x:row r="23" ht="14.5" customHeight="1">
      <x:c r="A23" s="33"/>
      <x:c r="B23" s="33"/>
      <x:c r="C23" s="33"/>
      <x:c r="D23" s="33"/>
      <x:c r="E23" s="33"/>
      <x:c r="F23" s="33"/>
      <x:c r="G23" s="73"/>
    </x:row>
    <x:row r="24" ht="14.5" customHeight="1">
      <x:c r="A24" s="33"/>
      <x:c r="B24" s="33"/>
      <x:c r="C24" s="33"/>
      <x:c r="D24" s="33"/>
      <x:c r="E24" s="33"/>
      <x:c r="F24" s="33"/>
      <x:c r="G24" s="73"/>
    </x:row>
    <x:row r="25" ht="14.5" customHeight="1">
      <x:c r="A25" s="33"/>
      <x:c r="B25" s="33"/>
      <x:c r="C25" s="33"/>
      <x:c r="D25" s="33"/>
      <x:c r="E25" s="33"/>
      <x:c r="F25" s="33"/>
      <x:c r="G25" s="73"/>
    </x:row>
    <x:row r="26" ht="14.5" customHeight="1">
      <x:c r="A26" s="33"/>
      <x:c r="B26" s="33"/>
      <x:c r="C26" s="33"/>
      <x:c r="D26" s="33"/>
      <x:c r="E26" s="33"/>
      <x:c r="F26" s="33"/>
      <x:c r="G26" s="73"/>
    </x:row>
    <x:row r="27" ht="14.5" customHeight="1">
      <x:c r="A27" s="33"/>
      <x:c r="B27" s="33"/>
      <x:c r="C27" s="33"/>
      <x:c r="D27" s="33"/>
      <x:c r="E27" s="33"/>
      <x:c r="F27" s="33"/>
      <x:c r="G27" s="73"/>
    </x:row>
    <x:row r="28" ht="14.5" customHeight="1">
      <x:c r="A28" s="33"/>
      <x:c r="B28" s="33"/>
      <x:c r="C28" s="33"/>
      <x:c r="D28" s="33"/>
      <x:c r="E28" s="33"/>
      <x:c r="F28" s="33"/>
      <x:c r="G28" s="73"/>
    </x:row>
    <x:row r="29" ht="14.5" customHeight="1">
      <x:c r="A29" s="33"/>
      <x:c r="B29" s="33"/>
      <x:c r="C29" s="33"/>
      <x:c r="D29" s="33"/>
      <x:c r="E29" s="33"/>
      <x:c r="F29" s="33"/>
      <x:c r="G29" s="73"/>
    </x:row>
    <x:row r="30" ht="14.5" customHeight="1">
      <x:c r="A30" s="33"/>
      <x:c r="B30" s="33"/>
      <x:c r="C30" s="33"/>
      <x:c r="D30" s="33"/>
      <x:c r="E30" s="33"/>
      <x:c r="F30" s="33"/>
      <x:c r="G30" s="73"/>
    </x:row>
    <x:row r="31" ht="14.5" customHeight="1">
      <x:c r="A31" s="33"/>
      <x:c r="B31" s="33"/>
      <x:c r="C31" s="33"/>
      <x:c r="D31" s="33"/>
      <x:c r="E31" s="33"/>
      <x:c r="F31" s="33"/>
      <x:c r="G31" s="73"/>
    </x:row>
    <x:row r="32" ht="14.5" customHeight="1">
      <x:c r="A32" s="33"/>
      <x:c r="B32" s="33"/>
      <x:c r="C32" s="33"/>
      <x:c r="D32" s="33"/>
      <x:c r="E32" s="33"/>
      <x:c r="F32" s="33"/>
      <x:c r="G32" s="73"/>
    </x:row>
    <x:row r="33" ht="14.5" customHeight="1">
      <x:c r="A33" s="33"/>
      <x:c r="B33" s="33"/>
      <x:c r="C33" s="33"/>
      <x:c r="D33" s="33"/>
      <x:c r="E33" s="33"/>
      <x:c r="F33" s="33"/>
      <x:c r="G33" s="73"/>
    </x:row>
    <x:row r="34" ht="14.5" customHeight="1">
      <x:c r="A34" s="33"/>
      <x:c r="B34" s="33"/>
      <x:c r="C34" s="33"/>
      <x:c r="D34" s="33"/>
      <x:c r="E34" s="33"/>
      <x:c r="F34" s="33"/>
      <x:c r="G34" s="73"/>
    </x:row>
    <x:row r="35" ht="14.5" customHeight="1">
      <x:c r="A35" s="33"/>
      <x:c r="B35" s="33"/>
      <x:c r="C35" s="33"/>
      <x:c r="D35" s="33"/>
      <x:c r="E35" s="33"/>
      <x:c r="F35" s="33"/>
      <x:c r="G35" s="73"/>
    </x:row>
    <x:row r="36" ht="14.5" customHeight="1">
      <x:c r="A36" s="33"/>
      <x:c r="B36" s="33"/>
      <x:c r="C36" s="33"/>
      <x:c r="D36" s="33"/>
      <x:c r="E36" s="33"/>
      <x:c r="F36" s="33"/>
      <x:c r="G36" s="73"/>
    </x:row>
    <x:row r="37" ht="14.5" customHeight="1">
      <x:c r="A37" s="33"/>
      <x:c r="B37" s="33"/>
      <x:c r="C37" s="33"/>
      <x:c r="D37" s="33"/>
      <x:c r="E37" s="33"/>
      <x:c r="F37" s="33"/>
      <x:c r="G37" s="73"/>
    </x:row>
    <x:row r="38" ht="14.5" customHeight="1">
      <x:c r="A38" s="33"/>
      <x:c r="B38" s="33"/>
      <x:c r="C38" s="33"/>
      <x:c r="D38" s="33"/>
      <x:c r="E38" s="33"/>
      <x:c r="F38" s="33"/>
      <x:c r="G38" s="73"/>
    </x:row>
    <x:row r="39" ht="14.5" customHeight="1">
      <x:c r="A39" s="33"/>
      <x:c r="B39" s="33"/>
      <x:c r="C39" s="33"/>
      <x:c r="D39" s="33"/>
      <x:c r="E39" s="33"/>
      <x:c r="F39" s="33"/>
      <x:c r="G39" s="73"/>
    </x:row>
    <x:row r="40" ht="14.5" customHeight="1">
      <x:c r="A40" s="33"/>
      <x:c r="B40" s="33"/>
      <x:c r="C40" s="33"/>
      <x:c r="D40" s="33"/>
      <x:c r="E40" s="33"/>
      <x:c r="F40" s="33"/>
      <x:c r="G40" s="73"/>
    </x:row>
    <x:row r="41" ht="14.5" customHeight="1">
      <x:c r="A41" s="33"/>
      <x:c r="B41" s="33"/>
      <x:c r="C41" s="33"/>
      <x:c r="D41" s="33"/>
      <x:c r="E41" s="33"/>
      <x:c r="F41" s="33"/>
      <x:c r="G41" s="73"/>
    </x:row>
    <x:row r="42" ht="14.5" customHeight="1">
      <x:c r="A42" s="33"/>
      <x:c r="B42" s="33"/>
      <x:c r="C42" s="33"/>
      <x:c r="D42" s="33"/>
      <x:c r="E42" s="33"/>
      <x:c r="F42" s="33"/>
      <x:c r="G42" s="73"/>
    </x:row>
    <x:row r="43" ht="14.5" customHeight="1">
      <x:c r="A43" s="33"/>
      <x:c r="B43" s="33"/>
      <x:c r="C43" s="33"/>
      <x:c r="D43" s="33"/>
      <x:c r="E43" s="33"/>
      <x:c r="F43" s="33"/>
      <x:c r="G43" s="73"/>
    </x:row>
    <x:row r="44" ht="14.5" customHeight="1">
      <x:c r="A44" s="33"/>
      <x:c r="B44" s="33"/>
      <x:c r="C44" s="33"/>
      <x:c r="D44" s="33"/>
      <x:c r="E44" s="33"/>
      <x:c r="F44" s="33"/>
      <x:c r="G44" s="73"/>
    </x:row>
    <x:row r="45" ht="14.5" customHeight="1">
      <x:c r="A45" s="33"/>
      <x:c r="B45" s="33"/>
      <x:c r="C45" s="33"/>
      <x:c r="D45" s="33"/>
      <x:c r="E45" s="33"/>
      <x:c r="F45" s="33"/>
      <x:c r="G45" s="73"/>
    </x:row>
    <x:row r="46" ht="14.5" customHeight="1">
      <x:c r="A46" s="33"/>
      <x:c r="B46" s="33"/>
      <x:c r="C46" s="33"/>
      <x:c r="D46" s="33"/>
      <x:c r="E46" s="33"/>
      <x:c r="F46" s="33"/>
      <x:c r="G46" s="73"/>
    </x:row>
    <x:row r="47" ht="14.5" customHeight="1">
      <x:c r="A47" s="33"/>
      <x:c r="B47" s="33"/>
      <x:c r="C47" s="33"/>
      <x:c r="D47" s="33"/>
      <x:c r="E47" s="33"/>
      <x:c r="F47" s="33"/>
      <x:c r="G47" s="73"/>
    </x:row>
    <x:row r="48" ht="14.5" customHeight="1">
      <x:c r="A48" s="33"/>
      <x:c r="B48" s="33"/>
      <x:c r="C48" s="33"/>
      <x:c r="D48" s="33"/>
      <x:c r="E48" s="33"/>
      <x:c r="F48" s="33"/>
      <x:c r="G48" s="73"/>
    </x:row>
    <x:row r="49" ht="14.5" customHeight="1">
      <x:c r="A49" s="33"/>
      <x:c r="B49" s="33"/>
      <x:c r="C49" s="33"/>
      <x:c r="D49" s="33"/>
      <x:c r="E49" s="33"/>
      <x:c r="F49" s="33"/>
      <x:c r="G49" s="73"/>
    </x:row>
    <x:row r="50" ht="14.5" customHeight="1">
      <x:c r="A50" s="33"/>
      <x:c r="B50" s="33"/>
      <x:c r="C50" s="33"/>
      <x:c r="D50" s="33"/>
      <x:c r="E50" s="33"/>
      <x:c r="F50" s="33"/>
      <x:c r="G50" s="73"/>
    </x:row>
    <x:row r="51" ht="14.5" customHeight="1">
      <x:c r="A51" s="33"/>
      <x:c r="B51" s="33"/>
      <x:c r="C51" s="33"/>
      <x:c r="D51" s="33"/>
      <x:c r="E51" s="33"/>
      <x:c r="F51" s="33"/>
      <x:c r="G51" s="73"/>
    </x:row>
    <x:row r="52" ht="14.5" customHeight="1">
      <x:c r="A52" s="33"/>
      <x:c r="B52" s="33"/>
      <x:c r="C52" s="33"/>
      <x:c r="D52" s="33"/>
      <x:c r="E52" s="33"/>
      <x:c r="F52" s="33"/>
      <x:c r="G52" s="73"/>
    </x:row>
    <x:row r="53" ht="14.5" customHeight="1">
      <x:c r="A53" s="33"/>
      <x:c r="B53" s="33"/>
      <x:c r="C53" s="33"/>
      <x:c r="D53" s="33"/>
      <x:c r="E53" s="33"/>
      <x:c r="F53" s="33"/>
      <x:c r="G53" s="73"/>
    </x:row>
    <x:row r="54" ht="14.5" customHeight="1">
      <x:c r="A54" s="33"/>
      <x:c r="B54" s="33"/>
      <x:c r="C54" s="33"/>
      <x:c r="D54" s="33"/>
      <x:c r="E54" s="33"/>
      <x:c r="F54" s="33"/>
      <x:c r="G54" s="73"/>
    </x:row>
    <x:row r="55" ht="14.5" customHeight="1">
      <x:c r="A55" s="33"/>
      <x:c r="B55" s="33"/>
      <x:c r="C55" s="33"/>
      <x:c r="D55" s="33"/>
      <x:c r="E55" s="33"/>
      <x:c r="F55" s="33"/>
      <x:c r="G55" s="73"/>
    </x:row>
    <x:row r="56" ht="14.5" customHeight="1">
      <x:c r="A56" s="33"/>
      <x:c r="B56" s="33"/>
      <x:c r="C56" s="33"/>
      <x:c r="D56" s="33"/>
      <x:c r="E56" s="33"/>
      <x:c r="F56" s="33"/>
      <x:c r="G56" s="73"/>
    </x:row>
    <x:row r="57" ht="14.5" customHeight="1">
      <x:c r="A57" s="33"/>
      <x:c r="B57" s="33"/>
      <x:c r="C57" s="33"/>
      <x:c r="D57" s="33"/>
      <x:c r="E57" s="33"/>
      <x:c r="F57" s="33"/>
      <x:c r="G57" s="73"/>
    </x:row>
    <x:row r="58" ht="14.5" customHeight="1">
      <x:c r="A58" s="33"/>
      <x:c r="B58" s="33"/>
      <x:c r="C58" s="33"/>
      <x:c r="D58" s="33"/>
      <x:c r="E58" s="33"/>
      <x:c r="F58" s="33"/>
      <x:c r="G58" s="73"/>
    </x:row>
    <x:row r="59" ht="14.5" customHeight="1">
      <x:c r="A59" s="33"/>
      <x:c r="B59" s="33"/>
      <x:c r="C59" s="33"/>
      <x:c r="D59" s="33"/>
      <x:c r="E59" s="33"/>
      <x:c r="F59" s="33"/>
      <x:c r="G59" s="73"/>
    </x:row>
    <x:row r="60" ht="14.5" customHeight="1">
      <x:c r="A60" s="33"/>
      <x:c r="B60" s="33"/>
      <x:c r="C60" s="33"/>
      <x:c r="D60" s="33"/>
      <x:c r="E60" s="33"/>
      <x:c r="F60" s="33"/>
      <x:c r="G60" s="73"/>
    </x:row>
    <x:row r="61" ht="14.5" customHeight="1">
      <x:c r="A61" s="33"/>
      <x:c r="B61" s="33"/>
      <x:c r="C61" s="33"/>
      <x:c r="D61" s="33"/>
      <x:c r="E61" s="33"/>
      <x:c r="F61" s="33"/>
      <x:c r="G61" s="73"/>
    </x:row>
    <x:row r="62" ht="14.5" customHeight="1">
      <x:c r="A62" s="33"/>
      <x:c r="B62" s="33"/>
      <x:c r="C62" s="33"/>
      <x:c r="D62" s="33"/>
      <x:c r="E62" s="33"/>
      <x:c r="F62" s="33"/>
      <x:c r="G62" s="73"/>
    </x:row>
    <x:row r="63" ht="14.5" customHeight="1">
      <x:c r="A63" s="33"/>
      <x:c r="B63" s="33"/>
      <x:c r="C63" s="33"/>
      <x:c r="D63" s="33"/>
      <x:c r="E63" s="33"/>
      <x:c r="F63" s="33"/>
      <x:c r="G63" s="73"/>
    </x:row>
    <x:row r="64" ht="14.5" customHeight="1">
      <x:c r="A64" s="33"/>
      <x:c r="B64" s="33"/>
      <x:c r="C64" s="33"/>
      <x:c r="D64" s="33"/>
      <x:c r="E64" s="33"/>
      <x:c r="F64" s="33"/>
      <x:c r="G64" s="73"/>
    </x:row>
    <x:row r="65" ht="14.5" customHeight="1">
      <x:c r="A65" s="33"/>
      <x:c r="B65" s="33"/>
      <x:c r="C65" s="33"/>
      <x:c r="D65" s="33"/>
      <x:c r="E65" s="33"/>
      <x:c r="F65" s="33"/>
      <x:c r="G65" s="73"/>
    </x:row>
    <x:row r="66" ht="14.5" customHeight="1">
      <x:c r="A66" s="33"/>
      <x:c r="B66" s="33"/>
      <x:c r="C66" s="33"/>
      <x:c r="D66" s="33"/>
      <x:c r="E66" s="33"/>
      <x:c r="F66" s="33"/>
      <x:c r="G66" s="73"/>
    </x:row>
    <x:row r="67" ht="14.5" customHeight="1">
      <x:c r="A67" s="33"/>
      <x:c r="B67" s="33"/>
      <x:c r="C67" s="33"/>
      <x:c r="D67" s="33"/>
      <x:c r="E67" s="33"/>
      <x:c r="F67" s="33"/>
      <x:c r="G67" s="73"/>
    </x:row>
    <x:row r="68" ht="14.5" customHeight="1">
      <x:c r="A68" s="33"/>
      <x:c r="B68" s="33"/>
      <x:c r="C68" s="33"/>
      <x:c r="D68" s="33"/>
      <x:c r="E68" s="33"/>
      <x:c r="F68" s="33"/>
      <x:c r="G68" s="73"/>
    </x:row>
    <x:row r="69" ht="14.5" customHeight="1">
      <x:c r="A69" s="33"/>
      <x:c r="B69" s="33"/>
      <x:c r="C69" s="33"/>
      <x:c r="D69" s="33"/>
      <x:c r="E69" s="33"/>
      <x:c r="F69" s="33"/>
      <x:c r="G69" s="73"/>
    </x:row>
    <x:row r="70" ht="14.5" customHeight="1">
      <x:c r="A70" s="33"/>
      <x:c r="B70" s="33"/>
      <x:c r="C70" s="33"/>
      <x:c r="D70" s="33"/>
      <x:c r="E70" s="33"/>
      <x:c r="F70" s="33"/>
      <x:c r="G70" s="73"/>
    </x:row>
    <x:row r="71" ht="14.5" customHeight="1">
      <x:c r="A71" s="33"/>
      <x:c r="B71" s="33"/>
      <x:c r="C71" s="33"/>
      <x:c r="D71" s="33"/>
      <x:c r="E71" s="33"/>
      <x:c r="F71" s="33"/>
      <x:c r="G71" s="73"/>
    </x:row>
    <x:row r="72" ht="14.5" customHeight="1">
      <x:c r="A72" s="33"/>
      <x:c r="B72" s="33"/>
      <x:c r="C72" s="33"/>
      <x:c r="D72" s="33"/>
      <x:c r="E72" s="33"/>
      <x:c r="F72" s="33"/>
      <x:c r="G72" s="73"/>
    </x:row>
    <x:row r="73" ht="14.5" customHeight="1">
      <x:c r="A73" s="33"/>
      <x:c r="B73" s="33"/>
      <x:c r="C73" s="33"/>
      <x:c r="D73" s="33"/>
      <x:c r="E73" s="33"/>
      <x:c r="F73" s="33"/>
      <x:c r="G73" s="73"/>
    </x:row>
    <x:row r="74" ht="14.5" customHeight="1">
      <x:c r="A74" s="33"/>
      <x:c r="B74" s="33"/>
      <x:c r="C74" s="33"/>
      <x:c r="D74" s="33"/>
      <x:c r="E74" s="33"/>
      <x:c r="F74" s="33"/>
      <x:c r="G74" s="73"/>
    </x:row>
    <x:row r="75" ht="14.5" customHeight="1">
      <x:c r="A75" s="33"/>
      <x:c r="B75" s="33"/>
      <x:c r="C75" s="33"/>
      <x:c r="D75" s="33"/>
      <x:c r="E75" s="33"/>
      <x:c r="F75" s="33"/>
      <x:c r="G75" s="73"/>
    </x:row>
    <x:row r="76" ht="14.5" customHeight="1">
      <x:c r="A76" s="33"/>
      <x:c r="B76" s="33"/>
      <x:c r="C76" s="33"/>
      <x:c r="D76" s="33"/>
      <x:c r="E76" s="33"/>
      <x:c r="F76" s="33"/>
      <x:c r="G76" s="73"/>
    </x:row>
    <x:row r="77" ht="14.5" customHeight="1">
      <x:c r="A77" s="33"/>
      <x:c r="B77" s="33"/>
      <x:c r="C77" s="33"/>
      <x:c r="D77" s="33"/>
      <x:c r="E77" s="33"/>
      <x:c r="F77" s="33"/>
      <x:c r="G77" s="73"/>
    </x:row>
    <x:row r="78" ht="14.5" customHeight="1">
      <x:c r="A78" s="33"/>
      <x:c r="B78" s="33"/>
      <x:c r="C78" s="33"/>
      <x:c r="D78" s="33"/>
      <x:c r="E78" s="33"/>
      <x:c r="F78" s="33"/>
      <x:c r="G78" s="73"/>
    </x:row>
    <x:row r="79" ht="14.5" customHeight="1">
      <x:c r="A79" s="33"/>
      <x:c r="B79" s="33"/>
      <x:c r="C79" s="33"/>
      <x:c r="D79" s="33"/>
      <x:c r="E79" s="33"/>
      <x:c r="F79" s="33"/>
      <x:c r="G79" s="73"/>
    </x:row>
    <x:row r="80" ht="14.5" customHeight="1">
      <x:c r="A80" s="33"/>
      <x:c r="B80" s="33"/>
      <x:c r="C80" s="33"/>
      <x:c r="D80" s="33"/>
      <x:c r="E80" s="33"/>
      <x:c r="F80" s="33"/>
      <x:c r="G80" s="73"/>
    </x:row>
    <x:row r="81" ht="14.5" customHeight="1">
      <x:c r="A81" s="33"/>
      <x:c r="B81" s="33"/>
      <x:c r="C81" s="33"/>
      <x:c r="D81" s="33"/>
      <x:c r="E81" s="33"/>
      <x:c r="F81" s="33"/>
      <x:c r="G81" s="73"/>
    </x:row>
    <x:row r="82" ht="14.5" customHeight="1">
      <x:c r="A82" s="33"/>
      <x:c r="B82" s="33"/>
      <x:c r="C82" s="33"/>
      <x:c r="D82" s="33"/>
      <x:c r="E82" s="33"/>
      <x:c r="F82" s="33"/>
      <x:c r="G82" s="73"/>
    </x:row>
    <x:row r="83" ht="14.5" customHeight="1">
      <x:c r="A83" s="33"/>
      <x:c r="B83" s="33"/>
      <x:c r="C83" s="33"/>
      <x:c r="D83" s="33"/>
      <x:c r="E83" s="33"/>
      <x:c r="F83" s="33"/>
      <x:c r="G83" s="73"/>
    </x:row>
    <x:row r="84" ht="14.5" customHeight="1">
      <x:c r="A84" s="33"/>
      <x:c r="B84" s="33"/>
      <x:c r="C84" s="33"/>
      <x:c r="D84" s="33"/>
      <x:c r="E84" s="33"/>
      <x:c r="F84" s="33"/>
      <x:c r="G84" s="73"/>
    </x:row>
    <x:row r="85" ht="14.5" customHeight="1">
      <x:c r="A85" s="33"/>
      <x:c r="B85" s="33"/>
      <x:c r="C85" s="33"/>
      <x:c r="D85" s="33"/>
      <x:c r="E85" s="33"/>
      <x:c r="F85" s="33"/>
      <x:c r="G85" s="73"/>
    </x:row>
    <x:row r="86" ht="14.5" customHeight="1">
      <x:c r="A86" s="33"/>
      <x:c r="B86" s="33"/>
      <x:c r="C86" s="33"/>
      <x:c r="D86" s="33"/>
      <x:c r="E86" s="33"/>
      <x:c r="F86" s="33"/>
      <x:c r="G86" s="73"/>
    </x:row>
    <x:row r="87" ht="14.5" customHeight="1">
      <x:c r="A87" s="33"/>
      <x:c r="B87" s="33"/>
      <x:c r="C87" s="33"/>
      <x:c r="D87" s="33"/>
      <x:c r="E87" s="33"/>
      <x:c r="F87" s="33"/>
      <x:c r="G87" s="73"/>
    </x:row>
    <x:row r="88" ht="14.5" customHeight="1">
      <x:c r="A88" s="33"/>
      <x:c r="B88" s="33"/>
      <x:c r="C88" s="33"/>
      <x:c r="D88" s="33"/>
      <x:c r="E88" s="33"/>
      <x:c r="F88" s="33"/>
      <x:c r="G88" s="73"/>
    </x:row>
    <x:row r="89" ht="14.5" customHeight="1">
      <x:c r="A89" s="33"/>
      <x:c r="B89" s="33"/>
      <x:c r="C89" s="33"/>
      <x:c r="D89" s="33"/>
      <x:c r="E89" s="33"/>
      <x:c r="F89" s="33"/>
      <x:c r="G89" s="73"/>
    </x:row>
    <x:row r="90" ht="14.5" customHeight="1">
      <x:c r="A90" s="33"/>
      <x:c r="B90" s="33"/>
      <x:c r="C90" s="33"/>
      <x:c r="D90" s="33"/>
      <x:c r="E90" s="33"/>
      <x:c r="F90" s="33"/>
      <x:c r="G90" s="73"/>
    </x:row>
    <x:row r="91" ht="14.5" customHeight="1">
      <x:c r="A91" s="33"/>
      <x:c r="B91" s="33"/>
      <x:c r="C91" s="33"/>
      <x:c r="D91" s="33"/>
      <x:c r="E91" s="33"/>
      <x:c r="F91" s="33"/>
      <x:c r="G91" s="73"/>
    </x:row>
    <x:row r="92" ht="14.5" customHeight="1">
      <x:c r="A92" s="33"/>
      <x:c r="B92" s="33"/>
      <x:c r="C92" s="33"/>
      <x:c r="D92" s="33"/>
      <x:c r="E92" s="33"/>
      <x:c r="F92" s="33"/>
      <x:c r="G92" s="73"/>
    </x:row>
    <x:row r="93" ht="14.5" customHeight="1">
      <x:c r="A93" s="33"/>
      <x:c r="B93" s="33"/>
      <x:c r="C93" s="33"/>
      <x:c r="D93" s="33"/>
      <x:c r="E93" s="33"/>
      <x:c r="F93" s="33"/>
      <x:c r="G93" s="73"/>
    </x:row>
    <x:row r="94" ht="14.5" customHeight="1">
      <x:c r="A94" s="33"/>
      <x:c r="B94" s="33"/>
      <x:c r="C94" s="33"/>
      <x:c r="D94" s="33"/>
      <x:c r="E94" s="33"/>
      <x:c r="F94" s="33"/>
      <x:c r="G94" s="73"/>
    </x:row>
    <x:row r="95" ht="14.5" customHeight="1">
      <x:c r="A95" s="33"/>
      <x:c r="B95" s="33"/>
      <x:c r="C95" s="33"/>
      <x:c r="D95" s="33"/>
      <x:c r="E95" s="33"/>
      <x:c r="F95" s="33"/>
      <x:c r="G95" s="73"/>
    </x:row>
    <x:row r="96" ht="14.5" customHeight="1">
      <x:c r="A96" s="33"/>
      <x:c r="B96" s="33"/>
      <x:c r="C96" s="33"/>
      <x:c r="D96" s="33"/>
      <x:c r="E96" s="33"/>
      <x:c r="F96" s="33"/>
      <x:c r="G96" s="73"/>
    </x:row>
    <x:row r="97" ht="14.5" customHeight="1">
      <x:c r="A97" s="33"/>
      <x:c r="B97" s="33"/>
      <x:c r="C97" s="33"/>
      <x:c r="D97" s="33"/>
      <x:c r="E97" s="33"/>
      <x:c r="F97" s="33"/>
      <x:c r="G97" s="73"/>
    </x:row>
    <x:row r="98" ht="14.5" customHeight="1">
      <x:c r="A98" s="33"/>
      <x:c r="B98" s="33"/>
      <x:c r="C98" s="33"/>
      <x:c r="D98" s="33"/>
      <x:c r="E98" s="33"/>
      <x:c r="F98" s="33"/>
      <x:c r="G98" s="73"/>
    </x:row>
    <x:row r="99" ht="14.5" customHeight="1">
      <x:c r="A99" s="33"/>
      <x:c r="B99" s="33"/>
      <x:c r="C99" s="33"/>
      <x:c r="D99" s="33"/>
      <x:c r="E99" s="33"/>
      <x:c r="F99" s="33"/>
      <x:c r="G99" s="73"/>
    </x:row>
    <x:row r="100" ht="14.5" customHeight="1">
      <x:c r="A100" s="33"/>
      <x:c r="B100" s="33"/>
      <x:c r="C100" s="33"/>
      <x:c r="D100" s="33"/>
      <x:c r="E100" s="33"/>
      <x:c r="F100" s="33"/>
      <x:c r="G100" s="73"/>
    </x:row>
    <x:row r="101" ht="14.5" customHeight="1">
      <x:c r="A101" s="33"/>
      <x:c r="B101" s="33"/>
      <x:c r="C101" s="33"/>
      <x:c r="D101" s="33"/>
      <x:c r="E101" s="33"/>
      <x:c r="F101" s="33"/>
      <x:c r="G101" s="73"/>
    </x:row>
    <x:row r="102" ht="14.5" customHeight="1"/>
    <x:row r="103" ht="14.5" customHeight="1"/>
    <x:row r="104" ht="14.5" customHeight="1"/>
    <x:row r="105" ht="14.5" customHeight="1"/>
  </x:sheetData>
  <x:mergeCells>
    <x:mergeCell ref="A1:H1"/>
  </x:mergeCells>
  <x:dataValidations count="1">
    <x:dataValidation allowBlank="1" sqref="B3:XFD1048576"/>
  </x:dataValidations>
  <x:pageMargins left="0.7" right="0.7" top="0.75" bottom="0.75" header="0.3" footer="0.3"/>
</x:worksheet>
</file>

<file path=xl/worksheets/sheet5.xml><?xml version="1.0" encoding="utf-8"?>
<x:worksheet xmlns:x="http://schemas.openxmlformats.org/spreadsheetml/2006/main">
  <x:sheetPr>
    <x:tabColor theme="4" tint="0.59999"/>
  </x:sheetPr>
  <x:sheetFormatPr baseColWidth="10" defaultColWidth="8.83203125" defaultRowHeight="15"/>
  <x:cols>
    <x:col min="1" max="1" width="8.83203125" customWidth="1"/>
    <x:col min="2" max="2" width="14.5" customWidth="1"/>
    <x:col min="3" max="3" width="17.1640625" customWidth="1"/>
    <x:col min="4" max="4" width="22.83203125" customWidth="1"/>
    <x:col min="5" max="5" width="25.1640625" customWidth="1"/>
    <x:col min="6" max="6" width="23.33203125" customWidth="1"/>
  </x:cols>
  <x:sheetData>
    <x:row r="1" s="40" customFormat="1" ht="134.25" customHeight="1">
      <x:c r="A1" s="145" t="s">
        <x:v>16</x:v>
      </x:c>
      <x:c r="B1" s="147"/>
      <x:c r="C1" s="147"/>
      <x:c r="D1" s="147"/>
      <x:c r="E1" s="147"/>
      <x:c r="F1" s="148"/>
    </x:row>
    <x:row r="2">
      <x:c r="A2" s="26" t="s">
        <x:v>2</x:v>
      </x:c>
      <x:c r="B2" s="26" t="s">
        <x:v>3</x:v>
      </x:c>
      <x:c r="C2" s="26" t="s">
        <x:v>4</x:v>
      </x:c>
      <x:c r="D2" s="26" t="s">
        <x:v>17</x:v>
      </x:c>
      <x:c r="E2" s="26" t="s">
        <x:v>18</x:v>
      </x:c>
      <x:c r="F2" s="26" t="s">
        <x:v>6</x:v>
      </x:c>
    </x:row>
    <x:row r="3">
      <x:c r="A3" t="str">
        <x:v>Ashburn</x:v>
      </x:c>
      <x:c r="B3" t="str">
        <x:v>SCCA-Corporate-Network</x:v>
      </x:c>
      <x:c r="C3" t="str">
        <x:v>Approved enterprise source ranges</x:v>
      </x:c>
      <x:c r="D3" t="str">
        <x:v>PUBLIC</x:v>
      </x:c>
      <x:c r="E3" t="str">
        <x:v>10.0.0.0/8</x:v>
      </x:c>
      <x:c r="F3" t="str">
        <x:v>Governance.Environment=Shared;Governance.ManagedBy=CD3;Governance.Compliance=SCCA</x:v>
      </x:c>
    </x:row>
    <x:row r="4">
      <x:c r="A4" t="str">
        <x:v>&lt;END&gt;</x:v>
      </x:c>
    </x:row>
  </x:sheetData>
  <x:mergeCells>
    <x:mergeCell ref="A1:F1"/>
  </x:mergeCells>
  <x:pageMargins left="0.7" right="0.7" top="0.75" bottom="0.75" header="0.3" footer="0.3"/>
</x:worksheet>
</file>

<file path=xl/worksheets/sheet6.xml><?xml version="1.0" encoding="utf-8"?>
<x:worksheet xmlns:x="http://schemas.openxmlformats.org/spreadsheetml/2006/main">
  <x:sheetPr>
    <x:tabColor theme="4" tint="0.59999"/>
  </x:sheetPr>
  <x:sheetFormatPr baseColWidth="10" defaultColWidth="8.83203125" defaultRowHeight="15"/>
  <x:cols>
    <x:col min="1" max="1" width="9.1640625" customWidth="1"/>
    <x:col min="2" max="2" width="17.1640625" customWidth="1"/>
    <x:col min="3" max="3" width="7.6640625" customWidth="1"/>
    <x:col min="4" max="4" width="19.83203125" customWidth="1"/>
    <x:col min="5" max="5" width="49.5" customWidth="1"/>
    <x:col min="6" max="7" width="28.5" customWidth="1"/>
    <x:col min="8" max="8" width="24.5" customWidth="1"/>
  </x:cols>
  <x:sheetData>
    <x:row r="1" s="40" customFormat="1" ht="131" customHeight="1">
      <x:c r="A1" s="145" t="s">
        <x:v>19</x:v>
      </x:c>
      <x:c r="B1" s="145"/>
      <x:c r="C1" s="145"/>
      <x:c r="D1" s="145"/>
      <x:c r="E1" s="145"/>
      <x:c r="F1" s="145"/>
      <x:c r="G1" s="145"/>
      <x:c r="H1" s="145"/>
    </x:row>
    <x:row r="2" s="40" customFormat="1">
      <x:c r="A2" s="5" t="s">
        <x:v>2</x:v>
      </x:c>
      <x:c r="B2" s="5" t="s">
        <x:v>3</x:v>
      </x:c>
      <x:c r="C2" s="6" t="s">
        <x:v>20</x:v>
      </x:c>
      <x:c r="D2" s="6" t="s">
        <x:v>4</x:v>
      </x:c>
      <x:c r="E2" s="6" t="s">
        <x:v>21</x:v>
      </x:c>
      <x:c r="F2" s="6" t="s">
        <x:v>22</x:v>
      </x:c>
      <x:c r="G2" s="6" t="s">
        <x:v>23</x:v>
      </x:c>
      <x:c r="H2" s="26" t="s">
        <x:v>6</x:v>
      </x:c>
    </x:row>
    <x:row r="3" ht="69.75" customHeight="1">
      <x:c r="A3" s="32" t="str">
        <x:v>Ashburn</x:v>
      </x:c>
      <x:c r="B3" s="76" t="str">
        <x:v>EBLZ-Workforce-Baseline</x:v>
      </x:c>
      <x:c r="C3" s="32" t="str">
        <x:v>root</x:v>
      </x:c>
      <x:c r="D3" s="32" t="str">
        <x:v>Read-only baseline for all approved workforce groups</x:v>
      </x:c>
      <x:c r="E3" s="32" t="str">
        <x:v>Allow group IAM-Governance-Admins,VDMS-Platform-Admins,VDSS-Security-Admins,Network-Admins,CloudOps,EntOps,SecOps,Security-Auditors,ORM-Deployment-Admins,AppDev,DevOps,Database-Admins,FinOps,Program-Admins-CDAS,Program-Admins-MSAS,DataWalk-Admins,Hyperscience-Admins,Sandbox-Admins,Auditor-Exchange-Admins to inspect compartments in tenancy</x:v>
      </x:c>
      <x:c r="F3" s="32"/>
      <x:c r="G3" s="32"/>
      <x:c r="H3" s="32" t="str">
        <x:v>Governance.ManagedBy=CD3;Governance.Compliance=SCCA</x:v>
      </x:c>
    </x:row>
    <x:row r="4" ht="69.75" customHeight="1">
      <x:c r="A4" s="32"/>
      <x:c r="B4" s="32"/>
      <x:c r="C4" s="32"/>
      <x:c r="D4" s="32"/>
      <x:c r="E4" s="32" t="str">
        <x:v>Allow group IAM-Governance-Admins,VDMS-Platform-Admins,VDSS-Security-Admins,Network-Admins,CloudOps,EntOps,SecOps,Security-Auditors,ORM-Deployment-Admins,AppDev,DevOps,Database-Admins,FinOps,Program-Admins-CDAS,Program-Admins-MSAS,DataWalk-Admins,Hyperscience-Admins,Sandbox-Admins,Auditor-Exchange-Admins to read announcements in tenancy</x:v>
      </x:c>
      <x:c r="F4" s="32"/>
      <x:c r="G4" s="32"/>
      <x:c r="H4" s="32"/>
    </x:row>
    <x:row r="5" ht="48">
      <x:c r="A5" s="32"/>
      <x:c r="B5" s="32"/>
      <x:c r="C5" s="32"/>
      <x:c r="D5" s="32"/>
      <x:c r="E5" s="32" t="str">
        <x:v>Allow group IAM-Governance-Admins,VDMS-Platform-Admins,VDSS-Security-Admins,Network-Admins,CloudOps,EntOps,SecOps,Security-Auditors,ORM-Deployment-Admins,AppDev,DevOps,Database-Admins,FinOps,Program-Admins-CDAS,Program-Admins-MSAS,DataWalk-Admins,Hyperscience-Admins,Sandbox-Admins,Auditor-Exchange-Admins to read tag-namespaces in tenancy</x:v>
      </x:c>
      <x:c r="F5" s="32"/>
      <x:c r="G5" s="32"/>
      <x:c r="H5" s="32"/>
    </x:row>
    <x:row r="6" ht="32">
      <x:c r="A6" s="32"/>
      <x:c r="B6" s="32"/>
      <x:c r="C6" s="32"/>
      <x:c r="D6" s="32"/>
      <x:c r="E6" s="32" t="str">
        <x:v>Allow group IAM-Governance-Admins,VDMS-Platform-Admins,VDSS-Security-Admins,Network-Admins,CloudOps,EntOps,SecOps,Security-Auditors,ORM-Deployment-Admins,AppDev,DevOps,Database-Admins,FinOps,Program-Admins-CDAS,Program-Admins-MSAS,DataWalk-Admins,Hyperscience-Admins,Sandbox-Admins,Auditor-Exchange-Admins to read usage-budgets in tenancy</x:v>
      </x:c>
      <x:c r="F6" s="32"/>
      <x:c r="G6" s="32"/>
      <x:c r="H6" s="32"/>
    </x:row>
    <x:row r="7" ht="32">
      <x:c r="A7" s="32"/>
      <x:c r="B7" s="32"/>
      <x:c r="C7" s="32"/>
      <x:c r="D7" s="32"/>
      <x:c r="E7" s="32" t="str">
        <x:v>Allow group IAM-Governance-Admins,VDMS-Platform-Admins,VDSS-Security-Admins,Network-Admins,CloudOps,EntOps,SecOps,Security-Auditors,ORM-Deployment-Admins,AppDev,DevOps,Database-Admins,FinOps,Program-Admins-CDAS,Program-Admins-MSAS,DataWalk-Admins,Hyperscience-Admins,Sandbox-Admins,Auditor-Exchange-Admins to use cloud-shell in tenancy</x:v>
      </x:c>
      <x:c r="F7" s="32"/>
      <x:c r="G7" s="32"/>
      <x:c r="H7" s="32"/>
    </x:row>
    <x:row r="8" ht="102.75" customHeight="1">
      <x:c r="A8" s="32" t="str">
        <x:v>Ashburn</x:v>
      </x:c>
      <x:c r="B8" s="76" t="str">
        <x:v>EBLZ-IAM-Governance-Admins</x:v>
      </x:c>
      <x:c r="C8" s="32" t="str">
        <x:v>root</x:v>
      </x:c>
      <x:c r="D8" s="32" t="str">
        <x:v>Governance administration without credential administration</x:v>
      </x:c>
      <x:c r="E8" s="32" t="str">
        <x:v>Allow group IAM-Governance-Admins to manage policies in tenancy</x:v>
      </x:c>
      <x:c r="F8" s="32"/>
      <x:c r="G8" s="32"/>
      <x:c r="H8" s="32" t="str">
        <x:v>Governance.ManagedBy=CD3;Governance.Compliance=SCCA</x:v>
      </x:c>
    </x:row>
    <x:row r="9" ht="29.25" customHeight="1">
      <x:c r="A9" s="32"/>
      <x:c r="B9" s="32"/>
      <x:c r="C9" s="32"/>
      <x:c r="D9" s="32"/>
      <x:c r="E9" s="32" t="str">
        <x:v>Allow group IAM-Governance-Admins to manage compartments in tenancy</x:v>
      </x:c>
      <x:c r="F9" s="32"/>
      <x:c r="G9" s="32"/>
      <x:c r="H9" s="32"/>
    </x:row>
    <x:row r="10" ht="29.25" customHeight="1">
      <x:c r="A10" s="32"/>
      <x:c r="B10" s="32"/>
      <x:c r="C10" s="32"/>
      <x:c r="D10" s="32"/>
      <x:c r="E10" s="32" t="str">
        <x:v>Allow group IAM-Governance-Admins to inspect users in tenancy</x:v>
      </x:c>
      <x:c r="F10" s="32"/>
      <x:c r="G10" s="32"/>
      <x:c r="H10" s="32"/>
    </x:row>
    <x:row r="11" ht="29.25" customHeight="1">
      <x:c r="A11" s="32"/>
      <x:c r="B11" s="32"/>
      <x:c r="C11" s="32"/>
      <x:c r="D11" s="32"/>
      <x:c r="E11" s="32" t="str">
        <x:v>Allow group IAM-Governance-Admins to inspect groups in tenancy</x:v>
      </x:c>
      <x:c r="F11" s="32"/>
      <x:c r="G11" s="32"/>
      <x:c r="H11" s="32"/>
    </x:row>
    <x:row r="12" ht="29.25" customHeight="1">
      <x:c r="A12" s="32"/>
      <x:c r="B12" s="32"/>
      <x:c r="C12" s="32"/>
      <x:c r="D12" s="32"/>
      <x:c r="E12" s="32" t="str">
        <x:v>Allow group IAM-Governance-Admins to manage groups in tenancy where target.group.name != 'Administrators'</x:v>
      </x:c>
      <x:c r="F12" s="32"/>
      <x:c r="G12" s="32"/>
      <x:c r="H12" s="32"/>
    </x:row>
    <x:row r="13" ht="29.25" customHeight="1">
      <x:c r="A13" s="32"/>
      <x:c r="B13" s="32"/>
      <x:c r="C13" s="32"/>
      <x:c r="D13" s="32"/>
      <x:c r="E13" s="32" t="str">
        <x:v>Allow group IAM-Governance-Admins to manage dynamic-groups in tenancy</x:v>
      </x:c>
      <x:c r="F13" s="32"/>
      <x:c r="G13" s="32"/>
      <x:c r="H13" s="32"/>
    </x:row>
    <x:row r="14" ht="29.25" customHeight="1">
      <x:c r="A14" s="32"/>
      <x:c r="B14" s="32"/>
      <x:c r="C14" s="32"/>
      <x:c r="D14" s="32"/>
      <x:c r="E14" s="32" t="str">
        <x:v>Allow group IAM-Governance-Admins to manage network-sources in tenancy</x:v>
      </x:c>
      <x:c r="F14" s="32"/>
      <x:c r="G14" s="32"/>
      <x:c r="H14" s="32"/>
    </x:row>
    <x:row r="15" ht="29.25" customHeight="1">
      <x:c r="A15" s="32"/>
      <x:c r="B15" s="32"/>
      <x:c r="C15" s="32"/>
      <x:c r="D15" s="32"/>
      <x:c r="E15" s="32" t="str">
        <x:v>Allow group IAM-Governance-Admins to manage quota in tenancy</x:v>
      </x:c>
      <x:c r="F15" s="32"/>
      <x:c r="G15" s="32"/>
      <x:c r="H15" s="32"/>
    </x:row>
    <x:row r="16" ht="29.25" customHeight="1">
      <x:c r="A16" s="32"/>
      <x:c r="B16" s="32"/>
      <x:c r="C16" s="32"/>
      <x:c r="D16" s="32"/>
      <x:c r="E16" s="32" t="str">
        <x:v>Allow group IAM-Governance-Admins to manage tag-defaults in tenancy</x:v>
      </x:c>
      <x:c r="F16" s="32"/>
      <x:c r="G16" s="32"/>
      <x:c r="H16" s="32"/>
    </x:row>
    <x:row r="17" ht="29.25" customHeight="1">
      <x:c r="A17" s="32"/>
      <x:c r="B17" s="32"/>
      <x:c r="C17" s="32"/>
      <x:c r="D17" s="32"/>
      <x:c r="E17" s="32" t="str">
        <x:v>Allow group IAM-Governance-Admins to manage tag-namespaces in tenancy</x:v>
      </x:c>
      <x:c r="F17" s="32"/>
      <x:c r="G17" s="32"/>
      <x:c r="H17" s="32"/>
    </x:row>
    <x:row r="18" ht="80">
      <x:c r="A18" s="32"/>
      <x:c r="B18" s="32"/>
      <x:c r="C18" s="32"/>
      <x:c r="D18" s="32"/>
      <x:c r="E18" s="32" t="str">
        <x:v>Allow group IAM-Governance-Admins to read audit-events in tenancy</x:v>
      </x:c>
      <x:c r="F18" s="32"/>
      <x:c r="G18" s="32"/>
      <x:c r="H18" s="32"/>
    </x:row>
    <x:row r="19" ht="48">
      <x:c r="A19" s="32" t="str">
        <x:v>Ashburn</x:v>
      </x:c>
      <x:c r="B19" s="32" t="str">
        <x:v>EBLZ-ORM-Human-Operators</x:v>
      </x:c>
      <x:c r="C19" s="32" t="str">
        <x:v>root</x:v>
      </x:c>
      <x:c r="D19" s="32" t="str">
        <x:v>Human operation of approved OCI Resource Manager stacks</x:v>
      </x:c>
      <x:c r="E19" s="32" t="str">
        <x:v>Allow group ORM-Deployment-Admins to manage orm-stacks in compartment EBLZ</x:v>
      </x:c>
      <x:c r="F19" s="32"/>
      <x:c r="G19" s="32"/>
      <x:c r="H19" s="32" t="str">
        <x:v>Governance.ManagedBy=CD3;Governance.Compliance=SCCA</x:v>
      </x:c>
    </x:row>
    <x:row r="20" ht="112">
      <x:c r="A20" s="32"/>
      <x:c r="B20" s="32"/>
      <x:c r="C20" s="32"/>
      <x:c r="D20" s="32"/>
      <x:c r="E20" s="32" t="str">
        <x:v>Allow group ORM-Deployment-Admins to manage orm-jobs in compartment EBLZ</x:v>
      </x:c>
      <x:c r="F20" s="32"/>
      <x:c r="G20" s="32"/>
      <x:c r="H20" s="32"/>
    </x:row>
    <x:row r="21" ht="29.25" customHeight="1">
      <x:c r="A21" s="32"/>
      <x:c r="B21" s="32"/>
      <x:c r="C21" s="32"/>
      <x:c r="D21" s="32"/>
      <x:c r="E21" s="32" t="str">
        <x:v>Allow group ORM-Deployment-Admins to manage orm-config-source-providers in compartment EBLZ</x:v>
      </x:c>
      <x:c r="F21" s="32"/>
      <x:c r="G21" s="32"/>
      <x:c r="H21" s="32"/>
    </x:row>
    <x:row r="22" ht="29.25" customHeight="1">
      <x:c r="A22" s="32"/>
      <x:c r="B22" s="32"/>
      <x:c r="C22" s="32"/>
      <x:c r="D22" s="32"/>
      <x:c r="E22" s="32" t="str">
        <x:v>Allow group ORM-Deployment-Admins to manage orm-private-endpoints in compartment EBLZ</x:v>
      </x:c>
      <x:c r="F22" s="32"/>
      <x:c r="G22" s="32"/>
      <x:c r="H22" s="32"/>
    </x:row>
    <x:row r="23" ht="29.25" customHeight="1">
      <x:c r="A23" s="32"/>
      <x:c r="B23" s="32"/>
      <x:c r="C23" s="32"/>
      <x:c r="D23" s="32"/>
      <x:c r="E23" s="32" t="str">
        <x:v>Allow group ORM-Deployment-Admins to read all-resources in compartment EBLZ</x:v>
      </x:c>
      <x:c r="F23" s="32"/>
      <x:c r="G23" s="32"/>
      <x:c r="H23" s="32"/>
    </x:row>
    <x:row r="24" ht="29.25" customHeight="1">
      <x:c r="A24" s="32"/>
      <x:c r="B24" s="32"/>
      <x:c r="C24" s="32"/>
      <x:c r="D24" s="32"/>
      <x:c r="E24" s="32" t="str">
        <x:v>Allow group ORM-Deployment-Admins to use virtual-network-family in compartment EBLZ</x:v>
      </x:c>
      <x:c r="F24" s="32"/>
      <x:c r="G24" s="32"/>
      <x:c r="H24" s="32"/>
    </x:row>
    <x:row r="25" ht="32">
      <x:c r="A25" s="32" t="str">
        <x:v>Ashburn</x:v>
      </x:c>
      <x:c r="B25" s="32" t="str">
        <x:v>EBLZ-CD3-ORM-Automation</x:v>
      </x:c>
      <x:c r="C25" s="32" t="str">
        <x:v>root</x:v>
      </x:c>
      <x:c r="D25" s="32" t="str">
        <x:v>Resource-principal permissions required for the CD3 governance deployment stack</x:v>
      </x:c>
      <x:c r="E25" s="32" t="str">
        <x:v>Allow dynamic-group CD3-ORM-Dynamic-Group to manage compartments in tenancy</x:v>
      </x:c>
      <x:c r="F25" s="32"/>
      <x:c r="G25" s="32"/>
      <x:c r="H25" s="32" t="str">
        <x:v>Governance.ManagedBy=CD3;Governance.Compliance=SCCA</x:v>
      </x:c>
    </x:row>
    <x:row r="26" ht="29.25" customHeight="1">
      <x:c r="A26" s="32"/>
      <x:c r="B26" s="32"/>
      <x:c r="C26" s="32"/>
      <x:c r="D26" s="32"/>
      <x:c r="E26" s="32" t="str">
        <x:v>Allow dynamic-group CD3-ORM-Dynamic-Group to manage policies in tenancy</x:v>
      </x:c>
      <x:c r="F26" s="32"/>
      <x:c r="G26" s="32"/>
      <x:c r="H26" s="32"/>
    </x:row>
    <x:row r="27" ht="29.25" customHeight="1">
      <x:c r="A27" s="32"/>
      <x:c r="B27" s="32"/>
      <x:c r="C27" s="32"/>
      <x:c r="D27" s="32"/>
      <x:c r="E27" s="32" t="str">
        <x:v>Allow dynamic-group CD3-ORM-Dynamic-Group to manage groups in tenancy</x:v>
      </x:c>
      <x:c r="F27" s="32"/>
      <x:c r="G27" s="32"/>
      <x:c r="H27" s="32"/>
    </x:row>
    <x:row r="28" ht="29.25" customHeight="1">
      <x:c r="A28" s="32"/>
      <x:c r="B28" s="32"/>
      <x:c r="C28" s="32"/>
      <x:c r="D28" s="32"/>
      <x:c r="E28" s="32" t="str">
        <x:v>Allow dynamic-group CD3-ORM-Dynamic-Group to manage dynamic-groups in tenancy</x:v>
      </x:c>
      <x:c r="F28" s="32"/>
      <x:c r="G28" s="32"/>
      <x:c r="H28" s="32"/>
    </x:row>
    <x:row r="29" ht="29.25" customHeight="1">
      <x:c r="A29" s="32"/>
      <x:c r="B29" s="32"/>
      <x:c r="C29" s="32"/>
      <x:c r="D29" s="32"/>
      <x:c r="E29" s="32" t="str">
        <x:v>Allow dynamic-group CD3-ORM-Dynamic-Group to manage tag-namespaces in tenancy</x:v>
      </x:c>
      <x:c r="F29" s="32"/>
      <x:c r="G29" s="32"/>
      <x:c r="H29" s="32"/>
    </x:row>
    <x:row r="30" ht="29.25" customHeight="1">
      <x:c r="A30" s="32"/>
      <x:c r="B30" s="32"/>
      <x:c r="C30" s="32"/>
      <x:c r="D30" s="32"/>
      <x:c r="E30" s="32" t="str">
        <x:v>Allow dynamic-group CD3-ORM-Dynamic-Group to manage tag-defaults in tenancy</x:v>
      </x:c>
      <x:c r="F30" s="32"/>
      <x:c r="G30" s="32"/>
      <x:c r="H30" s="32"/>
    </x:row>
    <x:row r="31" ht="29.25" customHeight="1">
      <x:c r="A31" s="32"/>
      <x:c r="B31" s="32"/>
      <x:c r="C31" s="32"/>
      <x:c r="D31" s="32"/>
      <x:c r="E31" s="32" t="str">
        <x:v>Allow dynamic-group CD3-ORM-Dynamic-Group to manage quota in tenancy</x:v>
      </x:c>
      <x:c r="F31" s="32"/>
      <x:c r="G31" s="32"/>
      <x:c r="H31" s="32"/>
    </x:row>
    <x:row r="32" ht="32">
      <x:c r="A32" s="32"/>
      <x:c r="B32" s="32"/>
      <x:c r="C32" s="32"/>
      <x:c r="D32" s="32"/>
      <x:c r="E32" s="32" t="str">
        <x:v>Allow dynamic-group CD3-ORM-Dynamic-Group to manage usage-budgets in tenancy</x:v>
      </x:c>
      <x:c r="F32" s="32"/>
      <x:c r="G32" s="32"/>
      <x:c r="H32" s="32"/>
    </x:row>
    <x:row r="33" ht="32">
      <x:c r="A33" s="32"/>
      <x:c r="B33" s="32"/>
      <x:c r="C33" s="32"/>
      <x:c r="D33" s="32"/>
      <x:c r="E33" s="32" t="str">
        <x:v>Allow dynamic-group CD3-ORM-Dynamic-Group to manage all-resources in compartment EBLZ</x:v>
      </x:c>
      <x:c r="F33" s="32"/>
      <x:c r="G33" s="32"/>
      <x:c r="H33" s="32"/>
    </x:row>
    <x:row r="34" ht="29.25" customHeight="1">
      <x:c r="A34" s="32" t="str">
        <x:v>Ashburn</x:v>
      </x:c>
      <x:c r="B34" s="32" t="str">
        <x:v>EBLZ-VDMS-Platform-Admins</x:v>
      </x:c>
      <x:c r="C34" s="32" t="str">
        <x:v>EBLZ::VDMS</x:v>
      </x:c>
      <x:c r="D34" s="32" t="str">
        <x:v>VDMS shared services administration</x:v>
      </x:c>
      <x:c r="E34" s="32" t="str">
        <x:v>Allow group VDMS-Platform-Admins to read all-resources in compartment EBLZ:VDMS</x:v>
      </x:c>
      <x:c r="F34" s="32"/>
      <x:c r="G34" s="32"/>
      <x:c r="H34" s="32" t="str">
        <x:v>Governance.ManagedBy=CD3;Governance.Compliance=SCCA</x:v>
      </x:c>
    </x:row>
    <x:row r="35" ht="29.25" customHeight="1">
      <x:c r="A35" s="32"/>
      <x:c r="B35" s="32"/>
      <x:c r="C35" s="32"/>
      <x:c r="D35" s="32"/>
      <x:c r="E35" s="32" t="str">
        <x:v>Allow group VDMS-Platform-Admins to manage instance-family in compartment EBLZ:VDMS</x:v>
      </x:c>
      <x:c r="F35" s="32"/>
      <x:c r="G35" s="32"/>
      <x:c r="H35" s="32"/>
    </x:row>
    <x:row r="36" ht="29.25" customHeight="1">
      <x:c r="A36" s="32"/>
      <x:c r="B36" s="32"/>
      <x:c r="C36" s="32"/>
      <x:c r="D36" s="32"/>
      <x:c r="E36" s="32" t="str">
        <x:v>Allow group VDMS-Platform-Admins to manage volume-family in compartment EBLZ:VDMS</x:v>
      </x:c>
      <x:c r="F36" s="32"/>
      <x:c r="G36" s="32"/>
      <x:c r="H36" s="32"/>
    </x:row>
    <x:row r="37" ht="29.25" customHeight="1">
      <x:c r="A37" s="32"/>
      <x:c r="B37" s="32"/>
      <x:c r="C37" s="32"/>
      <x:c r="D37" s="32"/>
      <x:c r="E37" s="32" t="str">
        <x:v>Allow group VDMS-Platform-Admins to manage object-family in compartment EBLZ:VDMS</x:v>
      </x:c>
      <x:c r="F37" s="32"/>
      <x:c r="G37" s="32"/>
      <x:c r="H37" s="32"/>
    </x:row>
    <x:row r="38" ht="32">
      <x:c r="A38" s="32"/>
      <x:c r="B38" s="32"/>
      <x:c r="C38" s="32"/>
      <x:c r="D38" s="32"/>
      <x:c r="E38" s="32" t="str">
        <x:v>Allow group VDMS-Platform-Admins to manage file-family in compartment EBLZ:VDMS</x:v>
      </x:c>
      <x:c r="F38" s="32"/>
      <x:c r="G38" s="32"/>
      <x:c r="H38" s="32"/>
    </x:row>
    <x:row r="39" ht="32">
      <x:c r="A39" s="32"/>
      <x:c r="B39" s="32"/>
      <x:c r="C39" s="32"/>
      <x:c r="D39" s="32"/>
      <x:c r="E39" s="32" t="str">
        <x:v>Allow group VDMS-Platform-Admins to manage logging-family in compartment EBLZ:VDMS</x:v>
      </x:c>
      <x:c r="F39" s="32"/>
      <x:c r="G39" s="32"/>
      <x:c r="H39" s="32"/>
    </x:row>
    <x:row r="40" ht="32">
      <x:c r="A40" s="32"/>
      <x:c r="B40" s="32"/>
      <x:c r="C40" s="32"/>
      <x:c r="D40" s="32"/>
      <x:c r="E40" s="32" t="str">
        <x:v>Allow group VDMS-Platform-Admins to manage monitoring-family in compartment EBLZ:VDMS</x:v>
      </x:c>
      <x:c r="F40" s="32"/>
      <x:c r="G40" s="32"/>
      <x:c r="H40" s="32"/>
    </x:row>
    <x:row r="41" ht="32">
      <x:c r="A41" s="32"/>
      <x:c r="B41" s="32"/>
      <x:c r="C41" s="32"/>
      <x:c r="D41" s="32"/>
      <x:c r="E41" s="32" t="str">
        <x:v>Allow group VDMS-Platform-Admins to manage alarms in compartment EBLZ:VDMS</x:v>
      </x:c>
      <x:c r="F41" s="32"/>
      <x:c r="G41" s="32"/>
      <x:c r="H41" s="32"/>
    </x:row>
    <x:row r="42" ht="32">
      <x:c r="A42" s="32"/>
      <x:c r="B42" s="32"/>
      <x:c r="C42" s="32"/>
      <x:c r="D42" s="32"/>
      <x:c r="E42" s="32" t="str">
        <x:v>Allow group VDMS-Platform-Admins to manage ons-family in compartment EBLZ:VDMS</x:v>
      </x:c>
      <x:c r="F42" s="32"/>
      <x:c r="G42" s="32"/>
      <x:c r="H42" s="32"/>
    </x:row>
    <x:row r="43" ht="32">
      <x:c r="A43" s="32"/>
      <x:c r="B43" s="32"/>
      <x:c r="C43" s="32"/>
      <x:c r="D43" s="32"/>
      <x:c r="E43" s="32" t="str">
        <x:v>Allow group VDMS-Platform-Admins to use virtual-network-family in compartment EBLZ</x:v>
      </x:c>
      <x:c r="F43" s="32"/>
      <x:c r="G43" s="32"/>
      <x:c r="H43" s="32"/>
    </x:row>
    <x:row r="44" ht="32">
      <x:c r="A44" s="32"/>
      <x:c r="B44" s="32"/>
      <x:c r="C44" s="32"/>
      <x:c r="D44" s="32"/>
      <x:c r="E44" s="32" t="str">
        <x:v>Allow group VDMS-Platform-Admins to use keys in compartment EBLZ:VDSS:Security</x:v>
      </x:c>
      <x:c r="F44" s="32"/>
      <x:c r="G44" s="32"/>
      <x:c r="H44" s="32"/>
    </x:row>
    <x:row r="45" ht="32">
      <x:c r="A45" s="32"/>
      <x:c r="B45" s="32"/>
      <x:c r="C45" s="32"/>
      <x:c r="D45" s="32"/>
      <x:c r="E45" s="32" t="str">
        <x:v>Allow group VDMS-Platform-Admins to read secret-family in compartment EBLZ:VDSS:Security</x:v>
      </x:c>
      <x:c r="F45" s="32"/>
      <x:c r="G45" s="32"/>
      <x:c r="H45" s="32"/>
    </x:row>
    <x:row r="46" ht="32">
      <x:c r="A46" s="32" t="str">
        <x:v>Ashburn</x:v>
      </x:c>
      <x:c r="B46" s="32" t="str">
        <x:v>EBLZ-CloudOps</x:v>
      </x:c>
      <x:c r="C46" s="32" t="str">
        <x:v>EBLZ</x:v>
      </x:c>
      <x:c r="D46" s="32" t="str">
        <x:v>Cloud platform operations with broad read and scoped write access</x:v>
      </x:c>
      <x:c r="E46" s="32" t="str">
        <x:v>Allow group CloudOps to read all-resources in compartment EBLZ</x:v>
      </x:c>
      <x:c r="F46" s="32"/>
      <x:c r="G46" s="32"/>
      <x:c r="H46" s="32" t="str">
        <x:v>Governance.ManagedBy=CD3;Governance.Compliance=SCCA</x:v>
      </x:c>
    </x:row>
    <x:row r="47" ht="32">
      <x:c r="A47" s="32"/>
      <x:c r="B47" s="32"/>
      <x:c r="C47" s="32"/>
      <x:c r="D47" s="32"/>
      <x:c r="E47" s="32" t="str">
        <x:v>Allow group CloudOps to manage instance-family in compartment EBLZ:VDMS</x:v>
      </x:c>
      <x:c r="F47" s="32"/>
      <x:c r="G47" s="32"/>
      <x:c r="H47" s="32"/>
    </x:row>
    <x:row r="48" ht="32">
      <x:c r="A48" s="32"/>
      <x:c r="B48" s="32"/>
      <x:c r="C48" s="32"/>
      <x:c r="D48" s="32"/>
      <x:c r="E48" s="32" t="str">
        <x:v>Allow group CloudOps to manage volume-family in compartment EBLZ:VDMS</x:v>
      </x:c>
      <x:c r="F48" s="32"/>
      <x:c r="G48" s="32"/>
      <x:c r="H48" s="32"/>
    </x:row>
    <x:row r="49" ht="16">
      <x:c r="A49" s="32"/>
      <x:c r="B49" s="32"/>
      <x:c r="C49" s="32"/>
      <x:c r="D49" s="32"/>
      <x:c r="E49" s="32" t="str">
        <x:v>Allow group CloudOps to manage logging-family in compartment EBLZ:VDMS</x:v>
      </x:c>
      <x:c r="F49" s="32"/>
      <x:c r="G49" s="32"/>
      <x:c r="H49" s="32"/>
    </x:row>
    <x:row r="50" ht="16">
      <x:c r="A50" s="32"/>
      <x:c r="B50" s="32"/>
      <x:c r="C50" s="32"/>
      <x:c r="D50" s="32"/>
      <x:c r="E50" s="32" t="str">
        <x:v>Allow group CloudOps to manage monitoring-family in compartment EBLZ</x:v>
      </x:c>
      <x:c r="F50" s="32"/>
      <x:c r="G50" s="32"/>
      <x:c r="H50" s="32"/>
    </x:row>
    <x:row r="51" ht="43.5" customHeight="1">
      <x:c r="A51" s="32"/>
      <x:c r="B51" s="76"/>
      <x:c r="C51" s="32"/>
      <x:c r="D51" s="32"/>
      <x:c r="E51" s="32" t="str">
        <x:v>Allow group CloudOps to manage alarms in compartment EBLZ</x:v>
      </x:c>
      <x:c r="F51" s="32"/>
      <x:c r="G51" s="32"/>
      <x:c r="H51" s="32"/>
    </x:row>
    <x:row r="52" ht="16">
      <x:c r="A52" s="32"/>
      <x:c r="B52" s="32"/>
      <x:c r="C52" s="32"/>
      <x:c r="D52" s="32"/>
      <x:c r="E52" s="32" t="str">
        <x:v>Allow group CloudOps to manage ons-family in compartment EBLZ</x:v>
      </x:c>
      <x:c r="F52" s="32"/>
      <x:c r="G52" s="32"/>
      <x:c r="H52" s="32"/>
    </x:row>
    <x:row r="53" ht="16">
      <x:c r="A53" s="32"/>
      <x:c r="B53" s="32"/>
      <x:c r="C53" s="32"/>
      <x:c r="D53" s="32"/>
      <x:c r="E53" s="32" t="str">
        <x:v>Allow group CloudOps to use virtual-network-family in compartment EBLZ</x:v>
      </x:c>
      <x:c r="F53" s="32"/>
      <x:c r="G53" s="32"/>
      <x:c r="H53" s="32"/>
    </x:row>
    <x:row r="54" ht="16">
      <x:c r="A54" s="32"/>
      <x:c r="B54" s="32"/>
      <x:c r="C54" s="32"/>
      <x:c r="D54" s="32"/>
      <x:c r="E54" s="32" t="str">
        <x:v>Allow group CloudOps to read audit-events in tenancy</x:v>
      </x:c>
      <x:c r="F54" s="32"/>
      <x:c r="G54" s="32"/>
      <x:c r="H54" s="32"/>
    </x:row>
    <x:row r="55" ht="16">
      <x:c r="A55" s="32" t="str">
        <x:v>Ashburn</x:v>
      </x:c>
      <x:c r="B55" s="32" t="str">
        <x:v>EBLZ-EntOps</x:v>
      </x:c>
      <x:c r="C55" s="32" t="str">
        <x:v>EBLZ::VDMS::Operations</x:v>
      </x:c>
      <x:c r="D55" s="32" t="str">
        <x:v>Enterprise operational tooling</x:v>
      </x:c>
      <x:c r="E55" s="32" t="str">
        <x:v>Allow group EntOps to read all-resources in compartment EBLZ</x:v>
      </x:c>
      <x:c r="F55" s="32"/>
      <x:c r="G55" s="32"/>
      <x:c r="H55" s="32" t="str">
        <x:v>Governance.ManagedBy=CD3;Governance.Compliance=SCCA</x:v>
      </x:c>
    </x:row>
    <x:row r="56" ht="16">
      <x:c r="A56" s="32"/>
      <x:c r="B56" s="32"/>
      <x:c r="C56" s="32"/>
      <x:c r="D56" s="32"/>
      <x:c r="E56" s="32" t="str">
        <x:v>Allow group EntOps to manage logging-family in compartment EBLZ:VDMS:Operations</x:v>
      </x:c>
      <x:c r="F56" s="32"/>
      <x:c r="G56" s="32"/>
      <x:c r="H56" s="32"/>
    </x:row>
    <x:row r="57" ht="16">
      <x:c r="A57" s="32"/>
      <x:c r="B57" s="32"/>
      <x:c r="C57" s="32"/>
      <x:c r="D57" s="32"/>
      <x:c r="E57" s="32" t="str">
        <x:v>Allow group EntOps to manage monitoring-family in compartment EBLZ:VDMS:Operations</x:v>
      </x:c>
      <x:c r="F57" s="32"/>
      <x:c r="G57" s="32"/>
      <x:c r="H57" s="32"/>
    </x:row>
    <x:row r="58" ht="29.25" customHeight="1">
      <x:c r="A58" s="32"/>
      <x:c r="B58" s="32"/>
      <x:c r="C58" s="32"/>
      <x:c r="D58" s="32"/>
      <x:c r="E58" s="32" t="str">
        <x:v>Allow group EntOps to manage alarms in compartment EBLZ</x:v>
      </x:c>
      <x:c r="F58" s="32"/>
      <x:c r="G58" s="32"/>
      <x:c r="H58" s="32"/>
    </x:row>
    <x:row r="59" ht="29.25" customHeight="1">
      <x:c r="A59" s="32"/>
      <x:c r="B59" s="32"/>
      <x:c r="C59" s="32"/>
      <x:c r="D59" s="32"/>
      <x:c r="E59" s="32" t="str">
        <x:v>Allow group EntOps to manage ons-family in compartment EBLZ</x:v>
      </x:c>
      <x:c r="F59" s="32"/>
      <x:c r="G59" s="32"/>
      <x:c r="H59" s="32"/>
    </x:row>
    <x:row r="60" ht="29.25" customHeight="1">
      <x:c r="A60" s="32"/>
      <x:c r="B60" s="32"/>
      <x:c r="C60" s="32"/>
      <x:c r="D60" s="32"/>
      <x:c r="E60" s="32" t="str">
        <x:v>Allow group EntOps to manage management-agents in compartment EBLZ:VDMS</x:v>
      </x:c>
      <x:c r="F60" s="32"/>
      <x:c r="G60" s="32"/>
      <x:c r="H60" s="32"/>
    </x:row>
    <x:row r="61" ht="29.25" customHeight="1">
      <x:c r="A61" s="32"/>
      <x:c r="B61" s="32"/>
      <x:c r="C61" s="32"/>
      <x:c r="D61" s="32"/>
      <x:c r="E61" s="32" t="str">
        <x:v>Allow group EntOps to read instance-agent-plugins in compartment EBLZ</x:v>
      </x:c>
      <x:c r="F61" s="32"/>
      <x:c r="G61" s="32"/>
      <x:c r="H61" s="32"/>
    </x:row>
    <x:row r="62" ht="16">
      <x:c r="A62" s="32" t="str">
        <x:v>Ashburn</x:v>
      </x:c>
      <x:c r="B62" s="32" t="str">
        <x:v>EBLZ-Network-Admins</x:v>
      </x:c>
      <x:c r="C62" s="32" t="str">
        <x:v>EBLZ</x:v>
      </x:c>
      <x:c r="D62" s="32" t="str">
        <x:v>Network administration across the landing zone</x:v>
      </x:c>
      <x:c r="E62" s="32" t="str">
        <x:v>Allow group Network-Admins to manage virtual-network-family in compartment EBLZ</x:v>
      </x:c>
      <x:c r="F62" s="32"/>
      <x:c r="G62" s="32"/>
      <x:c r="H62" s="32" t="str">
        <x:v>Governance.ManagedBy=CD3;Governance.Compliance=SCCA</x:v>
      </x:c>
    </x:row>
    <x:row r="63" ht="16">
      <x:c r="A63" s="32"/>
      <x:c r="B63" s="32"/>
      <x:c r="C63" s="32"/>
      <x:c r="D63" s="32"/>
      <x:c r="E63" s="32" t="str">
        <x:v>Allow group Network-Admins to manage dns in compartment EBLZ</x:v>
      </x:c>
      <x:c r="F63" s="32"/>
      <x:c r="G63" s="32"/>
      <x:c r="H63" s="32"/>
    </x:row>
    <x:row r="64" ht="16">
      <x:c r="A64" s="32"/>
      <x:c r="B64" s="32"/>
      <x:c r="C64" s="32"/>
      <x:c r="D64" s="32"/>
      <x:c r="E64" s="32" t="str">
        <x:v>Allow group Network-Admins to manage load-balancers in compartment EBLZ</x:v>
      </x:c>
      <x:c r="F64" s="32"/>
      <x:c r="G64" s="32"/>
      <x:c r="H64" s="32"/>
    </x:row>
    <x:row r="65" ht="16">
      <x:c r="A65" s="32"/>
      <x:c r="B65" s="32"/>
      <x:c r="C65" s="32"/>
      <x:c r="D65" s="32"/>
      <x:c r="E65" s="32" t="str">
        <x:v>Allow group Network-Admins to manage network-firewall-family in compartment EBLZ:VDSS:Network</x:v>
      </x:c>
      <x:c r="F65" s="32"/>
      <x:c r="G65" s="32"/>
      <x:c r="H65" s="32"/>
    </x:row>
    <x:row r="66" ht="16">
      <x:c r="A66" s="32"/>
      <x:c r="B66" s="32"/>
      <x:c r="C66" s="32"/>
      <x:c r="D66" s="32"/>
      <x:c r="E66" s="32" t="str">
        <x:v>Allow group Network-Admins to read work-requests in compartment EBLZ</x:v>
      </x:c>
      <x:c r="F66" s="32"/>
      <x:c r="G66" s="32"/>
      <x:c r="H66" s="32"/>
    </x:row>
    <x:row r="67" ht="16">
      <x:c r="A67" s="32"/>
      <x:c r="B67" s="32"/>
      <x:c r="C67" s="32"/>
      <x:c r="D67" s="32"/>
      <x:c r="E67" s="32" t="str">
        <x:v>Allow group Network-Admins to use keys in compartment EBLZ:VDSS:Security</x:v>
      </x:c>
      <x:c r="F67" s="32"/>
      <x:c r="G67" s="32"/>
      <x:c r="H67" s="32"/>
    </x:row>
    <x:row r="68" ht="16">
      <x:c r="A68" s="32" t="str">
        <x:v>Ashburn</x:v>
      </x:c>
      <x:c r="B68" s="32" t="str">
        <x:v>EBLZ-VDSS-Security-Admins</x:v>
      </x:c>
      <x:c r="C68" s="32" t="str">
        <x:v>root</x:v>
      </x:c>
      <x:c r="D68" s="32" t="str">
        <x:v>VDSS security administration</x:v>
      </x:c>
      <x:c r="E68" s="32" t="str">
        <x:v>Allow group VDSS-Security-Admins to inspect all-resources in tenancy</x:v>
      </x:c>
      <x:c r="F68" s="32"/>
      <x:c r="G68" s="32"/>
      <x:c r="H68" s="32" t="str">
        <x:v>Governance.ManagedBy=CD3;Governance.Compliance=SCCA</x:v>
      </x:c>
    </x:row>
    <x:row r="69" ht="16">
      <x:c r="A69" s="32"/>
      <x:c r="B69" s="32"/>
      <x:c r="C69" s="32"/>
      <x:c r="D69" s="32"/>
      <x:c r="E69" s="32" t="str">
        <x:v>Allow group VDSS-Security-Admins to manage cloud-guard-family in tenancy</x:v>
      </x:c>
      <x:c r="F69" s="32"/>
      <x:c r="G69" s="32"/>
      <x:c r="H69" s="32"/>
    </x:row>
    <x:row r="70" ht="16">
      <x:c r="A70" s="32"/>
      <x:c r="B70" s="32"/>
      <x:c r="C70" s="32"/>
      <x:c r="D70" s="32"/>
      <x:c r="E70" s="32" t="str">
        <x:v>Allow group VDSS-Security-Admins to manage vulnerability-scanning-family in compartment EBLZ</x:v>
      </x:c>
      <x:c r="F70" s="32"/>
      <x:c r="G70" s="32"/>
      <x:c r="H70" s="32"/>
    </x:row>
    <x:row r="71" ht="16">
      <x:c r="A71" s="32"/>
      <x:c r="B71" s="32"/>
      <x:c r="C71" s="32"/>
      <x:c r="D71" s="32"/>
      <x:c r="E71" s="32" t="str">
        <x:v>Allow group VDSS-Security-Admins to manage security-zone in compartment EBLZ</x:v>
      </x:c>
      <x:c r="F71" s="32"/>
      <x:c r="G71" s="32"/>
      <x:c r="H71" s="32"/>
    </x:row>
    <x:row r="72" ht="48">
      <x:c r="A72" s="32"/>
      <x:c r="B72" s="32"/>
      <x:c r="C72" s="32"/>
      <x:c r="D72" s="32"/>
      <x:c r="E72" s="32" t="str">
        <x:v>Allow group VDSS-Security-Admins to manage vaults in compartment EBLZ:VDSS:Security</x:v>
      </x:c>
      <x:c r="F72" s="32"/>
      <x:c r="G72" s="32"/>
      <x:c r="H72" s="32"/>
    </x:row>
    <x:row r="73" ht="16">
      <x:c r="A73" s="32"/>
      <x:c r="B73" s="32"/>
      <x:c r="C73" s="32"/>
      <x:c r="D73" s="32"/>
      <x:c r="E73" s="32" t="str">
        <x:v>Allow group VDSS-Security-Admins to manage keys in compartment EBLZ:VDSS:Security</x:v>
      </x:c>
      <x:c r="F73" s="32"/>
      <x:c r="G73" s="32"/>
      <x:c r="H73" s="32"/>
    </x:row>
    <x:row r="74" ht="16">
      <x:c r="A74" s="32"/>
      <x:c r="B74" s="32"/>
      <x:c r="C74" s="32"/>
      <x:c r="D74" s="32"/>
      <x:c r="E74" s="32" t="str">
        <x:v>Allow group VDSS-Security-Admins to manage secret-family in compartment EBLZ:VDSS:Security</x:v>
      </x:c>
      <x:c r="F74" s="32"/>
      <x:c r="G74" s="32"/>
      <x:c r="H74" s="32"/>
    </x:row>
    <x:row r="75" ht="32">
      <x:c r="A75" s="32"/>
      <x:c r="B75" s="32"/>
      <x:c r="C75" s="32"/>
      <x:c r="D75" s="32"/>
      <x:c r="E75" s="32" t="str">
        <x:v>Allow group VDSS-Security-Admins to manage network-firewall-family in compartment EBLZ:VDSS</x:v>
      </x:c>
      <x:c r="F75" s="32"/>
      <x:c r="G75" s="32"/>
      <x:c r="H75" s="32"/>
    </x:row>
    <x:row r="76" ht="32">
      <x:c r="A76" s="32"/>
      <x:c r="B76" s="32"/>
      <x:c r="C76" s="32"/>
      <x:c r="D76" s="32"/>
      <x:c r="E76" s="32" t="str">
        <x:v>Allow group VDSS-Security-Admins to manage logging-family in compartment EBLZ:VDSS</x:v>
      </x:c>
      <x:c r="F76" s="32"/>
      <x:c r="G76" s="32"/>
      <x:c r="H76" s="32"/>
    </x:row>
    <x:row r="77" ht="16">
      <x:c r="A77" s="32"/>
      <x:c r="B77" s="32"/>
      <x:c r="C77" s="32"/>
      <x:c r="D77" s="32"/>
      <x:c r="E77" s="32" t="str">
        <x:v>Allow group VDSS-Security-Admins to read audit-events in tenancy</x:v>
      </x:c>
      <x:c r="F77" s="32"/>
      <x:c r="G77" s="32"/>
      <x:c r="H77" s="32"/>
    </x:row>
    <x:row r="78" ht="48">
      <x:c r="A78" s="32" t="str">
        <x:v>Ashburn</x:v>
      </x:c>
      <x:c r="B78" s="32" t="str">
        <x:v>EBLZ-SecOps</x:v>
      </x:c>
      <x:c r="C78" s="32" t="str">
        <x:v>root</x:v>
      </x:c>
      <x:c r="D78" s="32" t="str">
        <x:v>Security monitoring and incident response</x:v>
      </x:c>
      <x:c r="E78" s="132" t="str">
        <x:v>Allow group SecOps to inspect all-resources in tenancy</x:v>
      </x:c>
      <x:c r="F78" s="32"/>
      <x:c r="G78" s="32"/>
      <x:c r="H78" s="32" t="str">
        <x:v>Governance.ManagedBy=CD3;Governance.Compliance=SCCA</x:v>
      </x:c>
    </x:row>
    <x:row r="79" ht="48">
      <x:c r="A79" s="32"/>
      <x:c r="B79" s="32"/>
      <x:c r="C79" s="32"/>
      <x:c r="D79" s="32"/>
      <x:c r="E79" s="32" t="str">
        <x:v>Allow group SecOps to read all-resources in compartment EBLZ</x:v>
      </x:c>
      <x:c r="F79" s="32"/>
      <x:c r="G79" s="32"/>
      <x:c r="H79" s="32"/>
    </x:row>
    <x:row r="80" ht="48">
      <x:c r="A80" s="32"/>
      <x:c r="B80" s="32"/>
      <x:c r="C80" s="32"/>
      <x:c r="D80" s="32"/>
      <x:c r="E80" s="32" t="str">
        <x:v>Allow group SecOps to read audit-events in tenancy</x:v>
      </x:c>
      <x:c r="F80" s="32"/>
      <x:c r="G80" s="32"/>
      <x:c r="H80" s="32"/>
    </x:row>
    <x:row r="81" ht="64">
      <x:c r="A81" s="32"/>
      <x:c r="B81" s="32"/>
      <x:c r="C81" s="32"/>
      <x:c r="D81" s="32"/>
      <x:c r="E81" s="32" t="str">
        <x:v>Allow group SecOps to manage cloud-guard-family in tenancy</x:v>
      </x:c>
      <x:c r="F81" s="32"/>
      <x:c r="G81" s="32"/>
      <x:c r="H81" s="32"/>
    </x:row>
    <x:row r="82" ht="48">
      <x:c r="A82" s="32"/>
      <x:c r="B82" s="32"/>
      <x:c r="C82" s="32"/>
      <x:c r="D82" s="32"/>
      <x:c r="E82" s="32" t="str">
        <x:v>Allow group SecOps to manage vulnerability-scanning-family in compartment EBLZ</x:v>
      </x:c>
      <x:c r="F82" s="32"/>
      <x:c r="G82" s="32"/>
      <x:c r="H82" s="32"/>
    </x:row>
    <x:row r="83" ht="32">
      <x:c r="A83" s="32"/>
      <x:c r="B83" s="32"/>
      <x:c r="C83" s="32"/>
      <x:c r="D83" s="32"/>
      <x:c r="E83" s="32" t="str">
        <x:v>Allow group SecOps to manage logging-family in compartment EBLZ:VDSS</x:v>
      </x:c>
      <x:c r="F83" s="32"/>
      <x:c r="G83" s="32"/>
      <x:c r="H83" s="32"/>
    </x:row>
    <x:row r="84" ht="16">
      <x:c r="A84" s="32"/>
      <x:c r="B84" s="32"/>
      <x:c r="C84" s="32"/>
      <x:c r="D84" s="32"/>
      <x:c r="E84" s="32" t="str">
        <x:v>Allow group SecOps to manage alarms in compartment EBLZ</x:v>
      </x:c>
      <x:c r="F84" s="32"/>
      <x:c r="G84" s="32"/>
      <x:c r="H84" s="32"/>
    </x:row>
    <x:row r="85" ht="208">
      <x:c r="A85" s="32"/>
      <x:c r="B85" s="32"/>
      <x:c r="C85" s="32"/>
      <x:c r="D85" s="32"/>
      <x:c r="E85" s="32" t="str">
        <x:v>Allow group SecOps to manage ons-family in compartment EBLZ</x:v>
      </x:c>
      <x:c r="F85" s="32"/>
      <x:c r="G85" s="32"/>
      <x:c r="H85" s="32"/>
    </x:row>
    <x:row r="86" ht="16">
      <x:c r="A86" s="32"/>
      <x:c r="B86" s="32"/>
      <x:c r="C86" s="32"/>
      <x:c r="D86" s="32"/>
      <x:c r="E86" s="32" t="str">
        <x:v>Allow group SecOps to read keys in compartment EBLZ:VDSS:Security</x:v>
      </x:c>
      <x:c r="F86" s="32"/>
      <x:c r="G86" s="32"/>
      <x:c r="H86" s="32"/>
    </x:row>
    <x:row r="87" ht="64">
      <x:c r="A87" s="32"/>
      <x:c r="B87" s="32"/>
      <x:c r="C87" s="32"/>
      <x:c r="D87" s="32"/>
      <x:c r="E87" s="32" t="str">
        <x:v>Allow group SecOps to read secret-family in compartment EBLZ:VDSS:Security</x:v>
      </x:c>
      <x:c r="F87" s="32"/>
      <x:c r="G87" s="32"/>
      <x:c r="H87" s="32"/>
    </x:row>
    <x:row r="88" ht="29.25" customHeight="1">
      <x:c r="A88" s="32" t="str">
        <x:v>Ashburn</x:v>
      </x:c>
      <x:c r="B88" s="32" t="str">
        <x:v>EBLZ-Security-Auditors</x:v>
      </x:c>
      <x:c r="C88" s="32" t="str">
        <x:v>root</x:v>
      </x:c>
      <x:c r="D88" s="32" t="str">
        <x:v>Read-only audit and compliance evidence access</x:v>
      </x:c>
      <x:c r="E88" s="32" t="str">
        <x:v>Allow group Security-Auditors to inspect all-resources in tenancy</x:v>
      </x:c>
      <x:c r="F88" s="32"/>
      <x:c r="G88" s="32"/>
      <x:c r="H88" s="32" t="str">
        <x:v>Governance.ManagedBy=CD3;Governance.Compliance=SCCA</x:v>
      </x:c>
    </x:row>
    <x:row r="89" ht="29.25" customHeight="1">
      <x:c r="A89" s="32"/>
      <x:c r="B89" s="32"/>
      <x:c r="C89" s="32"/>
      <x:c r="D89" s="32"/>
      <x:c r="E89" s="32" t="str">
        <x:v>Allow group Security-Auditors to read all-resources in compartment EBLZ</x:v>
      </x:c>
      <x:c r="F89" s="32"/>
      <x:c r="G89" s="32"/>
      <x:c r="H89" s="32"/>
    </x:row>
    <x:row r="90" ht="29.25" customHeight="1">
      <x:c r="A90" s="32"/>
      <x:c r="B90" s="32"/>
      <x:c r="C90" s="32"/>
      <x:c r="D90" s="32"/>
      <x:c r="E90" s="32" t="str">
        <x:v>Allow group Security-Auditors to read audit-events in tenancy</x:v>
      </x:c>
      <x:c r="F90" s="32"/>
      <x:c r="G90" s="32"/>
      <x:c r="H90" s="32"/>
    </x:row>
    <x:row r="91" ht="29.25" customHeight="1">
      <x:c r="A91" s="32"/>
      <x:c r="B91" s="32"/>
      <x:c r="C91" s="32"/>
      <x:c r="D91" s="32"/>
      <x:c r="E91" s="32" t="str">
        <x:v>Allow group Security-Auditors to read cloud-guard-family in tenancy</x:v>
      </x:c>
      <x:c r="F91" s="32"/>
      <x:c r="G91" s="32"/>
      <x:c r="H91" s="32"/>
    </x:row>
    <x:row r="92" ht="29.25" customHeight="1">
      <x:c r="A92" s="32"/>
      <x:c r="B92" s="32"/>
      <x:c r="C92" s="32"/>
      <x:c r="D92" s="32"/>
      <x:c r="E92" s="32" t="str">
        <x:v>Allow group Security-Auditors to read vulnerability-scanning-family in compartment EBLZ</x:v>
      </x:c>
      <x:c r="F92" s="32"/>
      <x:c r="G92" s="32"/>
      <x:c r="H92" s="32"/>
    </x:row>
    <x:row r="93" ht="29.25" customHeight="1">
      <x:c r="A93" s="32"/>
      <x:c r="B93" s="32"/>
      <x:c r="C93" s="32"/>
      <x:c r="D93" s="32"/>
      <x:c r="E93" s="32" t="str">
        <x:v>Allow group Security-Auditors to read logging-family in compartment EBLZ</x:v>
      </x:c>
      <x:c r="F93" s="32"/>
      <x:c r="G93" s="32"/>
      <x:c r="H93" s="32"/>
    </x:row>
    <x:row r="94" ht="16">
      <x:c r="A94" s="32"/>
      <x:c r="B94" s="32"/>
      <x:c r="C94" s="32"/>
      <x:c r="D94" s="32"/>
      <x:c r="E94" s="32" t="str">
        <x:v>Allow group Security-Auditors to read alarms in compartment EBLZ</x:v>
      </x:c>
      <x:c r="F94" s="32"/>
      <x:c r="G94" s="32"/>
      <x:c r="H94" s="32"/>
    </x:row>
    <x:row r="95" ht="32">
      <x:c r="A95" s="32"/>
      <x:c r="B95" s="32"/>
      <x:c r="C95" s="32"/>
      <x:c r="D95" s="32"/>
      <x:c r="E95" s="32" t="str">
        <x:v>Allow group Security-Auditors to read usage-budgets in tenancy</x:v>
      </x:c>
      <x:c r="F95" s="102"/>
      <x:c r="G95" s="32"/>
      <x:c r="H95" s="32"/>
    </x:row>
    <x:row r="96" ht="87" customHeight="1">
      <x:c r="A96" s="32"/>
      <x:c r="B96" s="76"/>
      <x:c r="C96" s="32"/>
      <x:c r="D96" s="32"/>
      <x:c r="E96" s="32" t="str">
        <x:v>Allow group Security-Auditors to read tag-namespaces in tenancy</x:v>
      </x:c>
      <x:c r="F96" s="32"/>
      <x:c r="G96" s="32"/>
      <x:c r="H96" s="32"/>
    </x:row>
    <x:row r="97" ht="29.25" customHeight="1">
      <x:c r="A97" s="32" t="str">
        <x:v>Ashburn</x:v>
      </x:c>
      <x:c r="B97" s="32" t="str">
        <x:v>EBLZ-FinOps</x:v>
      </x:c>
      <x:c r="C97" s="32" t="str">
        <x:v>root</x:v>
      </x:c>
      <x:c r="D97" s="32" t="str">
        <x:v>Financial governance and budget management</x:v>
      </x:c>
      <x:c r="E97" s="32" t="str">
        <x:v>Allow group FinOps to inspect all-resources in tenancy</x:v>
      </x:c>
      <x:c r="F97" s="32"/>
      <x:c r="G97" s="32"/>
      <x:c r="H97" s="32" t="str">
        <x:v>Governance.ManagedBy=CD3;Governance.Compliance=SCCA</x:v>
      </x:c>
    </x:row>
    <x:row r="98" ht="29.25" customHeight="1">
      <x:c r="A98" s="32"/>
      <x:c r="B98" s="32"/>
      <x:c r="C98" s="32"/>
      <x:c r="D98" s="32"/>
      <x:c r="E98" s="32" t="str">
        <x:v>Allow group FinOps to manage usage-report in tenancy</x:v>
      </x:c>
      <x:c r="F98" s="32"/>
      <x:c r="G98" s="32"/>
      <x:c r="H98" s="32"/>
    </x:row>
    <x:row r="99" ht="29.25" customHeight="1">
      <x:c r="A99" s="32"/>
      <x:c r="B99" s="32"/>
      <x:c r="C99" s="32"/>
      <x:c r="D99" s="32"/>
      <x:c r="E99" s="29" t="str">
        <x:v>Allow group FinOps to manage usage-budgets in tenancy</x:v>
      </x:c>
      <x:c r="F99" s="32"/>
      <x:c r="G99" s="32"/>
      <x:c r="H99" s="32"/>
    </x:row>
    <x:row r="100" ht="29.25" customHeight="1">
      <x:c r="A100" s="32"/>
      <x:c r="B100" s="32"/>
      <x:c r="C100" s="32"/>
      <x:c r="D100" s="32"/>
      <x:c r="E100" s="29" t="str">
        <x:v>Allow group FinOps to read tag-namespaces in tenancy</x:v>
      </x:c>
      <x:c r="F100" s="32"/>
      <x:c r="G100" s="32"/>
      <x:c r="H100" s="32"/>
    </x:row>
    <x:row r="101" ht="29.25" customHeight="1">
      <x:c r="A101" s="32" t="str">
        <x:v>Ashburn</x:v>
      </x:c>
      <x:c r="B101" s="32" t="str">
        <x:v>EBLZ-AppDev</x:v>
      </x:c>
      <x:c r="C101" s="32" t="str">
        <x:v>EBLZ</x:v>
      </x:c>
      <x:c r="D101" s="32" t="str">
        <x:v>Nonproduction and sandbox application development</x:v>
      </x:c>
      <x:c r="E101" s="29" t="str">
        <x:v>Allow group AppDev to read all-resources in compartment EBLZ:Programs</x:v>
      </x:c>
      <x:c r="F101" s="32"/>
      <x:c r="G101" s="32"/>
      <x:c r="H101" s="32" t="str">
        <x:v>Governance.ManagedBy=CD3;Governance.Compliance=SCCA</x:v>
      </x:c>
    </x:row>
    <x:row r="102" ht="29.25" customHeight="1">
      <x:c r="A102" s="32"/>
      <x:c r="B102" s="32"/>
      <x:c r="C102" s="32"/>
      <x:c r="D102" s="32"/>
      <x:c r="E102" s="29" t="str">
        <x:v>Allow group AppDev to manage instance-family in compartment EBLZ:Programs:CDAS:CDAS-NonProd</x:v>
      </x:c>
      <x:c r="F102" s="32"/>
      <x:c r="G102" s="32"/>
      <x:c r="H102" s="32"/>
    </x:row>
    <x:row r="103" ht="32">
      <x:c r="A103" s="32"/>
      <x:c r="B103" s="32"/>
      <x:c r="C103" s="32"/>
      <x:c r="D103" s="32"/>
      <x:c r="E103" s="29" t="str">
        <x:v>Allow group AppDev to manage volume-family in compartment EBLZ:Programs:CDAS:CDAS-NonProd</x:v>
      </x:c>
      <x:c r="F103" s="32"/>
      <x:c r="G103" s="32"/>
      <x:c r="H103" s="32"/>
    </x:row>
    <x:row r="104" ht="29.25" customHeight="1">
      <x:c r="A104" s="32"/>
      <x:c r="B104" s="32"/>
      <x:c r="C104" s="32"/>
      <x:c r="D104" s="32"/>
      <x:c r="E104" s="29" t="str">
        <x:v>Allow group AppDev to manage object-family in compartment EBLZ:Programs:CDAS:CDAS-NonProd</x:v>
      </x:c>
      <x:c r="F104" s="32"/>
      <x:c r="G104" s="32"/>
      <x:c r="H104" s="32"/>
    </x:row>
    <x:row r="105" ht="29.25" customHeight="1">
      <x:c r="A105" s="32"/>
      <x:c r="B105" s="32"/>
      <x:c r="C105" s="32"/>
      <x:c r="D105" s="32"/>
      <x:c r="E105" s="29" t="str">
        <x:v>Allow group AppDev to manage instance-family in compartment EBLZ:Programs:MSAS:DataWalk-Dev</x:v>
      </x:c>
      <x:c r="F105" s="32"/>
      <x:c r="G105" s="32"/>
      <x:c r="H105" s="32"/>
    </x:row>
    <x:row r="106" ht="80">
      <x:c r="A106" s="32"/>
      <x:c r="B106" s="32"/>
      <x:c r="C106" s="32"/>
      <x:c r="D106" s="32"/>
      <x:c r="E106" s="29" t="str">
        <x:v>Allow group AppDev to manage volume-family in compartment EBLZ:Programs:MSAS:DataWalk-Dev</x:v>
      </x:c>
      <x:c r="F106" s="32"/>
      <x:c r="G106" s="32"/>
      <x:c r="H106" s="32"/>
    </x:row>
    <x:row r="107" ht="112">
      <x:c r="A107" s="32"/>
      <x:c r="B107" s="32"/>
      <x:c r="C107" s="32"/>
      <x:c r="D107" s="32"/>
      <x:c r="E107" s="29" t="str">
        <x:v>Allow group AppDev to manage instance-family in compartment EBLZ:Programs:MSAS:Hyperscience-Dev</x:v>
      </x:c>
      <x:c r="F107" s="32"/>
      <x:c r="G107" s="32"/>
      <x:c r="H107" s="32"/>
    </x:row>
    <x:row r="108" ht="29.25" customHeight="1">
      <x:c r="A108" s="32"/>
      <x:c r="B108" s="32"/>
      <x:c r="C108" s="32"/>
      <x:c r="D108" s="32"/>
      <x:c r="E108" s="29" t="str">
        <x:v>Allow group AppDev to manage volume-family in compartment EBLZ:Programs:MSAS:Hyperscience-Dev</x:v>
      </x:c>
      <x:c r="F108" s="32"/>
      <x:c r="G108" s="32"/>
      <x:c r="H108" s="32"/>
    </x:row>
    <x:row r="109" ht="29.25" customHeight="1">
      <x:c r="A109" s="32"/>
      <x:c r="B109" s="32"/>
      <x:c r="C109" s="32"/>
      <x:c r="D109" s="32"/>
      <x:c r="E109" s="29" t="str">
        <x:v>Allow group AppDev to manage instance-family in compartment EBLZ:Sandbox</x:v>
      </x:c>
      <x:c r="F109" s="32"/>
      <x:c r="G109" s="32"/>
      <x:c r="H109" s="32"/>
    </x:row>
    <x:row r="110" ht="29.25" customHeight="1">
      <x:c r="A110" s="32"/>
      <x:c r="B110" s="32"/>
      <x:c r="C110" s="32"/>
      <x:c r="D110" s="32"/>
      <x:c r="E110" s="29" t="str">
        <x:v>Allow group AppDev to manage volume-family in compartment EBLZ:Sandbox</x:v>
      </x:c>
      <x:c r="F110" s="32"/>
      <x:c r="G110" s="32"/>
      <x:c r="H110" s="32"/>
    </x:row>
    <x:row r="111" ht="29.25" customHeight="1">
      <x:c r="A111" s="32"/>
      <x:c r="B111" s="32"/>
      <x:c r="C111" s="32"/>
      <x:c r="D111" s="32"/>
      <x:c r="E111" s="29" t="str">
        <x:v>Allow group AppDev to use virtual-network-family in compartment EBLZ</x:v>
      </x:c>
      <x:c r="F111" s="32"/>
      <x:c r="G111" s="32"/>
      <x:c r="H111" s="32"/>
    </x:row>
    <x:row r="112" ht="29.25" customHeight="1">
      <x:c r="A112" s="32"/>
      <x:c r="B112" s="32"/>
      <x:c r="C112" s="32"/>
      <x:c r="D112" s="32"/>
      <x:c r="E112" s="29" t="str">
        <x:v>Allow group AppDev to use keys in compartment EBLZ:VDSS:Security</x:v>
      </x:c>
      <x:c r="F112" s="32"/>
      <x:c r="G112" s="32"/>
      <x:c r="H112" s="32"/>
    </x:row>
    <x:row r="113" ht="29.25" customHeight="1">
      <x:c r="A113" s="32" t="str">
        <x:v>Ashburn</x:v>
      </x:c>
      <x:c r="B113" s="32" t="str">
        <x:v>EBLZ-DevOps</x:v>
      </x:c>
      <x:c r="C113" s="32" t="str">
        <x:v>EBLZ::Programs</x:v>
      </x:c>
      <x:c r="D113" s="32" t="str">
        <x:v>Controlled CI/CD and workload deployment</x:v>
      </x:c>
      <x:c r="E113" s="29" t="str">
        <x:v>Allow group DevOps to manage devops-family in compartment EBLZ:Programs</x:v>
      </x:c>
      <x:c r="F113" s="32"/>
      <x:c r="G113" s="32"/>
      <x:c r="H113" s="32" t="str">
        <x:v>Governance.ManagedBy=CD3;Governance.Compliance=SCCA</x:v>
      </x:c>
    </x:row>
    <x:row r="114" ht="32">
      <x:c r="A114" s="32"/>
      <x:c r="B114" s="32"/>
      <x:c r="C114" s="32"/>
      <x:c r="D114" s="32"/>
      <x:c r="E114" s="29" t="str">
        <x:v>Allow group DevOps to manage repos in compartment EBLZ:Programs</x:v>
      </x:c>
      <x:c r="F114" s="32"/>
      <x:c r="G114" s="32"/>
      <x:c r="H114" s="32"/>
    </x:row>
    <x:row r="115" ht="32">
      <x:c r="A115" s="32"/>
      <x:c r="B115" s="32"/>
      <x:c r="C115" s="32"/>
      <x:c r="D115" s="32"/>
      <x:c r="E115" s="29" t="str">
        <x:v>Allow group DevOps to manage artifacts in compartment EBLZ:Programs</x:v>
      </x:c>
      <x:c r="F115" s="32"/>
      <x:c r="G115" s="32"/>
      <x:c r="H115" s="32"/>
    </x:row>
    <x:row r="116" ht="32">
      <x:c r="A116" s="32"/>
      <x:c r="B116" s="32"/>
      <x:c r="C116" s="32"/>
      <x:c r="D116" s="32"/>
      <x:c r="E116" s="29" t="str">
        <x:v>Allow group DevOps to manage generic-artifacts in compartment EBLZ:Programs</x:v>
      </x:c>
      <x:c r="F116" s="32"/>
      <x:c r="G116" s="32"/>
      <x:c r="H116" s="32"/>
    </x:row>
    <x:row r="117" ht="32">
      <x:c r="A117" s="32"/>
      <x:c r="B117" s="32"/>
      <x:c r="C117" s="32"/>
      <x:c r="D117" s="32"/>
      <x:c r="E117" s="29" t="str">
        <x:v>Allow group DevOps to manage cluster-family in compartment EBLZ:Programs</x:v>
      </x:c>
      <x:c r="F117" s="32"/>
      <x:c r="G117" s="32"/>
      <x:c r="H117" s="32"/>
    </x:row>
    <x:row r="118" ht="32">
      <x:c r="A118" s="32"/>
      <x:c r="B118" s="32"/>
      <x:c r="C118" s="32"/>
      <x:c r="D118" s="32"/>
      <x:c r="E118" s="29" t="str">
        <x:v>Allow group DevOps to manage ons-family in compartment EBLZ:Programs</x:v>
      </x:c>
      <x:c r="F118" s="32"/>
      <x:c r="G118" s="32"/>
      <x:c r="H118" s="32"/>
    </x:row>
    <x:row r="119" ht="32">
      <x:c r="A119" s="32"/>
      <x:c r="B119" s="32"/>
      <x:c r="C119" s="32"/>
      <x:c r="D119" s="32"/>
      <x:c r="E119" s="29" t="str">
        <x:v>Allow group DevOps to use virtual-network-family in compartment EBLZ</x:v>
      </x:c>
      <x:c r="F119" s="32"/>
      <x:c r="G119" s="32"/>
      <x:c r="H119" s="32"/>
    </x:row>
    <x:row r="120" ht="32">
      <x:c r="A120" s="32"/>
      <x:c r="B120" s="32"/>
      <x:c r="C120" s="32"/>
      <x:c r="D120" s="32"/>
      <x:c r="E120" s="29" t="str">
        <x:v>Allow group DevOps to use keys in compartment EBLZ:VDSS:Security</x:v>
      </x:c>
      <x:c r="F120" s="32"/>
      <x:c r="G120" s="32"/>
      <x:c r="H120" s="32"/>
    </x:row>
    <x:row r="121" ht="32">
      <x:c r="A121" s="32"/>
      <x:c r="B121" s="32"/>
      <x:c r="C121" s="32"/>
      <x:c r="D121" s="32"/>
      <x:c r="E121" s="29" t="str">
        <x:v>Allow group DevOps to read secret-family in compartment EBLZ:VDSS:Security</x:v>
      </x:c>
      <x:c r="F121" s="32"/>
      <x:c r="G121" s="32"/>
      <x:c r="H121" s="32"/>
    </x:row>
    <x:row r="122" ht="32">
      <x:c r="A122" s="32"/>
      <x:c r="B122" s="32"/>
      <x:c r="C122" s="32"/>
      <x:c r="D122" s="32"/>
      <x:c r="E122" s="29" t="str">
        <x:v>Allow group DevOps to read all-resources in compartment EBLZ:Programs</x:v>
      </x:c>
      <x:c r="F122" s="32"/>
      <x:c r="G122" s="32"/>
      <x:c r="H122" s="32"/>
    </x:row>
    <x:row r="123" ht="32">
      <x:c r="A123" s="32" t="str">
        <x:v>Ashburn</x:v>
      </x:c>
      <x:c r="B123" s="32" t="str">
        <x:v>EBLZ-Database-Admins</x:v>
      </x:c>
      <x:c r="C123" s="32" t="str">
        <x:v>EBLZ::Programs</x:v>
      </x:c>
      <x:c r="D123" s="32" t="str">
        <x:v>Database administration for program workloads</x:v>
      </x:c>
      <x:c r="E123" s="29" t="str">
        <x:v>Allow group Database-Admins to manage database-family in compartment EBLZ:Programs</x:v>
      </x:c>
      <x:c r="F123" s="32"/>
      <x:c r="G123" s="32"/>
      <x:c r="H123" s="32" t="str">
        <x:v>Governance.ManagedBy=CD3;Governance.Compliance=SCCA</x:v>
      </x:c>
    </x:row>
    <x:row r="124" ht="32">
      <x:c r="A124" s="32"/>
      <x:c r="B124" s="32"/>
      <x:c r="C124" s="32"/>
      <x:c r="D124" s="32"/>
      <x:c r="E124" s="29" t="str">
        <x:v>Allow group Database-Admins to manage autonomous-database-family in compartment EBLZ:Programs</x:v>
      </x:c>
      <x:c r="F124" s="32"/>
      <x:c r="G124" s="32"/>
      <x:c r="H124" s="32"/>
    </x:row>
    <x:row r="125" ht="32">
      <x:c r="A125" s="32"/>
      <x:c r="B125" s="32"/>
      <x:c r="C125" s="32"/>
      <x:c r="D125" s="32"/>
      <x:c r="E125" s="29" t="str">
        <x:v>Allow group Database-Admins to use virtual-network-family in compartment EBLZ</x:v>
      </x:c>
      <x:c r="F125" s="32"/>
      <x:c r="G125" s="32"/>
      <x:c r="H125" s="32"/>
    </x:row>
    <x:row r="126" ht="32">
      <x:c r="A126" s="32"/>
      <x:c r="B126" s="32"/>
      <x:c r="C126" s="32"/>
      <x:c r="D126" s="32"/>
      <x:c r="E126" s="29" t="str">
        <x:v>Allow group Database-Admins to use keys in compartment EBLZ:VDSS:Security</x:v>
      </x:c>
      <x:c r="F126" s="32"/>
      <x:c r="G126" s="32"/>
      <x:c r="H126" s="32"/>
    </x:row>
    <x:row r="127" ht="32">
      <x:c r="A127" s="32"/>
      <x:c r="B127" s="32"/>
      <x:c r="C127" s="32"/>
      <x:c r="D127" s="32"/>
      <x:c r="E127" s="29" t="str">
        <x:v>Allow group Database-Admins to read secret-family in compartment EBLZ:VDSS:Security</x:v>
      </x:c>
      <x:c r="F127" s="32"/>
      <x:c r="G127" s="32"/>
      <x:c r="H127" s="32"/>
    </x:row>
    <x:row r="128" ht="32">
      <x:c r="A128" s="32"/>
      <x:c r="B128" s="32"/>
      <x:c r="C128" s="32"/>
      <x:c r="D128" s="32"/>
      <x:c r="E128" s="29" t="str">
        <x:v>Allow group Database-Admins to read all-resources in compartment EBLZ:Programs</x:v>
      </x:c>
      <x:c r="F128" s="32"/>
      <x:c r="G128" s="32"/>
      <x:c r="H128" s="32"/>
    </x:row>
    <x:row r="129" ht="32">
      <x:c r="A129" s="32" t="str">
        <x:v>Ashburn</x:v>
      </x:c>
      <x:c r="B129" s="32" t="str">
        <x:v>EBLZ-CDAS-Program-Admins</x:v>
      </x:c>
      <x:c r="C129" s="32" t="str">
        <x:v>EBLZ::Programs::CDAS</x:v>
      </x:c>
      <x:c r="D129" s="32" t="str">
        <x:v>CDAS program administration</x:v>
      </x:c>
      <x:c r="E129" s="29" t="str">
        <x:v>Allow group Program-Admins-CDAS to manage all-resources in compartment EBLZ:Programs:CDAS</x:v>
      </x:c>
      <x:c r="F129" s="32"/>
      <x:c r="G129" s="32"/>
      <x:c r="H129" s="32" t="str">
        <x:v>Governance.ManagedBy=CD3;Governance.Compliance=SCCA</x:v>
      </x:c>
    </x:row>
    <x:row r="130" ht="32">
      <x:c r="A130" s="32"/>
      <x:c r="B130" s="32"/>
      <x:c r="C130" s="32"/>
      <x:c r="D130" s="32"/>
      <x:c r="E130" s="29" t="str">
        <x:v>Allow group Program-Admins-CDAS to use virtual-network-family in compartment EBLZ</x:v>
      </x:c>
      <x:c r="F130" s="32"/>
      <x:c r="G130" s="32"/>
      <x:c r="H130" s="32"/>
    </x:row>
    <x:row r="131" ht="32">
      <x:c r="A131" s="32"/>
      <x:c r="B131" s="32"/>
      <x:c r="C131" s="32"/>
      <x:c r="D131" s="32"/>
      <x:c r="E131" s="29" t="str">
        <x:v>Allow group Program-Admins-CDAS to use keys in compartment EBLZ:VDSS:Security</x:v>
      </x:c>
      <x:c r="F131" s="32"/>
      <x:c r="G131" s="32"/>
      <x:c r="H131" s="32"/>
    </x:row>
    <x:row r="132" ht="32">
      <x:c r="A132" s="32"/>
      <x:c r="B132" s="32"/>
      <x:c r="C132" s="32"/>
      <x:c r="D132" s="32"/>
      <x:c r="E132" s="32" t="str">
        <x:v>Allow group Program-Admins-CDAS to read audit-events in compartment EBLZ:Programs:CDAS</x:v>
      </x:c>
      <x:c r="F132" s="32"/>
      <x:c r="G132" s="32"/>
      <x:c r="H132" s="32"/>
    </x:row>
    <x:row r="133" ht="32">
      <x:c r="A133" s="32" t="str">
        <x:v>Ashburn</x:v>
      </x:c>
      <x:c r="B133" s="32" t="str">
        <x:v>EBLZ-MSAS-Program-Admins</x:v>
      </x:c>
      <x:c r="C133" s="32" t="str">
        <x:v>EBLZ::Programs::MSAS</x:v>
      </x:c>
      <x:c r="D133" s="32" t="str">
        <x:v>MSAS program administration</x:v>
      </x:c>
      <x:c r="E133" s="32" t="str">
        <x:v>Allow group Program-Admins-MSAS to manage all-resources in compartment EBLZ:Programs:MSAS</x:v>
      </x:c>
      <x:c r="F133" s="32"/>
      <x:c r="G133" s="32"/>
      <x:c r="H133" s="32" t="str">
        <x:v>Governance.ManagedBy=CD3;Governance.Compliance=SCCA</x:v>
      </x:c>
    </x:row>
    <x:row r="134" ht="32">
      <x:c r="A134" s="32"/>
      <x:c r="B134" s="32"/>
      <x:c r="C134" s="32"/>
      <x:c r="D134" s="32"/>
      <x:c r="E134" s="32" t="str">
        <x:v>Allow group Program-Admins-MSAS to use virtual-network-family in compartment EBLZ</x:v>
      </x:c>
      <x:c r="F134" s="32"/>
      <x:c r="G134" s="32"/>
      <x:c r="H134" s="32"/>
    </x:row>
    <x:row r="135" ht="32">
      <x:c r="A135" s="32"/>
      <x:c r="B135" s="32"/>
      <x:c r="C135" s="32"/>
      <x:c r="D135" s="32"/>
      <x:c r="E135" s="32" t="str">
        <x:v>Allow group Program-Admins-MSAS to use keys in compartment EBLZ:VDSS:Security</x:v>
      </x:c>
      <x:c r="F135" s="32"/>
      <x:c r="G135" s="32"/>
      <x:c r="H135" s="32"/>
    </x:row>
    <x:row r="136" ht="32">
      <x:c r="A136" s="32"/>
      <x:c r="B136" s="32"/>
      <x:c r="C136" s="32"/>
      <x:c r="D136" s="32"/>
      <x:c r="E136" s="32" t="str">
        <x:v>Allow group Program-Admins-MSAS to read audit-events in compartment EBLZ:Programs:MSAS</x:v>
      </x:c>
      <x:c r="F136" s="32"/>
      <x:c r="G136" s="32"/>
      <x:c r="H136" s="32"/>
    </x:row>
    <x:row r="137" ht="32">
      <x:c r="A137" s="32" t="str">
        <x:v>Ashburn</x:v>
      </x:c>
      <x:c r="B137" s="32" t="str">
        <x:v>EBLZ-DataWalk-Admins</x:v>
      </x:c>
      <x:c r="C137" s="32" t="str">
        <x:v>EBLZ::Programs::MSAS</x:v>
      </x:c>
      <x:c r="D137" s="32" t="str">
        <x:v>DataWalk application administration</x:v>
      </x:c>
      <x:c r="E137" s="32" t="str">
        <x:v>Allow group DataWalk-Admins to manage all-resources in compartment EBLZ:Programs:MSAS:DataWalk-Dev</x:v>
      </x:c>
      <x:c r="F137" s="32"/>
      <x:c r="G137" s="32"/>
      <x:c r="H137" s="32" t="str">
        <x:v>Governance.ManagedBy=CD3;Governance.Compliance=SCCA</x:v>
      </x:c>
    </x:row>
    <x:row r="138" ht="101.5" customHeight="1">
      <x:c r="A138" s="32"/>
      <x:c r="B138" s="76"/>
      <x:c r="C138" s="32"/>
      <x:c r="D138" s="32"/>
      <x:c r="E138" s="76" t="str">
        <x:v>Allow group DataWalk-Admins to manage all-resources in compartment EBLZ:Programs:MSAS:DataWalk-Test</x:v>
      </x:c>
      <x:c r="F138" s="32"/>
      <x:c r="G138" s="32"/>
      <x:c r="H138" s="32"/>
    </x:row>
    <x:row r="139" ht="16">
      <x:c r="A139" s="32"/>
      <x:c r="B139" s="32"/>
      <x:c r="C139" s="32"/>
      <x:c r="D139" s="32"/>
      <x:c r="E139" s="76" t="str">
        <x:v>Allow group DataWalk-Admins to manage all-resources in compartment EBLZ:Programs:MSAS:DataWalk-Prod</x:v>
      </x:c>
      <x:c r="F139" s="32"/>
      <x:c r="G139" s="32"/>
      <x:c r="H139" s="32"/>
    </x:row>
    <x:row r="140" ht="29.25" customHeight="1">
      <x:c r="A140" s="32"/>
      <x:c r="B140" s="32"/>
      <x:c r="C140" s="32"/>
      <x:c r="D140" s="32"/>
      <x:c r="E140" s="32" t="str">
        <x:v>Allow group DataWalk-Admins to use virtual-network-family in compartment EBLZ</x:v>
      </x:c>
      <x:c r="F140" s="32"/>
      <x:c r="G140" s="32"/>
      <x:c r="H140" s="32"/>
    </x:row>
    <x:row r="141" ht="192">
      <x:c r="A141" s="32"/>
      <x:c r="B141" s="32"/>
      <x:c r="C141" s="32"/>
      <x:c r="D141" s="32"/>
      <x:c r="E141" s="32" t="str">
        <x:v>Allow group DataWalk-Admins to use keys in compartment EBLZ:VDSS:Security</x:v>
      </x:c>
      <x:c r="F141" s="32"/>
      <x:c r="G141" s="32"/>
      <x:c r="H141" s="32"/>
    </x:row>
    <x:row r="142" ht="16">
      <x:c r="A142" s="32" t="str">
        <x:v>Ashburn</x:v>
      </x:c>
      <x:c r="B142" s="32" t="str">
        <x:v>EBLZ-Hyperscience-Admins</x:v>
      </x:c>
      <x:c r="C142" s="32" t="str">
        <x:v>EBLZ::Programs::MSAS</x:v>
      </x:c>
      <x:c r="D142" s="32" t="str">
        <x:v>Hyperscience application and GPU administration</x:v>
      </x:c>
      <x:c r="E142" s="32" t="str">
        <x:v>Allow group Hyperscience-Admins to manage all-resources in compartment EBLZ:Programs:MSAS:Hyperscience-Dev</x:v>
      </x:c>
      <x:c r="F142" s="32"/>
      <x:c r="G142" s="32"/>
      <x:c r="H142" s="32" t="str">
        <x:v>Governance.ManagedBy=CD3;Governance.Compliance=SCCA</x:v>
      </x:c>
    </x:row>
    <x:row r="143" ht="29.25" customHeight="1">
      <x:c r="A143" s="32"/>
      <x:c r="B143" s="32"/>
      <x:c r="C143" s="32"/>
      <x:c r="D143" s="32"/>
      <x:c r="E143" s="32" t="str">
        <x:v>Allow group Hyperscience-Admins to manage all-resources in compartment EBLZ:Programs:MSAS:Hyperscience-Prod</x:v>
      </x:c>
      <x:c r="F143" s="32"/>
      <x:c r="G143" s="32"/>
      <x:c r="H143" s="32"/>
    </x:row>
    <x:row r="144" ht="48">
      <x:c r="A144" s="32"/>
      <x:c r="B144" s="32"/>
      <x:c r="C144" s="32"/>
      <x:c r="D144" s="32"/>
      <x:c r="E144" s="32" t="str">
        <x:v>Allow group Hyperscience-Admins to use virtual-network-family in compartment EBLZ</x:v>
      </x:c>
      <x:c r="F144" s="32"/>
      <x:c r="G144" s="32"/>
      <x:c r="H144" s="32"/>
    </x:row>
    <x:row r="145" ht="32">
      <x:c r="A145" s="32"/>
      <x:c r="B145" s="32"/>
      <x:c r="C145" s="32"/>
      <x:c r="D145" s="32"/>
      <x:c r="E145" s="32" t="str">
        <x:v>Allow group Hyperscience-Admins to use keys in compartment EBLZ:VDSS:Security</x:v>
      </x:c>
      <x:c r="F145" s="32"/>
      <x:c r="G145" s="32"/>
      <x:c r="H145" s="32"/>
    </x:row>
    <x:row r="146" ht="64">
      <x:c r="A146" s="32" t="str">
        <x:v>Ashburn</x:v>
      </x:c>
      <x:c r="B146" s="32" t="str">
        <x:v>EBLZ-Sandbox-Admins</x:v>
      </x:c>
      <x:c r="C146" s="32" t="str">
        <x:v>EBLZ::Sandbox</x:v>
      </x:c>
      <x:c r="D146" s="32" t="str">
        <x:v>Sandbox administration with no access outside Sandbox</x:v>
      </x:c>
      <x:c r="E146" s="32" t="str">
        <x:v>Allow group Sandbox-Admins to manage all-resources in compartment EBLZ:Sandbox</x:v>
      </x:c>
      <x:c r="F146" s="32"/>
      <x:c r="G146" s="32"/>
      <x:c r="H146" s="32" t="str">
        <x:v>Governance.ManagedBy=CD3;Governance.Compliance=SCCA</x:v>
      </x:c>
    </x:row>
    <x:row r="147" ht="29.25" customHeight="1">
      <x:c r="A147" s="32"/>
      <x:c r="B147" s="32"/>
      <x:c r="C147" s="32"/>
      <x:c r="D147" s="32"/>
      <x:c r="E147" s="32" t="str">
        <x:v>Allow group Sandbox-Admins to use virtual-network-family in compartment EBLZ</x:v>
      </x:c>
      <x:c r="F147" s="32"/>
      <x:c r="G147" s="32"/>
      <x:c r="H147" s="32"/>
    </x:row>
    <x:row r="148" ht="29.25" customHeight="1">
      <x:c r="A148" s="32" t="str">
        <x:v>Ashburn</x:v>
      </x:c>
      <x:c r="B148" s="32" t="str">
        <x:v>EBLZ-Auditor-Evidence-Exchange</x:v>
      </x:c>
      <x:c r="C148" s="32" t="str">
        <x:v>EBLZ::VDSS::Evidence-Exchange</x:v>
      </x:c>
      <x:c r="D148" s="32" t="str">
        <x:v>Controlled evidence exchange administration</x:v>
      </x:c>
      <x:c r="E148" s="32" t="str">
        <x:v>Allow group Auditor-Exchange-Admins to manage object-family in compartment EBLZ:VDSS:Evidence-Exchange</x:v>
      </x:c>
      <x:c r="F148" s="32"/>
      <x:c r="G148" s="32"/>
      <x:c r="H148" s="32" t="str">
        <x:v>Governance.ManagedBy=CD3;Governance.Compliance=SCCA</x:v>
      </x:c>
    </x:row>
    <x:row r="149" ht="32">
      <x:c r="A149" s="32"/>
      <x:c r="B149" s="32"/>
      <x:c r="C149" s="32"/>
      <x:c r="D149" s="32"/>
      <x:c r="E149" s="32" t="str">
        <x:v>Allow group Auditor-Exchange-Admins to manage logging-family in compartment EBLZ:VDSS:Evidence-Exchange</x:v>
      </x:c>
      <x:c r="F149" s="32"/>
      <x:c r="G149" s="32"/>
      <x:c r="H149" s="32"/>
    </x:row>
    <x:row r="150" ht="29.25" customHeight="1">
      <x:c r="A150" s="32"/>
      <x:c r="B150" s="32"/>
      <x:c r="C150" s="32"/>
      <x:c r="D150" s="32"/>
      <x:c r="E150" s="32" t="str">
        <x:v>Allow group Auditor-Exchange-Admins to use keys in compartment EBLZ:VDSS:Security</x:v>
      </x:c>
      <x:c r="F150" s="32"/>
      <x:c r="G150" s="32"/>
      <x:c r="H150" s="32"/>
    </x:row>
    <x:row r="151" ht="16">
      <x:c r="A151" s="32"/>
      <x:c r="B151" s="32"/>
      <x:c r="C151" s="32"/>
      <x:c r="D151" s="32"/>
      <x:c r="E151" s="32" t="str">
        <x:v>Allow group Auditor-Exchange-Admins to read audit-events in tenancy</x:v>
      </x:c>
      <x:c r="F151" s="32"/>
      <x:c r="G151" s="32"/>
      <x:c r="H151" s="32"/>
    </x:row>
    <x:row r="152" ht="16">
      <x:c r="A152" s="32" t="str">
        <x:v>Ashburn</x:v>
      </x:c>
      <x:c r="B152" s="32" t="str">
        <x:v>EBLZ-BreakGlass</x:v>
      </x:c>
      <x:c r="C152" s="32" t="str">
        <x:v>root</x:v>
      </x:c>
      <x:c r="D152" s="32" t="str">
        <x:v>Emergency tenancy administration; activate only under approved procedure</x:v>
      </x:c>
      <x:c r="E152" s="32" t="str">
        <x:v>Allow group BreakGlass-Admins to manage all-resources in tenancy</x:v>
      </x:c>
      <x:c r="F152" s="32"/>
      <x:c r="G152" s="32"/>
      <x:c r="H152" s="32" t="str">
        <x:v>Governance.ManagedBy=Manual;Governance.Compliance=SCCA</x:v>
      </x:c>
    </x:row>
    <x:row r="153" ht="16">
      <x:c r="A153" s="32" t="str">
        <x:v>&lt;END&gt;</x:v>
      </x:c>
      <x:c r="B153" s="32"/>
      <x:c r="C153" s="32"/>
      <x:c r="D153" s="32"/>
      <x:c r="E153" s="32"/>
      <x:c r="F153" s="32"/>
      <x:c r="G153" s="32"/>
      <x:c r="H153" s="32"/>
    </x:row>
    <x:row r="154" ht="36" customHeight="1">
      <x:c r="A154" s="32"/>
      <x:c r="B154" s="32"/>
      <x:c r="C154" s="32"/>
      <x:c r="D154" s="32"/>
      <x:c r="E154" s="32"/>
      <x:c r="F154" s="32"/>
      <x:c r="G154" s="32"/>
      <x:c r="H154" s="32"/>
    </x:row>
    <x:row r="155" ht="16">
      <x:c r="A155" s="32"/>
      <x:c r="B155" s="32"/>
      <x:c r="C155" s="32"/>
      <x:c r="D155" s="32"/>
      <x:c r="E155" s="32"/>
      <x:c r="F155" s="32"/>
      <x:c r="G155" s="32"/>
      <x:c r="H155" s="32"/>
    </x:row>
    <x:row r="156" ht="16">
      <x:c r="A156" s="32"/>
      <x:c r="B156" s="32"/>
      <x:c r="C156" s="32"/>
      <x:c r="D156" s="32"/>
      <x:c r="E156" s="32"/>
      <x:c r="F156" s="32"/>
      <x:c r="G156" s="32"/>
      <x:c r="H156" s="32"/>
    </x:row>
    <x:row r="157" ht="32">
      <x:c r="A157" s="32"/>
      <x:c r="B157" s="32"/>
      <x:c r="C157" s="32"/>
      <x:c r="D157" s="32"/>
      <x:c r="E157" s="32"/>
      <x:c r="F157" s="32"/>
      <x:c r="G157" s="32"/>
      <x:c r="H157" s="32"/>
    </x:row>
    <x:row r="158" ht="101.5" customHeight="1">
      <x:c r="A158" s="32"/>
      <x:c r="B158" s="76"/>
      <x:c r="C158" s="32"/>
      <x:c r="D158" s="32"/>
      <x:c r="E158" s="32"/>
      <x:c r="F158" s="32"/>
      <x:c r="G158" s="32"/>
      <x:c r="H158" s="32"/>
    </x:row>
    <x:row r="159" ht="29.25" customHeight="1">
      <x:c r="A159" s="32"/>
      <x:c r="B159" s="32"/>
      <x:c r="C159" s="32"/>
      <x:c r="D159" s="32"/>
      <x:c r="E159" s="32"/>
      <x:c r="F159" s="32"/>
      <x:c r="G159" s="32"/>
      <x:c r="H159" s="32"/>
    </x:row>
    <x:row r="160" ht="29.25" customHeight="1">
      <x:c r="A160" s="32"/>
      <x:c r="B160" s="32"/>
      <x:c r="C160" s="32"/>
      <x:c r="D160" s="32"/>
      <x:c r="E160" s="32"/>
      <x:c r="F160" s="32"/>
      <x:c r="G160" s="32"/>
      <x:c r="H160" s="32"/>
    </x:row>
    <x:row r="161" ht="29.25" customHeight="1">
      <x:c r="A161" s="32"/>
      <x:c r="B161" s="32"/>
      <x:c r="C161" s="32"/>
      <x:c r="D161" s="32"/>
      <x:c r="E161" s="32"/>
      <x:c r="F161" s="32"/>
      <x:c r="G161" s="32"/>
      <x:c r="H161" s="32"/>
    </x:row>
    <x:row r="162" ht="29.25" customHeight="1">
      <x:c r="A162" s="32"/>
      <x:c r="B162" s="32"/>
      <x:c r="C162" s="32"/>
      <x:c r="D162" s="32"/>
      <x:c r="E162" s="32"/>
      <x:c r="F162" s="32"/>
      <x:c r="G162" s="32"/>
      <x:c r="H162" s="32"/>
    </x:row>
    <x:row r="163" ht="29.25" customHeight="1">
      <x:c r="A163" s="32"/>
      <x:c r="B163" s="32"/>
      <x:c r="C163" s="32"/>
      <x:c r="D163" s="32"/>
      <x:c r="E163" s="32"/>
      <x:c r="F163" s="32"/>
      <x:c r="G163" s="32"/>
      <x:c r="H163" s="32"/>
    </x:row>
    <x:row r="164" ht="29.25" customHeight="1">
      <x:c r="A164" s="32"/>
      <x:c r="B164" s="32"/>
      <x:c r="C164" s="32"/>
      <x:c r="D164" s="32"/>
      <x:c r="E164" s="32"/>
      <x:c r="F164" s="32"/>
      <x:c r="G164" s="32"/>
      <x:c r="H164" s="32"/>
    </x:row>
    <x:row r="165" ht="29.25" customHeight="1">
      <x:c r="A165" s="32"/>
      <x:c r="B165" s="32"/>
      <x:c r="C165" s="32"/>
      <x:c r="D165" s="32"/>
      <x:c r="E165" s="32"/>
      <x:c r="F165" s="32"/>
      <x:c r="G165" s="32"/>
      <x:c r="H165" s="32"/>
    </x:row>
    <x:row r="166" ht="29.25" customHeight="1">
      <x:c r="A166" s="32"/>
      <x:c r="B166" s="32"/>
      <x:c r="C166" s="32"/>
      <x:c r="D166" s="32"/>
      <x:c r="E166" s="32"/>
      <x:c r="F166" s="32"/>
      <x:c r="G166" s="32"/>
      <x:c r="H166" s="32"/>
    </x:row>
    <x:row r="167" ht="32">
      <x:c r="A167" s="32"/>
      <x:c r="B167" s="32"/>
      <x:c r="C167" s="32"/>
      <x:c r="D167" s="32"/>
      <x:c r="E167" s="32"/>
      <x:c r="F167" s="32"/>
      <x:c r="G167" s="32"/>
      <x:c r="H167" s="32"/>
    </x:row>
    <x:row r="168" ht="32">
      <x:c r="A168" s="32"/>
      <x:c r="B168" s="32"/>
      <x:c r="C168" s="32"/>
      <x:c r="D168" s="32"/>
      <x:c r="E168" s="32"/>
      <x:c r="F168" s="32"/>
      <x:c r="G168" s="32"/>
      <x:c r="H168" s="32"/>
    </x:row>
    <x:row r="169" ht="32">
      <x:c r="A169" s="32"/>
      <x:c r="B169" s="32"/>
      <x:c r="C169" s="32"/>
      <x:c r="D169" s="32"/>
      <x:c r="E169" s="32"/>
      <x:c r="F169" s="32"/>
      <x:c r="G169" s="32"/>
      <x:c r="H169" s="32"/>
    </x:row>
    <x:row r="170" ht="32">
      <x:c r="A170" s="32"/>
      <x:c r="B170" s="32"/>
      <x:c r="C170" s="32"/>
      <x:c r="D170" s="32"/>
      <x:c r="E170" s="32"/>
      <x:c r="F170" s="32"/>
      <x:c r="G170" s="32"/>
      <x:c r="H170" s="32"/>
    </x:row>
    <x:row r="171" ht="80">
      <x:c r="A171" s="32"/>
      <x:c r="B171" s="32"/>
      <x:c r="C171" s="32"/>
      <x:c r="D171" s="32"/>
      <x:c r="E171" s="32"/>
      <x:c r="F171" s="32"/>
      <x:c r="G171" s="32"/>
      <x:c r="H171" s="32"/>
    </x:row>
    <x:row r="172" ht="48">
      <x:c r="A172" s="32"/>
      <x:c r="B172" s="32"/>
      <x:c r="C172" s="32"/>
      <x:c r="D172" s="32"/>
      <x:c r="E172" s="32"/>
      <x:c r="F172" s="32"/>
      <x:c r="G172" s="32"/>
      <x:c r="H172" s="32"/>
    </x:row>
    <x:row r="173" ht="105.75" customHeight="1">
      <x:c r="A173" s="32"/>
      <x:c r="B173" s="32"/>
      <x:c r="C173" s="32"/>
      <x:c r="D173" s="32"/>
      <x:c r="E173" s="32"/>
      <x:c r="F173" s="32"/>
      <x:c r="G173" s="32"/>
      <x:c r="H173" s="32"/>
    </x:row>
    <x:row r="174" ht="32">
      <x:c r="A174" s="32"/>
      <x:c r="B174" s="32"/>
      <x:c r="C174" s="32"/>
      <x:c r="D174" s="32"/>
      <x:c r="E174" s="32"/>
      <x:c r="F174" s="32"/>
      <x:c r="G174" s="32"/>
      <x:c r="H174" s="32"/>
    </x:row>
    <x:row r="175" ht="32">
      <x:c r="A175" s="32"/>
      <x:c r="B175" s="32"/>
      <x:c r="C175" s="32"/>
      <x:c r="D175" s="32"/>
      <x:c r="E175" s="32"/>
      <x:c r="F175" s="32"/>
      <x:c r="G175" s="32"/>
      <x:c r="H175" s="32"/>
    </x:row>
    <x:row r="176" ht="32">
      <x:c r="A176" s="32"/>
      <x:c r="B176" s="32"/>
      <x:c r="C176" s="32"/>
      <x:c r="D176" s="32"/>
      <x:c r="E176" s="32"/>
      <x:c r="F176" s="32"/>
      <x:c r="G176" s="32"/>
      <x:c r="H176" s="32"/>
    </x:row>
    <x:row r="177" ht="32">
      <x:c r="A177" s="32"/>
      <x:c r="B177" s="32"/>
      <x:c r="C177" s="32"/>
      <x:c r="D177" s="32"/>
      <x:c r="E177" s="32"/>
      <x:c r="F177" s="32"/>
      <x:c r="G177" s="32"/>
      <x:c r="H177" s="32"/>
    </x:row>
    <x:row r="178" ht="32">
      <x:c r="A178" s="32"/>
      <x:c r="B178" s="32"/>
      <x:c r="C178" s="32"/>
      <x:c r="D178" s="32"/>
      <x:c r="E178" s="32"/>
      <x:c r="F178" s="32"/>
      <x:c r="G178" s="32"/>
      <x:c r="H178" s="32"/>
    </x:row>
    <x:row r="179" ht="32">
      <x:c r="A179" s="32"/>
      <x:c r="B179" s="32"/>
      <x:c r="C179" s="32"/>
      <x:c r="D179" s="32"/>
      <x:c r="E179" s="32"/>
      <x:c r="F179" s="32"/>
      <x:c r="G179" s="32"/>
      <x:c r="H179" s="32"/>
    </x:row>
    <x:row r="180" ht="32">
      <x:c r="A180" s="32"/>
      <x:c r="B180" s="32"/>
      <x:c r="C180" s="32"/>
      <x:c r="D180" s="32"/>
      <x:c r="E180" s="32"/>
      <x:c r="F180" s="32"/>
      <x:c r="G180" s="32"/>
      <x:c r="H180" s="32"/>
    </x:row>
    <x:row r="181" ht="32">
      <x:c r="A181" s="32"/>
      <x:c r="B181" s="32"/>
      <x:c r="C181" s="32"/>
      <x:c r="D181" s="32"/>
      <x:c r="E181" s="32"/>
      <x:c r="F181" s="32"/>
      <x:c r="G181" s="32"/>
      <x:c r="H181" s="32"/>
    </x:row>
    <x:row r="182" ht="32">
      <x:c r="A182" s="32"/>
      <x:c r="B182" s="32"/>
      <x:c r="C182" s="32"/>
      <x:c r="D182" s="32"/>
      <x:c r="E182" s="32"/>
      <x:c r="F182" s="32"/>
      <x:c r="G182" s="32"/>
      <x:c r="H182" s="32"/>
      <x:c r="I182" s="33"/>
    </x:row>
    <x:row r="183" ht="32">
      <x:c r="A183" s="32"/>
      <x:c r="B183" s="32"/>
      <x:c r="C183" s="32"/>
      <x:c r="D183" s="32"/>
      <x:c r="E183" s="32"/>
      <x:c r="F183" s="32"/>
      <x:c r="G183" s="32"/>
      <x:c r="H183" s="32"/>
    </x:row>
    <x:row r="184" ht="32">
      <x:c r="A184" s="32"/>
      <x:c r="B184" s="32"/>
      <x:c r="C184" s="32"/>
      <x:c r="D184" s="32"/>
      <x:c r="E184" s="32"/>
      <x:c r="F184" s="32"/>
      <x:c r="G184" s="32"/>
      <x:c r="H184" s="32"/>
    </x:row>
    <x:row r="185" ht="32">
      <x:c r="A185" s="32"/>
      <x:c r="B185" s="32"/>
      <x:c r="C185" s="32"/>
      <x:c r="D185" s="32"/>
      <x:c r="E185" s="32"/>
      <x:c r="F185" s="32"/>
      <x:c r="G185" s="32"/>
      <x:c r="H185" s="32"/>
    </x:row>
    <x:row r="186" ht="32">
      <x:c r="A186" s="32"/>
      <x:c r="B186" s="32"/>
      <x:c r="C186" s="32"/>
      <x:c r="D186" s="32"/>
      <x:c r="E186" s="32"/>
      <x:c r="F186" s="32"/>
      <x:c r="G186" s="32"/>
      <x:c r="H186" s="32"/>
    </x:row>
    <x:row r="187" ht="32">
      <x:c r="A187" s="32"/>
      <x:c r="B187" s="32"/>
      <x:c r="C187" s="32"/>
      <x:c r="D187" s="32"/>
      <x:c r="E187" s="32"/>
      <x:c r="F187" s="32"/>
      <x:c r="G187" s="32"/>
      <x:c r="H187" s="32"/>
    </x:row>
    <x:row r="188" ht="32">
      <x:c r="A188" s="32"/>
      <x:c r="B188" s="32"/>
      <x:c r="C188" s="32"/>
      <x:c r="D188" s="32"/>
      <x:c r="E188" s="32"/>
      <x:c r="F188" s="32"/>
      <x:c r="G188" s="32"/>
      <x:c r="H188" s="32"/>
    </x:row>
    <x:row r="189" ht="16">
      <x:c r="A189" s="32"/>
      <x:c r="B189" s="32"/>
      <x:c r="C189" s="32"/>
      <x:c r="D189" s="32"/>
      <x:c r="E189" s="32"/>
      <x:c r="F189" s="32"/>
      <x:c r="G189" s="32"/>
      <x:c r="H189" s="32"/>
    </x:row>
    <x:row r="190" ht="32">
      <x:c r="A190" s="32"/>
      <x:c r="B190" s="32"/>
      <x:c r="C190" s="32"/>
      <x:c r="D190" s="32"/>
      <x:c r="E190" s="32"/>
      <x:c r="F190" s="32"/>
      <x:c r="G190" s="32"/>
      <x:c r="H190" s="32"/>
    </x:row>
    <x:row r="191" ht="48">
      <x:c r="A191" s="32"/>
      <x:c r="B191" s="32"/>
      <x:c r="C191" s="32"/>
      <x:c r="D191" s="32"/>
      <x:c r="E191" s="97"/>
      <x:c r="F191" s="32"/>
      <x:c r="G191" s="32"/>
      <x:c r="H191" s="32"/>
    </x:row>
    <x:row r="192" ht="32">
      <x:c r="A192" s="32"/>
      <x:c r="B192" s="32"/>
      <x:c r="C192" s="32"/>
      <x:c r="D192" s="32"/>
      <x:c r="E192" s="32"/>
      <x:c r="F192" s="32"/>
      <x:c r="G192" s="32"/>
      <x:c r="H192" s="32"/>
    </x:row>
    <x:row r="193" ht="16">
      <x:c r="A193" s="32"/>
      <x:c r="B193" s="32"/>
      <x:c r="C193" s="32"/>
      <x:c r="D193" s="32"/>
      <x:c r="E193" s="32"/>
      <x:c r="F193" s="32"/>
      <x:c r="G193" s="32"/>
      <x:c r="H193" s="32"/>
    </x:row>
    <x:row r="194" ht="16">
      <x:c r="A194" s="32"/>
      <x:c r="B194" s="32"/>
      <x:c r="C194" s="32"/>
      <x:c r="D194" s="32"/>
      <x:c r="E194" s="32"/>
      <x:c r="F194" s="32"/>
      <x:c r="G194" s="32"/>
      <x:c r="H194" s="32"/>
    </x:row>
    <x:row r="195" ht="101.5" customHeight="1">
      <x:c r="A195" s="32"/>
      <x:c r="B195" s="32"/>
      <x:c r="C195" s="32"/>
      <x:c r="D195" s="32"/>
      <x:c r="E195" s="32"/>
      <x:c r="F195" s="32"/>
      <x:c r="G195" s="32"/>
      <x:c r="H195" s="32"/>
    </x:row>
    <x:row r="196" ht="29.25" customHeight="1">
      <x:c r="A196" s="32"/>
      <x:c r="B196" s="32"/>
      <x:c r="C196" s="32"/>
      <x:c r="D196" s="32"/>
      <x:c r="E196" s="32"/>
      <x:c r="F196" s="32"/>
      <x:c r="G196" s="32"/>
      <x:c r="H196" s="32"/>
    </x:row>
    <x:row r="197" ht="16">
      <x:c r="A197" s="32"/>
      <x:c r="B197" s="32"/>
      <x:c r="C197" s="32"/>
      <x:c r="D197" s="32"/>
      <x:c r="E197" s="32"/>
      <x:c r="F197" s="32"/>
      <x:c r="G197" s="32"/>
      <x:c r="H197" s="32"/>
    </x:row>
    <x:row r="198" ht="29.25" customHeight="1">
      <x:c r="A198" s="32"/>
      <x:c r="B198" s="32"/>
      <x:c r="C198" s="32"/>
      <x:c r="D198" s="32"/>
      <x:c r="E198" s="32"/>
      <x:c r="F198" s="32"/>
      <x:c r="G198" s="32"/>
      <x:c r="H198" s="32"/>
    </x:row>
    <x:row r="199" ht="29.25" customHeight="1">
      <x:c r="A199" s="32"/>
      <x:c r="B199" s="32"/>
      <x:c r="C199" s="32"/>
      <x:c r="D199" s="32"/>
      <x:c r="E199" s="32"/>
      <x:c r="F199" s="32"/>
      <x:c r="G199" s="32"/>
      <x:c r="H199" s="32"/>
    </x:row>
    <x:row r="200" ht="29.25" customHeight="1">
      <x:c r="A200" s="32"/>
      <x:c r="B200" s="32"/>
      <x:c r="C200" s="32"/>
      <x:c r="D200" s="32"/>
      <x:c r="E200" s="32"/>
      <x:c r="F200" s="32"/>
      <x:c r="G200" s="32"/>
      <x:c r="H200" s="32"/>
    </x:row>
    <x:row r="201" ht="29.25" customHeight="1">
      <x:c r="A201" s="32"/>
      <x:c r="B201" s="32"/>
      <x:c r="C201" s="32"/>
      <x:c r="D201" s="32"/>
      <x:c r="E201" s="32"/>
      <x:c r="F201" s="32"/>
      <x:c r="G201" s="32"/>
      <x:c r="H201" s="32"/>
    </x:row>
    <x:row r="202" ht="29.25" customHeight="1">
      <x:c r="A202" s="32"/>
      <x:c r="B202" s="32"/>
      <x:c r="C202" s="32"/>
      <x:c r="D202" s="32"/>
      <x:c r="E202" s="32"/>
      <x:c r="F202" s="32"/>
      <x:c r="G202" s="32"/>
      <x:c r="H202" s="32"/>
    </x:row>
    <x:row r="203" ht="29.25" customHeight="1">
      <x:c r="A203" s="32"/>
      <x:c r="B203" s="32"/>
      <x:c r="C203" s="32"/>
      <x:c r="D203" s="32"/>
      <x:c r="E203" s="32"/>
      <x:c r="F203" s="32"/>
      <x:c r="G203" s="32"/>
      <x:c r="H203" s="32"/>
    </x:row>
    <x:row r="204" ht="80">
      <x:c r="A204" s="32"/>
      <x:c r="B204" s="32"/>
      <x:c r="C204" s="32"/>
      <x:c r="D204" s="32"/>
      <x:c r="E204" s="32"/>
      <x:c r="F204" s="32"/>
      <x:c r="G204" s="32"/>
      <x:c r="H204" s="32"/>
    </x:row>
    <x:row r="205" ht="49" customHeight="1">
      <x:c r="A205" s="32"/>
      <x:c r="B205" s="32"/>
      <x:c r="C205" s="32"/>
      <x:c r="D205" s="32"/>
      <x:c r="E205" s="32"/>
      <x:c r="F205" s="32"/>
      <x:c r="G205" s="32"/>
      <x:c r="H205" s="32"/>
    </x:row>
    <x:row r="206" ht="29.25" customHeight="1">
      <x:c r="A206" s="32"/>
      <x:c r="B206" s="32"/>
      <x:c r="C206" s="32"/>
      <x:c r="D206" s="32"/>
      <x:c r="E206" s="32"/>
      <x:c r="F206" s="32"/>
      <x:c r="G206" s="32"/>
      <x:c r="H206" s="32"/>
    </x:row>
    <x:row r="207" ht="29.25" customHeight="1">
      <x:c r="A207" s="32"/>
      <x:c r="B207" s="32"/>
      <x:c r="C207" s="32"/>
      <x:c r="D207" s="32"/>
      <x:c r="E207" s="32"/>
      <x:c r="F207" s="32"/>
      <x:c r="G207" s="32"/>
      <x:c r="H207" s="32"/>
    </x:row>
    <x:row r="208" ht="29.25" customHeight="1">
      <x:c r="A208" s="32"/>
      <x:c r="B208" s="32"/>
      <x:c r="C208" s="32"/>
      <x:c r="D208" s="32"/>
      <x:c r="E208" s="32"/>
      <x:c r="F208" s="32"/>
      <x:c r="G208" s="32"/>
      <x:c r="H208" s="32"/>
    </x:row>
    <x:row r="209" ht="29.25" customHeight="1">
      <x:c r="A209" s="32"/>
      <x:c r="B209" s="32"/>
      <x:c r="C209" s="32"/>
      <x:c r="D209" s="32"/>
      <x:c r="E209" s="32"/>
      <x:c r="F209" s="32"/>
      <x:c r="G209" s="32"/>
      <x:c r="H209" s="32"/>
    </x:row>
    <x:row r="210" ht="29.25" customHeight="1">
      <x:c r="A210" s="32"/>
      <x:c r="B210" s="32"/>
      <x:c r="C210" s="32"/>
      <x:c r="D210" s="32"/>
      <x:c r="E210" s="32"/>
      <x:c r="F210" s="32"/>
      <x:c r="G210" s="32"/>
      <x:c r="H210" s="32"/>
    </x:row>
    <x:row r="211" ht="29.25" customHeight="1">
      <x:c r="A211" s="32"/>
      <x:c r="B211" s="32"/>
      <x:c r="C211" s="32"/>
      <x:c r="D211" s="32"/>
      <x:c r="E211" s="32"/>
      <x:c r="F211" s="32"/>
      <x:c r="G211" s="32"/>
      <x:c r="H211" s="32"/>
    </x:row>
    <x:row r="212" ht="29.25" customHeight="1">
      <x:c r="A212" s="32"/>
      <x:c r="B212" s="32"/>
      <x:c r="C212" s="32"/>
      <x:c r="D212" s="32"/>
      <x:c r="E212" s="32"/>
      <x:c r="F212" s="32"/>
      <x:c r="G212" s="32"/>
      <x:c r="H212" s="32"/>
    </x:row>
    <x:row r="213" ht="29.25" customHeight="1">
      <x:c r="A213" s="32"/>
      <x:c r="B213" s="32"/>
      <x:c r="C213" s="32"/>
      <x:c r="D213" s="32"/>
      <x:c r="E213" s="32"/>
      <x:c r="F213" s="32"/>
      <x:c r="G213" s="32"/>
      <x:c r="H213" s="32"/>
    </x:row>
    <x:row r="214" ht="29.25" customHeight="1">
      <x:c r="A214" s="32"/>
      <x:c r="B214" s="32"/>
      <x:c r="C214" s="32"/>
      <x:c r="D214" s="32"/>
      <x:c r="E214" s="32"/>
      <x:c r="F214" s="32"/>
      <x:c r="G214" s="32"/>
      <x:c r="H214" s="32"/>
    </x:row>
    <x:row r="215" ht="29.25" customHeight="1">
      <x:c r="A215" s="32"/>
      <x:c r="B215" s="32"/>
      <x:c r="C215" s="32"/>
      <x:c r="D215" s="32"/>
      <x:c r="E215" s="32"/>
      <x:c r="F215" s="32"/>
      <x:c r="G215" s="32"/>
      <x:c r="H215" s="32"/>
    </x:row>
    <x:row r="216" ht="29.25" customHeight="1">
      <x:c r="A216" s="32"/>
      <x:c r="B216" s="32"/>
      <x:c r="C216" s="32"/>
      <x:c r="D216" s="32"/>
      <x:c r="E216" s="32"/>
      <x:c r="F216" s="32"/>
      <x:c r="G216" s="32"/>
      <x:c r="H216" s="32"/>
    </x:row>
    <x:row r="217" ht="32">
      <x:c r="A217" s="32"/>
      <x:c r="B217" s="32"/>
      <x:c r="C217" s="32"/>
      <x:c r="D217" s="32"/>
      <x:c r="E217" s="32"/>
      <x:c r="F217" s="32"/>
      <x:c r="G217" s="32"/>
      <x:c r="H217" s="32"/>
    </x:row>
    <x:row r="218" ht="32">
      <x:c r="A218" s="32"/>
      <x:c r="B218" s="32"/>
      <x:c r="C218" s="32"/>
      <x:c r="D218" s="32"/>
      <x:c r="E218" s="32"/>
      <x:c r="F218" s="32"/>
      <x:c r="G218" s="32"/>
      <x:c r="H218" s="32"/>
    </x:row>
    <x:row r="219" ht="29.25" customHeight="1">
      <x:c r="A219" s="32"/>
      <x:c r="B219" s="32"/>
      <x:c r="C219" s="32"/>
      <x:c r="D219" s="32"/>
      <x:c r="E219" s="32"/>
      <x:c r="F219" s="32"/>
      <x:c r="G219" s="32"/>
      <x:c r="H219" s="32"/>
    </x:row>
    <x:row r="220" ht="29.25" customHeight="1">
      <x:c r="A220" s="32"/>
      <x:c r="B220" s="32"/>
      <x:c r="C220" s="32"/>
      <x:c r="D220" s="32"/>
      <x:c r="E220" s="32"/>
      <x:c r="F220" s="32"/>
      <x:c r="G220" s="32"/>
      <x:c r="H220" s="32"/>
    </x:row>
    <x:row r="221" ht="29.25" customHeight="1">
      <x:c r="A221" s="32"/>
      <x:c r="B221" s="32"/>
      <x:c r="C221" s="32"/>
      <x:c r="D221" s="32"/>
      <x:c r="E221" s="32"/>
      <x:c r="F221" s="32"/>
      <x:c r="G221" s="32"/>
      <x:c r="H221" s="32"/>
    </x:row>
    <x:row r="222" ht="32">
      <x:c r="A222" s="32"/>
      <x:c r="B222" s="32"/>
      <x:c r="C222" s="32"/>
      <x:c r="D222" s="32"/>
      <x:c r="E222" s="32"/>
      <x:c r="F222" s="32"/>
      <x:c r="G222" s="32"/>
      <x:c r="H222" s="32"/>
    </x:row>
    <x:row r="223" ht="32">
      <x:c r="A223" s="32"/>
      <x:c r="B223" s="32"/>
      <x:c r="C223" s="32"/>
      <x:c r="D223" s="32"/>
      <x:c r="E223" s="32"/>
      <x:c r="F223" s="32"/>
      <x:c r="G223" s="32"/>
      <x:c r="H223" s="32"/>
    </x:row>
    <x:row r="224" ht="32">
      <x:c r="A224" s="32"/>
      <x:c r="B224" s="32"/>
      <x:c r="C224" s="32"/>
      <x:c r="D224" s="32"/>
      <x:c r="E224" s="32"/>
      <x:c r="F224" s="32"/>
      <x:c r="G224" s="32"/>
      <x:c r="H224" s="32"/>
    </x:row>
    <x:row r="225" ht="32">
      <x:c r="A225" s="32"/>
      <x:c r="B225" s="32"/>
      <x:c r="C225" s="32"/>
      <x:c r="D225" s="32"/>
      <x:c r="E225" s="32"/>
      <x:c r="F225" s="32"/>
      <x:c r="G225" s="32"/>
      <x:c r="H225" s="32"/>
    </x:row>
    <x:row r="226" ht="32">
      <x:c r="A226" s="32"/>
      <x:c r="B226" s="32"/>
      <x:c r="C226" s="32"/>
      <x:c r="D226" s="32"/>
      <x:c r="E226" s="32"/>
      <x:c r="F226" s="32"/>
      <x:c r="G226" s="32"/>
      <x:c r="H226" s="32"/>
    </x:row>
    <x:row r="227" ht="32">
      <x:c r="A227" s="32"/>
      <x:c r="B227" s="32"/>
      <x:c r="C227" s="32"/>
      <x:c r="D227" s="32"/>
      <x:c r="E227" s="32"/>
      <x:c r="F227" s="32"/>
      <x:c r="G227" s="32"/>
      <x:c r="H227" s="32"/>
    </x:row>
    <x:row r="228" ht="32">
      <x:c r="A228" s="32"/>
      <x:c r="B228" s="32"/>
      <x:c r="C228" s="32"/>
      <x:c r="D228" s="32"/>
      <x:c r="E228" s="32"/>
      <x:c r="F228" s="32"/>
      <x:c r="G228" s="32"/>
      <x:c r="H228" s="32"/>
      <x:c r="I228" s="33"/>
    </x:row>
    <x:row r="229" ht="32">
      <x:c r="A229" s="32"/>
      <x:c r="B229" s="32"/>
      <x:c r="C229" s="32"/>
      <x:c r="D229" s="32"/>
      <x:c r="E229" s="32"/>
      <x:c r="F229" s="32"/>
      <x:c r="G229" s="32"/>
      <x:c r="H229" s="32"/>
    </x:row>
    <x:row r="230" ht="32">
      <x:c r="A230" s="32"/>
      <x:c r="B230" s="32"/>
      <x:c r="C230" s="32"/>
      <x:c r="D230" s="32"/>
      <x:c r="E230" s="32"/>
      <x:c r="F230" s="32"/>
      <x:c r="G230" s="32"/>
      <x:c r="H230" s="32"/>
    </x:row>
    <x:row r="231" ht="32">
      <x:c r="A231" s="32"/>
      <x:c r="B231" s="32"/>
      <x:c r="C231" s="32"/>
      <x:c r="D231" s="32"/>
      <x:c r="E231" s="32"/>
      <x:c r="F231" s="32"/>
      <x:c r="G231" s="32"/>
      <x:c r="H231" s="32"/>
    </x:row>
    <x:row r="232" ht="32">
      <x:c r="A232" s="32"/>
      <x:c r="B232" s="32"/>
      <x:c r="C232" s="32"/>
      <x:c r="D232" s="32"/>
      <x:c r="E232" s="32"/>
      <x:c r="F232" s="32"/>
      <x:c r="G232" s="32"/>
      <x:c r="H232" s="32"/>
    </x:row>
    <x:row r="233" ht="32">
      <x:c r="A233" s="32"/>
      <x:c r="B233" s="32"/>
      <x:c r="C233" s="32"/>
      <x:c r="D233" s="32"/>
      <x:c r="E233" s="32"/>
      <x:c r="F233" s="32"/>
      <x:c r="G233" s="32"/>
      <x:c r="H233" s="32"/>
    </x:row>
    <x:row r="234" ht="32">
      <x:c r="A234" s="32"/>
      <x:c r="B234" s="32"/>
      <x:c r="C234" s="32"/>
      <x:c r="D234" s="32"/>
      <x:c r="E234" s="32"/>
      <x:c r="F234" s="32"/>
      <x:c r="G234" s="32"/>
      <x:c r="H234" s="32"/>
    </x:row>
    <x:row r="235" ht="32">
      <x:c r="A235" s="32"/>
      <x:c r="B235" s="32"/>
      <x:c r="C235" s="32"/>
      <x:c r="D235" s="32"/>
      <x:c r="E235" s="32"/>
      <x:c r="F235" s="32"/>
      <x:c r="G235" s="32"/>
      <x:c r="H235" s="32"/>
    </x:row>
    <x:row r="236" ht="32">
      <x:c r="A236" s="32"/>
      <x:c r="B236" s="32"/>
      <x:c r="C236" s="32"/>
      <x:c r="D236" s="32"/>
      <x:c r="E236" s="32"/>
      <x:c r="F236" s="32"/>
      <x:c r="G236" s="32"/>
      <x:c r="H236" s="32"/>
    </x:row>
    <x:row r="237" ht="32">
      <x:c r="A237" s="32"/>
      <x:c r="B237" s="32"/>
      <x:c r="C237" s="32"/>
      <x:c r="D237" s="32"/>
      <x:c r="E237" s="32"/>
      <x:c r="F237" s="32"/>
      <x:c r="G237" s="32"/>
      <x:c r="H237" s="32"/>
    </x:row>
    <x:row r="238" ht="32">
      <x:c r="A238" s="32"/>
      <x:c r="B238" s="32"/>
      <x:c r="C238" s="32"/>
      <x:c r="D238" s="32"/>
      <x:c r="E238" s="32"/>
      <x:c r="F238" s="32"/>
      <x:c r="G238" s="32"/>
      <x:c r="H238" s="32"/>
    </x:row>
    <x:row r="239" ht="29.25" customHeight="1">
      <x:c r="A239" s="32"/>
      <x:c r="B239" s="32"/>
      <x:c r="C239" s="32"/>
      <x:c r="D239" s="32"/>
      <x:c r="E239" s="32"/>
      <x:c r="F239" s="32"/>
      <x:c r="G239" s="32"/>
      <x:c r="H239" s="32"/>
    </x:row>
    <x:row r="240" ht="29.25" customHeight="1">
      <x:c r="A240" s="32"/>
      <x:c r="B240" s="32"/>
      <x:c r="C240" s="32"/>
      <x:c r="D240" s="32"/>
      <x:c r="E240" s="32"/>
      <x:c r="F240" s="32"/>
      <x:c r="G240" s="32"/>
      <x:c r="H240" s="32"/>
    </x:row>
    <x:row r="241" ht="29.25" customHeight="1">
      <x:c r="A241" s="32"/>
      <x:c r="B241" s="32"/>
      <x:c r="C241" s="32"/>
      <x:c r="D241" s="32"/>
      <x:c r="E241" s="32"/>
      <x:c r="F241" s="32"/>
      <x:c r="G241" s="32"/>
      <x:c r="H241" s="32"/>
    </x:row>
    <x:row r="242" ht="29.25" customHeight="1">
      <x:c r="A242" s="32"/>
      <x:c r="B242" s="32"/>
      <x:c r="C242" s="32"/>
      <x:c r="D242" s="32"/>
      <x:c r="E242" s="32"/>
      <x:c r="F242" s="32"/>
      <x:c r="G242" s="32"/>
      <x:c r="H242" s="32"/>
    </x:row>
    <x:row r="243" ht="16">
      <x:c r="A243" s="32"/>
      <x:c r="B243" s="32"/>
      <x:c r="C243" s="32"/>
      <x:c r="D243" s="32"/>
      <x:c r="E243" s="32"/>
      <x:c r="F243" s="32"/>
      <x:c r="G243" s="32"/>
      <x:c r="H243" s="32"/>
    </x:row>
    <x:row r="244" s="33" customFormat="1" ht="16">
      <x:c r="E244" s="32"/>
      <x:c r="I244" s="75"/>
    </x:row>
    <x:row r="245" ht="80">
      <x:c r="A245" s="32"/>
      <x:c r="B245" s="32"/>
      <x:c r="C245" s="32"/>
      <x:c r="D245" s="32"/>
      <x:c r="E245" s="32"/>
      <x:c r="F245" s="33"/>
      <x:c r="G245" s="33"/>
      <x:c r="H245" s="33"/>
    </x:row>
    <x:row r="246" ht="16">
      <x:c r="A246" s="33"/>
      <x:c r="B246" s="33"/>
      <x:c r="C246" s="33"/>
      <x:c r="D246" s="33"/>
      <x:c r="E246" s="32"/>
      <x:c r="F246" s="33"/>
      <x:c r="G246" s="33"/>
      <x:c r="H246" s="33"/>
    </x:row>
    <x:row r="247" ht="32">
      <x:c r="A247" s="33"/>
      <x:c r="B247" s="33"/>
      <x:c r="C247" s="33"/>
      <x:c r="D247" s="33"/>
      <x:c r="E247" s="32"/>
      <x:c r="F247" s="33"/>
      <x:c r="G247" s="33"/>
      <x:c r="H247" s="33"/>
    </x:row>
    <x:row r="248" ht="64">
      <x:c r="A248" s="32"/>
      <x:c r="B248" s="32"/>
      <x:c r="C248" s="32"/>
      <x:c r="D248" s="32"/>
      <x:c r="E248" s="32"/>
      <x:c r="F248" s="33"/>
      <x:c r="G248" s="33"/>
      <x:c r="H248" s="33"/>
    </x:row>
    <x:row r="249" ht="32">
      <x:c r="A249" s="33"/>
      <x:c r="B249" s="33"/>
      <x:c r="C249" s="33"/>
      <x:c r="D249" s="33"/>
      <x:c r="E249" s="32"/>
      <x:c r="F249" s="33"/>
      <x:c r="G249" s="33"/>
      <x:c r="H249" s="33"/>
    </x:row>
    <x:row r="250" ht="48">
      <x:c r="A250" s="33"/>
      <x:c r="B250" s="33"/>
      <x:c r="C250" s="33"/>
      <x:c r="D250" s="33"/>
      <x:c r="E250" s="32"/>
      <x:c r="F250" s="33"/>
      <x:c r="G250" s="33"/>
      <x:c r="H250" s="33"/>
    </x:row>
    <x:row r="251" ht="32">
      <x:c r="A251" s="33"/>
      <x:c r="B251" s="33"/>
      <x:c r="C251" s="33"/>
      <x:c r="D251" s="33"/>
      <x:c r="E251" s="32"/>
      <x:c r="F251" s="33"/>
      <x:c r="G251" s="33"/>
      <x:c r="H251" s="33"/>
    </x:row>
    <x:row r="252" ht="80">
      <x:c r="A252" s="33"/>
      <x:c r="B252" s="33"/>
      <x:c r="C252" s="33"/>
      <x:c r="D252" s="33"/>
      <x:c r="E252" s="32"/>
      <x:c r="F252" s="33"/>
      <x:c r="G252" s="33"/>
      <x:c r="H252" s="33"/>
    </x:row>
    <x:row r="253" ht="32">
      <x:c r="A253" s="33"/>
      <x:c r="B253" s="33"/>
      <x:c r="C253" s="33"/>
      <x:c r="D253" s="33"/>
      <x:c r="E253" s="32"/>
      <x:c r="F253" s="33"/>
      <x:c r="G253" s="33"/>
      <x:c r="H253" s="33"/>
    </x:row>
    <x:row r="254" ht="128">
      <x:c r="A254" s="33"/>
      <x:c r="B254" s="33"/>
      <x:c r="C254" s="33"/>
      <x:c r="D254" s="33"/>
      <x:c r="E254" s="32"/>
      <x:c r="F254" s="33"/>
      <x:c r="G254" s="33"/>
      <x:c r="H254" s="33"/>
    </x:row>
    <x:row r="255" ht="32">
      <x:c r="A255" s="33"/>
      <x:c r="B255" s="33"/>
      <x:c r="C255" s="33"/>
      <x:c r="D255" s="33"/>
      <x:c r="E255" s="32"/>
      <x:c r="F255" s="33"/>
      <x:c r="G255" s="33"/>
      <x:c r="H255" s="33"/>
    </x:row>
    <x:row r="256" ht="32">
      <x:c r="A256" s="33"/>
      <x:c r="B256" s="33"/>
      <x:c r="C256" s="33"/>
      <x:c r="D256" s="33"/>
      <x:c r="E256" s="32"/>
      <x:c r="F256" s="33"/>
      <x:c r="G256" s="33"/>
      <x:c r="H256" s="33"/>
    </x:row>
    <x:row r="257" ht="48">
      <x:c r="A257" s="33"/>
      <x:c r="B257" s="33"/>
      <x:c r="C257" s="33"/>
      <x:c r="D257" s="33"/>
      <x:c r="E257" s="32"/>
      <x:c r="F257" s="33"/>
      <x:c r="G257" s="33"/>
      <x:c r="H257" s="33"/>
    </x:row>
    <x:row r="258" ht="32">
      <x:c r="A258" s="33"/>
      <x:c r="B258" s="33"/>
      <x:c r="C258" s="33"/>
      <x:c r="D258" s="33"/>
      <x:c r="E258" s="32"/>
      <x:c r="F258" s="33"/>
      <x:c r="G258" s="33"/>
      <x:c r="H258" s="33"/>
    </x:row>
    <x:row r="259" ht="80">
      <x:c r="A259" s="33"/>
      <x:c r="B259" s="33"/>
      <x:c r="C259" s="33"/>
      <x:c r="D259" s="33"/>
      <x:c r="E259" s="32"/>
      <x:c r="F259" s="33"/>
      <x:c r="G259" s="33"/>
      <x:c r="H259" s="33"/>
    </x:row>
    <x:row r="260" ht="32">
      <x:c r="A260" s="33"/>
      <x:c r="B260" s="33"/>
      <x:c r="C260" s="33"/>
      <x:c r="D260" s="33"/>
      <x:c r="E260" s="32"/>
      <x:c r="F260" s="33"/>
      <x:c r="G260" s="33"/>
      <x:c r="H260" s="33"/>
    </x:row>
    <x:row r="261" ht="128">
      <x:c r="A261" s="33"/>
      <x:c r="B261" s="33"/>
      <x:c r="C261" s="33"/>
      <x:c r="D261" s="33"/>
      <x:c r="E261" s="32"/>
      <x:c r="F261" s="33"/>
      <x:c r="G261" s="33"/>
      <x:c r="H261" s="33"/>
    </x:row>
    <x:row r="262" ht="32">
      <x:c r="A262" s="33"/>
      <x:c r="B262" s="33"/>
      <x:c r="C262" s="33"/>
      <x:c r="D262" s="33"/>
      <x:c r="E262" s="32"/>
      <x:c r="F262" s="33"/>
      <x:c r="G262" s="33"/>
      <x:c r="H262" s="33"/>
    </x:row>
    <x:row r="263" ht="32">
      <x:c r="A263" s="33"/>
      <x:c r="B263" s="33"/>
      <x:c r="C263" s="33"/>
      <x:c r="D263" s="33"/>
      <x:c r="E263" s="32"/>
      <x:c r="F263" s="33"/>
      <x:c r="G263" s="33"/>
      <x:c r="H263" s="33"/>
    </x:row>
    <x:row r="264" ht="48">
      <x:c r="A264" s="33"/>
      <x:c r="B264" s="33"/>
      <x:c r="C264" s="33"/>
      <x:c r="D264" s="33"/>
      <x:c r="E264" s="32"/>
      <x:c r="F264" s="33"/>
      <x:c r="G264" s="33"/>
      <x:c r="H264" s="33"/>
    </x:row>
    <x:row r="265" ht="32">
      <x:c r="A265" s="33"/>
      <x:c r="B265" s="33"/>
      <x:c r="C265" s="33"/>
      <x:c r="D265" s="33"/>
      <x:c r="E265" s="32"/>
      <x:c r="F265" s="33"/>
      <x:c r="G265" s="33"/>
      <x:c r="H265" s="33"/>
    </x:row>
    <x:row r="266" ht="80">
      <x:c r="A266" s="33"/>
      <x:c r="B266" s="33"/>
      <x:c r="C266" s="33"/>
      <x:c r="D266" s="33"/>
      <x:c r="E266" s="32"/>
      <x:c r="F266" s="33"/>
      <x:c r="G266" s="33"/>
      <x:c r="H266" s="33"/>
    </x:row>
    <x:row r="267" ht="32">
      <x:c r="A267" s="33"/>
      <x:c r="B267" s="33"/>
      <x:c r="C267" s="33"/>
      <x:c r="D267" s="33"/>
      <x:c r="E267" s="32"/>
      <x:c r="F267" s="33"/>
      <x:c r="G267" s="33"/>
      <x:c r="H267" s="33"/>
    </x:row>
    <x:row r="268" ht="128">
      <x:c r="A268" s="33"/>
      <x:c r="B268" s="33"/>
      <x:c r="C268" s="33"/>
      <x:c r="D268" s="33"/>
      <x:c r="E268" s="32"/>
      <x:c r="F268" s="33"/>
      <x:c r="G268" s="33"/>
      <x:c r="H268" s="33"/>
    </x:row>
    <x:row r="269" ht="32">
      <x:c r="A269" s="33"/>
      <x:c r="B269" s="33"/>
      <x:c r="C269" s="33"/>
      <x:c r="D269" s="33"/>
      <x:c r="E269" s="32"/>
      <x:c r="F269" s="33"/>
      <x:c r="G269" s="33"/>
      <x:c r="H269" s="33"/>
    </x:row>
    <x:row r="270" ht="32">
      <x:c r="A270" s="33"/>
      <x:c r="B270" s="33"/>
      <x:c r="C270" s="33"/>
      <x:c r="D270" s="33"/>
      <x:c r="E270" s="32"/>
      <x:c r="F270" s="33"/>
      <x:c r="G270" s="33"/>
      <x:c r="H270" s="33"/>
    </x:row>
    <x:row r="271" ht="48">
      <x:c r="A271" s="33"/>
      <x:c r="B271" s="33"/>
      <x:c r="C271" s="33"/>
      <x:c r="D271" s="33"/>
      <x:c r="E271" s="32"/>
      <x:c r="F271" s="33"/>
      <x:c r="G271" s="33"/>
      <x:c r="H271" s="33"/>
    </x:row>
    <x:row r="272" ht="32">
      <x:c r="A272" s="33"/>
      <x:c r="B272" s="33"/>
      <x:c r="C272" s="33"/>
      <x:c r="D272" s="33"/>
      <x:c r="E272" s="32"/>
      <x:c r="F272" s="33"/>
      <x:c r="G272" s="33"/>
      <x:c r="H272" s="33"/>
    </x:row>
    <x:row r="273" ht="80">
      <x:c r="A273" s="33"/>
      <x:c r="B273" s="33"/>
      <x:c r="C273" s="33"/>
      <x:c r="D273" s="33"/>
      <x:c r="E273" s="32"/>
      <x:c r="F273" s="33"/>
      <x:c r="G273" s="33"/>
      <x:c r="H273" s="33"/>
    </x:row>
    <x:row r="274" ht="32">
      <x:c r="A274" s="33"/>
      <x:c r="B274" s="33"/>
      <x:c r="C274" s="33"/>
      <x:c r="D274" s="33"/>
      <x:c r="E274" s="32"/>
      <x:c r="F274" s="33"/>
      <x:c r="G274" s="33"/>
      <x:c r="H274" s="33"/>
    </x:row>
    <x:row r="275" ht="192">
      <x:c r="A275" s="33"/>
      <x:c r="B275" s="33"/>
      <x:c r="C275" s="33"/>
      <x:c r="D275" s="33"/>
      <x:c r="E275" s="32"/>
      <x:c r="F275" s="33"/>
      <x:c r="G275" s="33"/>
      <x:c r="H275" s="33"/>
    </x:row>
    <x:row r="276" ht="112">
      <x:c r="A276" s="33"/>
      <x:c r="B276" s="32"/>
      <x:c r="C276" s="33"/>
      <x:c r="D276" s="32"/>
      <x:c r="E276" s="32"/>
      <x:c r="F276" s="33"/>
      <x:c r="G276" s="33"/>
      <x:c r="H276" s="33"/>
    </x:row>
    <x:row r="277" ht="32">
      <x:c r="A277" s="33"/>
      <x:c r="B277" s="33"/>
      <x:c r="C277" s="33"/>
      <x:c r="D277" s="32"/>
      <x:c r="E277" s="32"/>
      <x:c r="F277" s="33"/>
      <x:c r="G277" s="33"/>
      <x:c r="H277" s="33"/>
    </x:row>
    <x:row r="278" ht="48">
      <x:c r="A278" s="33"/>
      <x:c r="B278" s="33"/>
      <x:c r="C278" s="33"/>
      <x:c r="D278" s="32"/>
      <x:c r="E278" s="32"/>
      <x:c r="F278" s="33"/>
      <x:c r="G278" s="33"/>
      <x:c r="H278" s="33"/>
    </x:row>
    <x:row r="279" ht="32">
      <x:c r="A279" s="33"/>
      <x:c r="B279" s="33"/>
      <x:c r="C279" s="33"/>
      <x:c r="D279" s="32"/>
      <x:c r="E279" s="32"/>
      <x:c r="F279" s="33"/>
      <x:c r="G279" s="33"/>
      <x:c r="H279" s="33"/>
    </x:row>
    <x:row r="280">
      <x:c r="A280" s="33"/>
      <x:c r="B280" s="33"/>
      <x:c r="C280" s="33"/>
      <x:c r="D280" s="33"/>
      <x:c r="E280" s="33"/>
      <x:c r="F280" s="33"/>
      <x:c r="G280" s="33"/>
      <x:c r="H280" s="33"/>
    </x:row>
    <x:row r="281" ht="101.5" customHeight="1">
      <x:c r="A281" s="32"/>
      <x:c r="B281" s="32"/>
      <x:c r="C281" s="32"/>
      <x:c r="D281" s="32"/>
      <x:c r="E281" s="32"/>
      <x:c r="F281" s="32"/>
      <x:c r="G281" s="32"/>
      <x:c r="H281" s="32"/>
    </x:row>
    <x:row r="282" ht="43.5" customHeight="1">
      <x:c r="A282" s="32"/>
      <x:c r="B282" s="32"/>
      <x:c r="C282" s="32"/>
      <x:c r="D282" s="32"/>
      <x:c r="E282" s="32"/>
      <x:c r="F282" s="32"/>
      <x:c r="G282" s="32"/>
      <x:c r="H282" s="32"/>
    </x:row>
    <x:row r="283" ht="43.5" customHeight="1">
      <x:c r="A283" s="32"/>
      <x:c r="B283" s="32"/>
      <x:c r="C283" s="32"/>
      <x:c r="D283" s="32"/>
      <x:c r="E283" s="32"/>
      <x:c r="F283" s="32"/>
      <x:c r="G283" s="32"/>
      <x:c r="H283" s="32"/>
    </x:row>
    <x:row r="284" ht="116.25" customHeight="1">
      <x:c r="A284" s="32"/>
      <x:c r="B284" s="32"/>
      <x:c r="C284" s="32"/>
      <x:c r="D284" s="32"/>
      <x:c r="E284" s="32"/>
      <x:c r="F284" s="32"/>
      <x:c r="G284" s="32"/>
      <x:c r="H284" s="32"/>
    </x:row>
    <x:row r="285" ht="43.5" customHeight="1">
      <x:c r="A285" s="32"/>
      <x:c r="B285" s="32"/>
      <x:c r="C285" s="32"/>
      <x:c r="D285" s="32"/>
      <x:c r="E285" s="32"/>
      <x:c r="F285" s="32"/>
      <x:c r="G285" s="32"/>
      <x:c r="H285" s="32"/>
    </x:row>
    <x:row r="286" ht="43.5" customHeight="1">
      <x:c r="A286" s="32"/>
      <x:c r="B286" s="32"/>
      <x:c r="C286" s="32"/>
      <x:c r="D286" s="32"/>
      <x:c r="E286" s="32"/>
      <x:c r="F286" s="32"/>
      <x:c r="G286" s="32"/>
      <x:c r="H286" s="32"/>
    </x:row>
    <x:row r="288" ht="29" customHeight="1">
      <x:c r="A288" s="33"/>
      <x:c r="B288" s="33"/>
      <x:c r="C288" s="33"/>
      <x:c r="D288" s="32"/>
      <x:c r="E288" s="32"/>
      <x:c r="F288" s="33"/>
      <x:c r="G288" s="33"/>
      <x:c r="H288" s="33"/>
    </x:row>
    <x:row r="289" ht="29" customHeight="1">
      <x:c r="A289" s="33"/>
      <x:c r="B289" s="33"/>
      <x:c r="C289" s="33"/>
      <x:c r="D289" s="32"/>
      <x:c r="E289" s="32"/>
      <x:c r="F289" s="33"/>
      <x:c r="G289" s="33"/>
      <x:c r="H289" s="33"/>
    </x:row>
    <x:row r="290" ht="29" customHeight="1">
      <x:c r="A290" s="33"/>
      <x:c r="B290" s="33"/>
      <x:c r="C290" s="33"/>
      <x:c r="D290" s="32"/>
      <x:c r="E290" s="32"/>
      <x:c r="F290" s="33"/>
      <x:c r="G290" s="33"/>
      <x:c r="H290" s="33"/>
    </x:row>
    <x:row r="291" ht="29" customHeight="1">
      <x:c r="A291" s="33"/>
      <x:c r="B291" s="33"/>
      <x:c r="C291" s="33"/>
      <x:c r="D291" s="32"/>
      <x:c r="E291" s="32"/>
      <x:c r="F291" s="33"/>
      <x:c r="G291" s="33"/>
      <x:c r="H291" s="33"/>
    </x:row>
    <x:row r="292" ht="29" customHeight="1">
      <x:c r="A292" s="33"/>
      <x:c r="B292" s="33"/>
      <x:c r="C292" s="33"/>
      <x:c r="D292" s="32"/>
      <x:c r="E292" s="32"/>
      <x:c r="F292" s="33"/>
      <x:c r="G292" s="33"/>
      <x:c r="H292" s="33"/>
    </x:row>
    <x:row r="293" ht="29" customHeight="1">
      <x:c r="A293" s="33"/>
      <x:c r="B293" s="33"/>
      <x:c r="C293" s="33"/>
      <x:c r="D293" s="32"/>
      <x:c r="E293" s="32"/>
      <x:c r="F293" s="33"/>
      <x:c r="G293" s="33"/>
      <x:c r="H293" s="33"/>
    </x:row>
    <x:row r="294">
      <x:c r="A294" s="33"/>
      <x:c r="B294" s="33"/>
      <x:c r="C294" s="33"/>
      <x:c r="D294" s="32"/>
      <x:c r="E294" s="32"/>
      <x:c r="F294" s="33"/>
      <x:c r="G294" s="33"/>
      <x:c r="H294" s="33"/>
    </x:row>
    <x:row r="295" ht="29" customHeight="1">
      <x:c r="A295" s="33"/>
      <x:c r="B295" s="33"/>
      <x:c r="C295" s="33"/>
      <x:c r="D295" s="32"/>
      <x:c r="E295" s="32"/>
      <x:c r="F295" s="33"/>
      <x:c r="G295" s="33"/>
      <x:c r="H295" s="33"/>
    </x:row>
    <x:row r="296" ht="29" customHeight="1">
      <x:c r="A296" s="33"/>
      <x:c r="B296" s="33"/>
      <x:c r="C296" s="33"/>
      <x:c r="D296" s="32"/>
      <x:c r="E296" s="32"/>
      <x:c r="F296" s="33"/>
      <x:c r="G296" s="33"/>
      <x:c r="H296" s="33"/>
    </x:row>
  </x:sheetData>
  <x:mergeCells>
    <x:mergeCell ref="A1:H1"/>
  </x:mergeCells>
  <x:dataValidations count="2">
    <x:dataValidation allowBlank="1" sqref="A1:A2 C1:C2 D288:XFD1048576 F37:F94 E83:E94 E280:E287 F229:XFD287 E229:E275 E8:E71 F8:XFD36 B1:B4 D1:XFD4 B8:B181 G37:XFD181 D8:D181 E96:F181 B183:B227 D183:XFD227 D229:D287 B229:B1048576"/>
    <x:dataValidation showInputMessage="1" showErrorMessage="1" sqref="E276:E279 E72:E77 B5:XFD7 E79:E82 B182:XFD182 B228:XFD228"/>
  </x:dataValidations>
  <x:pageMargins left="0.7" right="0.7" top="0.75" bottom="0.75" header="0.3" footer="0.3"/>
</x:worksheet>
</file>

<file path=xl/worksheets/sheet7.xml><?xml version="1.0" encoding="utf-8"?>
<x:worksheet xmlns:x="http://schemas.openxmlformats.org/spreadsheetml/2006/main">
  <x:sheetPr>
    <x:tabColor theme="4" tint="0.59999"/>
  </x:sheetPr>
  <x:sheetFormatPr baseColWidth="10" defaultColWidth="8.83203125" defaultRowHeight="15"/>
  <x:cols>
    <x:col min="1" max="1" width="8.83203125" style="4" customWidth="0"/>
    <x:col min="2" max="2" width="19.1640625" customWidth="1"/>
    <x:col min="3" max="3" width="14.83203125" customWidth="1"/>
    <x:col min="4" max="4" width="20.5" customWidth="1"/>
    <x:col min="5" max="5" width="9.83203125" customWidth="1"/>
    <x:col min="6" max="6" width="21.83203125" customWidth="1"/>
    <x:col min="7" max="7" width="21.5" customWidth="1"/>
    <x:col min="8" max="8" width="21" customWidth="1"/>
    <x:col min="9" max="9" width="59.5" style="3" customWidth="1"/>
  </x:cols>
  <x:sheetData>
    <x:row r="1" ht="174" customHeight="1">
      <x:c r="A1" s="149" t="s">
        <x:v>24</x:v>
      </x:c>
      <x:c r="B1" s="150"/>
      <x:c r="C1" s="150"/>
      <x:c r="D1" s="150"/>
      <x:c r="E1" s="150"/>
      <x:c r="F1" s="151"/>
      <x:c r="G1" s="152" t="s">
        <x:v>25</x:v>
      </x:c>
      <x:c r="H1" s="153"/>
      <x:c r="I1" s="154"/>
    </x:row>
    <x:row r="2">
      <x:c r="A2" s="520" t="s">
        <x:v>2</x:v>
      </x:c>
      <x:c r="B2" s="521" t="s">
        <x:v>20</x:v>
      </x:c>
      <x:c r="C2" s="521" t="s">
        <x:v>26</x:v>
      </x:c>
      <x:c r="D2" s="521" t="s">
        <x:v>27</x:v>
      </x:c>
      <x:c r="E2" s="521" t="s">
        <x:v>28</x:v>
      </x:c>
      <x:c r="F2" s="521" t="s">
        <x:v>29</x:v>
      </x:c>
      <x:c r="G2" s="521" t="s">
        <x:v>30</x:v>
      </x:c>
      <x:c r="H2" s="521" t="s">
        <x:v>31</x:v>
      </x:c>
      <x:c r="I2" s="520" t="s">
        <x:v>32</x:v>
      </x:c>
    </x:row>
    <x:row r="3" ht="28.75" customHeight="1">
      <x:c r="A3" s="467" t="str">
        <x:v>Ashburn</x:v>
      </x:c>
      <x:c r="B3" s="390" t="str">
        <x:v>root</x:v>
      </x:c>
      <x:c r="C3" s="390" t="str">
        <x:v>SCCA_Audit</x:v>
      </x:c>
      <x:c r="D3" s="390" t="str">
        <x:v>Automatic accountability tags for SCCA-managed resources</x:v>
      </x:c>
      <x:c r="E3" s="390" t="str">
        <x:v>CreatedBy</x:v>
      </x:c>
      <x:c r="F3" s="390" t="str">
        <x:v>Principal that created the resource</x:v>
      </x:c>
      <x:c r="G3" s="517" t="b">
        <x:v>1</x:v>
      </x:c>
      <x:c r="H3" s="390"/>
      <x:c r="I3" s="522" t="str">
        <x:v>root=${iam.principal.name}</x:v>
      </x:c>
    </x:row>
    <x:row r="4">
      <x:c r="A4" s="408"/>
      <x:c r="B4" s="408"/>
      <x:c r="C4" s="408"/>
      <x:c r="D4" s="408"/>
      <x:c r="E4" s="408" t="str">
        <x:v>CreatedOn</x:v>
      </x:c>
      <x:c r="F4" s="408" t="str">
        <x:v>UTC timestamp when the resource was created</x:v>
      </x:c>
      <x:c r="G4" s="523" t="b">
        <x:v>0</x:v>
      </x:c>
      <x:c r="H4" s="408"/>
      <x:c r="I4" s="408" t="str">
        <x:v>root=${oci.datetime}</x:v>
      </x:c>
    </x:row>
    <x:row r="5" ht="32">
      <x:c r="A5" s="408"/>
      <x:c r="B5" s="408"/>
      <x:c r="C5" s="408"/>
      <x:c r="D5" s="408"/>
      <x:c r="E5" s="408" t="str">
        <x:v>PrincipalType</x:v>
      </x:c>
      <x:c r="F5" s="408" t="str">
        <x:v>Type of user or resource principal</x:v>
      </x:c>
      <x:c r="G5" s="523" t="b">
        <x:v>0</x:v>
      </x:c>
      <x:c r="H5" s="408"/>
      <x:c r="I5" s="408" t="str">
        <x:v>root=${iam.principal.type}</x:v>
      </x:c>
    </x:row>
    <x:row r="6" ht="28.75" customHeight="1">
      <x:c r="A6" s="408" t="str">
        <x:v>Ashburn</x:v>
      </x:c>
      <x:c r="B6" s="408" t="str">
        <x:v>root</x:v>
      </x:c>
      <x:c r="C6" s="408" t="str">
        <x:v>Governance</x:v>
      </x:c>
      <x:c r="D6" s="408" t="str">
        <x:v>SCCA ownership, environment, compliance and financial metadata</x:v>
      </x:c>
      <x:c r="E6" s="408" t="str">
        <x:v>Environment</x:v>
      </x:c>
      <x:c r="F6" s="408" t="str">
        <x:v>Deployment environment</x:v>
      </x:c>
      <x:c r="G6" s="523" t="b">
        <x:v>1</x:v>
      </x:c>
      <x:c r="H6" s="408" t="str">
        <x:v>ENUM::"Shared","Prod","NonProd","Dev","Test","Sandbox"</x:v>
      </x:c>
      <x:c r="I6" s="408" t="str">
        <x:v>EBLZ=Shared;EBLZ::Programs::CDAS::CDAS-NonProd=NonProd;EBLZ::Programs::CDAS::CDAS-Prod=Prod;EBLZ::Programs::MSAS::DataWalk-Dev=Dev;EBLZ::Programs::MSAS::DataWalk-Test=Test;EBLZ::Programs::MSAS::DataWalk-Prod=Prod;EBLZ::Programs::MSAS::Hyperscience-Dev=Dev;EBLZ::Programs::MSAS::Hyperscience-Prod=Prod;EBLZ::Sandbox=Sandbox</x:v>
      </x:c>
    </x:row>
    <x:row r="7">
      <x:c r="A7" s="408"/>
      <x:c r="B7" s="408"/>
      <x:c r="C7" s="408"/>
      <x:c r="D7" s="408"/>
      <x:c r="E7" s="408" t="str">
        <x:v>ManagedBy</x:v>
      </x:c>
      <x:c r="F7" s="408" t="str">
        <x:v>Provisioning authority</x:v>
      </x:c>
      <x:c r="G7" s="523" t="b">
        <x:v>0</x:v>
      </x:c>
      <x:c r="H7" s="408" t="str">
        <x:v>ENUM::"CD3","Terraform","ResourceManager","Manual"</x:v>
      </x:c>
      <x:c r="I7" s="408" t="str">
        <x:v>EBLZ=CD3</x:v>
      </x:c>
    </x:row>
    <x:row r="8" ht="28.75" customHeight="1">
      <x:c r="A8" s="408"/>
      <x:c r="B8" s="408"/>
      <x:c r="C8" s="408"/>
      <x:c r="D8" s="408"/>
      <x:c r="E8" s="408" t="str">
        <x:v>Compliance</x:v>
      </x:c>
      <x:c r="F8" s="408" t="str">
        <x:v>Applicable compliance baseline</x:v>
      </x:c>
      <x:c r="G8" s="523" t="b">
        <x:v>0</x:v>
      </x:c>
      <x:c r="H8" s="408" t="str">
        <x:v>ENUM::"SCCA","FedRAMP-High","NIST-800-53-Rev5","CIS-OCI"</x:v>
      </x:c>
      <x:c r="I8" s="408" t="str">
        <x:v>EBLZ=SCCA</x:v>
      </x:c>
    </x:row>
    <x:row r="9" ht="28.75" customHeight="1">
      <x:c r="A9" s="408"/>
      <x:c r="B9" s="408"/>
      <x:c r="C9" s="408"/>
      <x:c r="D9" s="408"/>
      <x:c r="E9" s="408" t="str">
        <x:v>DataClassification</x:v>
      </x:c>
      <x:c r="F9" s="408" t="str">
        <x:v>Authorized data classification</x:v>
      </x:c>
      <x:c r="G9" s="523" t="b">
        <x:v>0</x:v>
      </x:c>
      <x:c r="H9" s="408" t="str">
        <x:v>ENUM::"Public","Internal","Sensitive","CUI","Secret"</x:v>
      </x:c>
      <x:c r="I9" s="408" t="str">
        <x:v>EBLZ=CUI;EBLZ::Sandbox=Internal</x:v>
      </x:c>
    </x:row>
    <x:row r="10">
      <x:c r="A10" s="408"/>
      <x:c r="B10" s="408"/>
      <x:c r="C10" s="408"/>
      <x:c r="D10" s="408"/>
      <x:c r="E10" s="408" t="str">
        <x:v>Program</x:v>
      </x:c>
      <x:c r="F10" s="408" t="str">
        <x:v>Owning mission program</x:v>
      </x:c>
      <x:c r="G10" s="523" t="b">
        <x:v>1</x:v>
      </x:c>
      <x:c r="H10" s="408"/>
      <x:c r="I10" s="408" t="str">
        <x:v>EBLZ::Programs::CDAS=CDAS;EBLZ::Programs::MSAS=MSAS</x:v>
      </x:c>
    </x:row>
    <x:row r="11" ht="28.75" customHeight="1">
      <x:c r="A11" s="408"/>
      <x:c r="B11" s="408"/>
      <x:c r="C11" s="408"/>
      <x:c r="D11" s="408"/>
      <x:c r="E11" s="408" t="str">
        <x:v>Project</x:v>
      </x:c>
      <x:c r="F11" s="408" t="str">
        <x:v>Owning application or project</x:v>
      </x:c>
      <x:c r="G11" s="523" t="b">
        <x:v>1</x:v>
      </x:c>
      <x:c r="H11" s="408"/>
      <x:c r="I11" s="408" t="str">
        <x:v>EBLZ::Programs::MSAS::DataWalk-Dev=DataWalk;EBLZ::Programs::MSAS::DataWalk-Test=DataWalk;EBLZ::Programs::MSAS::DataWalk-Prod=DataWalk;EBLZ::Programs::MSAS::Hyperscience-Dev=Hyperscience;EBLZ::Programs::MSAS::Hyperscience-Prod=Hyperscience</x:v>
      </x:c>
    </x:row>
    <x:row r="12">
      <x:c r="A12" s="408"/>
      <x:c r="B12" s="408"/>
      <x:c r="C12" s="408"/>
      <x:c r="D12" s="408"/>
      <x:c r="E12" s="408" t="str">
        <x:v>BusinessOwner</x:v>
      </x:c>
      <x:c r="F12" s="408" t="str">
        <x:v>Accountable mission or business owner</x:v>
      </x:c>
      <x:c r="G12" s="523" t="b">
        <x:v>0</x:v>
      </x:c>
      <x:c r="H12" s="408"/>
      <x:c r="I12" s="408" t="str">
        <x:v>EBLZ=</x:v>
      </x:c>
    </x:row>
    <x:row r="13">
      <x:c r="A13" s="408"/>
      <x:c r="B13" s="408"/>
      <x:c r="C13" s="408"/>
      <x:c r="D13" s="408"/>
      <x:c r="E13" s="408" t="str">
        <x:v>TechnicalOwner</x:v>
      </x:c>
      <x:c r="F13" s="408" t="str">
        <x:v>Accountable technical owner</x:v>
      </x:c>
      <x:c r="G13" s="523" t="b">
        <x:v>0</x:v>
      </x:c>
      <x:c r="H13" s="408"/>
      <x:c r="I13" s="408" t="str">
        <x:v>EBLZ=</x:v>
      </x:c>
    </x:row>
    <x:row r="14">
      <x:c r="A14" s="408"/>
      <x:c r="B14" s="408"/>
      <x:c r="C14" s="408"/>
      <x:c r="D14" s="408"/>
      <x:c r="E14" s="408" t="str">
        <x:v>CostCenter</x:v>
      </x:c>
      <x:c r="F14" s="408" t="str">
        <x:v>Financial cost center or charge code</x:v>
      </x:c>
      <x:c r="G14" s="523" t="b">
        <x:v>1</x:v>
      </x:c>
      <x:c r="H14" s="408"/>
      <x:c r="I14" s="408" t="str">
        <x:v>EBLZ=</x:v>
      </x:c>
    </x:row>
    <x:row r="15">
      <x:c r="A15" s="361" t="str">
        <x:v>Ashburn</x:v>
      </x:c>
      <x:c r="B15" s="361" t="str">
        <x:v>root</x:v>
      </x:c>
      <x:c r="C15" s="361" t="str">
        <x:v>Operations</x:v>
      </x:c>
      <x:c r="D15" s="361" t="str">
        <x:v>Operational support and lifecycle metadata</x:v>
      </x:c>
      <x:c r="E15" s="361" t="str">
        <x:v>SupportTeam</x:v>
      </x:c>
      <x:c r="F15" s="361" t="str">
        <x:v>Primary support team</x:v>
      </x:c>
      <x:c r="G15" s="524" t="b">
        <x:v>0</x:v>
      </x:c>
      <x:c r="H15" s="361" t="str">
        <x:v>ENUM::"CloudOps","SecOps","NetworkOps","EntOps","AppDev","DevOps","DBA"</x:v>
      </x:c>
      <x:c r="I15" s="361" t="str">
        <x:v>EBLZ=CloudOps</x:v>
      </x:c>
    </x:row>
    <x:row r="16">
      <x:c r="A16" s="361"/>
      <x:c r="B16" s="361"/>
      <x:c r="C16" s="361"/>
      <x:c r="D16" s="361"/>
      <x:c r="E16" s="361" t="str">
        <x:v>Criticality</x:v>
      </x:c>
      <x:c r="F16" s="361" t="str">
        <x:v>Mission or service criticality</x:v>
      </x:c>
      <x:c r="G16" s="524" t="b">
        <x:v>0</x:v>
      </x:c>
      <x:c r="H16" s="361" t="str">
        <x:v>ENUM::"Mission-Critical","High","Medium","Low"</x:v>
      </x:c>
      <x:c r="I16" s="361" t="str">
        <x:v>EBLZ=High</x:v>
      </x:c>
    </x:row>
    <x:row r="17">
      <x:c r="A17" s="361"/>
      <x:c r="B17" s="361"/>
      <x:c r="C17" s="361"/>
      <x:c r="D17" s="361"/>
      <x:c r="E17" s="361" t="str">
        <x:v>BackupTier</x:v>
      </x:c>
      <x:c r="F17" s="361" t="str">
        <x:v>Required backup tier</x:v>
      </x:c>
      <x:c r="G17" s="524" t="b">
        <x:v>0</x:v>
      </x:c>
      <x:c r="H17" s="361" t="str">
        <x:v>ENUM::"Gold","Silver","Bronze","None"</x:v>
      </x:c>
      <x:c r="I17" s="361" t="str">
        <x:v>EBLZ=Gold</x:v>
      </x:c>
    </x:row>
    <x:row r="18">
      <x:c r="A18" s="361"/>
      <x:c r="B18" s="361"/>
      <x:c r="C18" s="361"/>
      <x:c r="D18" s="361"/>
      <x:c r="E18" s="361" t="str">
        <x:v>PatchGroup</x:v>
      </x:c>
      <x:c r="F18" s="361" t="str">
        <x:v>Approved patch cadence</x:v>
      </x:c>
      <x:c r="G18" s="524" t="b">
        <x:v>0</x:v>
      </x:c>
      <x:c r="H18" s="361" t="str">
        <x:v>ENUM::"Emergency","Weekly","Monthly","Quarterly","Manual"</x:v>
      </x:c>
      <x:c r="I18" s="361" t="str">
        <x:v>EBLZ=Monthly</x:v>
      </x:c>
    </x:row>
    <x:row r="19">
      <x:c r="A19" s="361"/>
      <x:c r="B19" s="361"/>
      <x:c r="C19" s="361"/>
      <x:c r="D19" s="361"/>
      <x:c r="E19" s="361" t="str">
        <x:v>Lifecycle</x:v>
      </x:c>
      <x:c r="F19" s="361" t="str">
        <x:v>Resource lifecycle state</x:v>
      </x:c>
      <x:c r="G19" s="524" t="b">
        <x:v>0</x:v>
      </x:c>
      <x:c r="H19" s="361" t="str">
        <x:v>ENUM::"Planned","Active","Deprecated","Retiring","Retired"</x:v>
      </x:c>
      <x:c r="I19" s="361" t="str">
        <x:v>EBLZ=Active</x:v>
      </x:c>
    </x:row>
    <x:row r="20">
      <x:c r="A20" s="361" t="str">
        <x:v>Ashburn</x:v>
      </x:c>
      <x:c r="B20" s="361" t="str">
        <x:v>root</x:v>
      </x:c>
      <x:c r="C20" s="361" t="str">
        <x:v>Security</x:v>
      </x:c>
      <x:c r="D20" s="361" t="str">
        <x:v>SCCA security posture metadata</x:v>
      </x:c>
      <x:c r="E20" s="361" t="str">
        <x:v>Encryption</x:v>
      </x:c>
      <x:c r="F20" s="361" t="str">
        <x:v>Encryption ownership model</x:v>
      </x:c>
      <x:c r="G20" s="524" t="b">
        <x:v>0</x:v>
      </x:c>
      <x:c r="H20" s="361" t="str">
        <x:v>ENUM::"Oracle-Managed","Customer-Managed-HSM","Customer-Managed-Software"</x:v>
      </x:c>
      <x:c r="I20" s="361" t="str">
        <x:v>EBLZ=Customer-Managed-HSM</x:v>
      </x:c>
    </x:row>
    <x:row r="21">
      <x:c r="A21" s="361"/>
      <x:c r="B21" s="361"/>
      <x:c r="C21" s="361"/>
      <x:c r="D21" s="361"/>
      <x:c r="E21" s="361" t="str">
        <x:v>SecurityZone</x:v>
      </x:c>
      <x:c r="F21" s="361" t="str">
        <x:v>Required security-zone posture</x:v>
      </x:c>
      <x:c r="G21" s="524" t="b">
        <x:v>0</x:v>
      </x:c>
      <x:c r="H21" s="361" t="str">
        <x:v>ENUM::"Maximum-Security","Standard-Security","None"</x:v>
      </x:c>
      <x:c r="I21" s="361" t="str">
        <x:v>EBLZ=Maximum-Security</x:v>
      </x:c>
    </x:row>
    <x:row r="22">
      <x:c r="A22" s="361"/>
      <x:c r="B22" s="361"/>
      <x:c r="C22" s="361"/>
      <x:c r="D22" s="361"/>
      <x:c r="E22" s="361" t="str">
        <x:v>ControlBaseline</x:v>
      </x:c>
      <x:c r="F22" s="361" t="str">
        <x:v>Applicable control baseline</x:v>
      </x:c>
      <x:c r="G22" s="524" t="b">
        <x:v>0</x:v>
      </x:c>
      <x:c r="H22" s="361" t="str">
        <x:v>ENUM::"SCCA","NIST-800-53-Rev5","FedRAMP-High"</x:v>
      </x:c>
      <x:c r="I22" s="361" t="str">
        <x:v>EBLZ=SCCA</x:v>
      </x:c>
    </x:row>
    <x:row r="23">
      <x:c r="A23" s="361" t="str">
        <x:v>&lt;END&gt;</x:v>
      </x:c>
      <x:c r="B23" s="361"/>
      <x:c r="C23" s="361"/>
      <x:c r="D23" s="361"/>
      <x:c r="E23" s="361"/>
      <x:c r="F23" s="361"/>
      <x:c r="G23" s="361"/>
      <x:c r="H23" s="361"/>
      <x:c r="I23" s="361"/>
    </x:row>
  </x:sheetData>
  <x:mergeCells>
    <x:mergeCell ref="A1:F1"/>
    <x:mergeCell ref="G1:I1"/>
  </x:mergeCells>
  <x:dataValidations count="1">
    <x:dataValidation allowBlank="1" sqref="A1:B2 H1:H1048576 G1:G2 I1:I2 J1:XFD1048576 C1:F1048576"/>
  </x:dataValidations>
  <x:pageMargins left="0.7" right="0.7" top="0.75" bottom="0.75" header="0.3" footer="0.3"/>
</x:worksheet>
</file>

<file path=xl/worksheets/sheet8.xml><?xml version="1.0" encoding="utf-8"?>
<x:worksheet xmlns:x="http://schemas.openxmlformats.org/spreadsheetml/2006/main">
  <x:sheetPr>
    <x:tabColor theme="6" tint="0.59999"/>
  </x:sheetPr>
  <x:sheetFormatPr baseColWidth="10" defaultColWidth="9.1640625" defaultRowHeight="15"/>
  <x:cols>
    <x:col min="2" max="2" width="18.5" customWidth="1"/>
    <x:col min="3" max="3" width="27" customWidth="1"/>
    <x:col min="4" max="4" width="64.1640625" customWidth="1"/>
    <x:col min="5" max="5" width="12.5" customWidth="1"/>
  </x:cols>
  <x:sheetData>
    <x:row r="1" s="40" customFormat="1" ht="92" customHeight="1">
      <x:c r="A1" s="145" t="s">
        <x:v>33</x:v>
      </x:c>
      <x:c r="B1" s="145"/>
      <x:c r="C1" s="145"/>
      <x:c r="D1" s="145"/>
      <x:c r="E1" s="145"/>
    </x:row>
    <x:row r="2">
      <x:c r="A2" s="104" t="s">
        <x:v>2</x:v>
      </x:c>
      <x:c r="B2" s="105" t="s">
        <x:v>3</x:v>
      </x:c>
      <x:c r="C2" s="105" t="s">
        <x:v>4</x:v>
      </x:c>
      <x:c r="D2" s="105" t="s">
        <x:v>34</x:v>
      </x:c>
      <x:c r="E2" s="106" t="s">
        <x:v>6</x:v>
      </x:c>
    </x:row>
    <x:row r="3" ht="112">
      <x:c r="A3" s="63" t="str">
        <x:v>Ashburn</x:v>
      </x:c>
      <x:c r="B3" s="63" t="str">
        <x:v>EBLZ-Sandbox-Public-IP-Guardrail</x:v>
      </x:c>
      <x:c r="C3" s="63" t="str">
        <x:v>Prevent reserved public IPv4 allocation in Sandbox</x:v>
      </x:c>
      <x:c r="D3" s="32" t="str">
        <x:v>zero vcn quota reserved-public-ip-count in compartment EBLZ:Sandbox</x:v>
      </x:c>
      <x:c r="E3" s="33" t="str">
        <x:v>Governance.ManagedBy=CD3;Governance.Compliance=SCCA</x:v>
      </x:c>
    </x:row>
    <x:row r="4">
      <x:c r="A4" t="str">
        <x:v>&lt;END&gt;</x:v>
      </x:c>
    </x:row>
  </x:sheetData>
  <x:mergeCells>
    <x:mergeCell ref="A1:E1"/>
  </x:mergeCells>
  <x:dataValidations count="1">
    <x:dataValidation allowBlank="1" sqref="A1:XFD1"/>
  </x:dataValidations>
  <x:pageMargins left="0.7" right="0.7" top="0.75" bottom="0.75" header="0.3" footer="0.3"/>
</x:worksheet>
</file>

<file path=xl/worksheets/sheet9.xml><?xml version="1.0" encoding="utf-8"?>
<x:worksheet xmlns:x="http://schemas.openxmlformats.org/spreadsheetml/2006/main">
  <x:sheetPr>
    <x:tabColor theme="2" tint="-0.24998"/>
  </x:sheetPr>
  <x:sheetFormatPr baseColWidth="10" defaultColWidth="9.1640625" defaultRowHeight="15"/>
  <x:cols>
    <x:col min="2" max="2" width="11" customWidth="1"/>
    <x:col min="3" max="3" width="11.6640625" customWidth="1"/>
    <x:col min="4" max="4" width="16.1640625" customWidth="1"/>
    <x:col min="5" max="5" width="21.1640625" customWidth="1"/>
    <x:col min="6" max="6" width="11.5" customWidth="1"/>
    <x:col min="7" max="7" width="8.1640625" customWidth="1"/>
    <x:col min="8" max="8" width="8.83203125" style="114" customWidth="1"/>
    <x:col min="9" max="9" width="16.5" style="115" customWidth="1"/>
    <x:col min="10" max="10" width="15.6640625" style="115" customWidth="1"/>
    <x:col min="11" max="11" width="15.33203125" customWidth="1"/>
    <x:col min="12" max="13" width="65.6640625" customWidth="1"/>
    <x:col min="14" max="14" width="41.5" style="116" customWidth="1"/>
  </x:cols>
  <x:sheetData>
    <x:row r="1" s="40" customFormat="1" ht="207" customHeight="1">
      <x:c r="A1" s="145" t="s">
        <x:v>35</x:v>
      </x:c>
      <x:c r="B1" s="147"/>
      <x:c r="C1" s="147"/>
      <x:c r="D1" s="147"/>
      <x:c r="E1" s="147"/>
      <x:c r="F1" s="147"/>
      <x:c r="G1" s="147"/>
      <x:c r="H1" s="147"/>
      <x:c r="I1" s="147"/>
      <x:c r="J1" s="147"/>
      <x:c r="K1" s="147"/>
      <x:c r="L1" s="147"/>
      <x:c r="M1" s="147"/>
      <x:c r="N1" s="148"/>
    </x:row>
    <x:row r="2" ht="16">
      <x:c r="A2" s="104" t="s">
        <x:v>2</x:v>
      </x:c>
      <x:c r="B2" s="105" t="s">
        <x:v>3</x:v>
      </x:c>
      <x:c r="C2" s="105" t="s">
        <x:v>4</x:v>
      </x:c>
      <x:c r="D2" s="105" t="s">
        <x:v>36</x:v>
      </x:c>
      <x:c r="E2" s="106" t="s">
        <x:v>37</x:v>
      </x:c>
      <x:c r="F2" s="106" t="s">
        <x:v>38</x:v>
      </x:c>
      <x:c r="G2" s="106" t="s">
        <x:v>39</x:v>
      </x:c>
      <x:c r="H2" s="107" t="s">
        <x:v>40</x:v>
      </x:c>
      <x:c r="I2" s="108" t="s">
        <x:v>41</x:v>
      </x:c>
      <x:c r="J2" s="108" t="s">
        <x:v>42</x:v>
      </x:c>
      <x:c r="K2" s="106" t="s">
        <x:v>43</x:v>
      </x:c>
      <x:c r="L2" s="106" t="s">
        <x:v>44</x:v>
      </x:c>
      <x:c r="M2" s="106" t="s">
        <x:v>45</x:v>
      </x:c>
      <x:c r="N2" s="109" t="s">
        <x:v>6</x:v>
      </x:c>
    </x:row>
    <x:row r="3" ht="29" customHeight="1">
      <x:c r="A3" s="32" t="str">
        <x:v>Ashburn</x:v>
      </x:c>
      <x:c r="B3" s="32" t="str">
        <x:v>EBLZ-Monthly</x:v>
      </x:c>
      <x:c r="C3" s="32" t="str">
        <x:v>Enterprise landing zone monthly budget</x:v>
      </x:c>
      <x:c r="D3" s="32" t="str">
        <x:v>COMPARTMENT</x:v>
      </x:c>
      <x:c r="E3" s="32" t="str">
        <x:v>EBLZ</x:v>
      </x:c>
      <x:c r="F3" s="32" t="str">
        <x:v>MONTH</x:v>
      </x:c>
      <x:c r="G3" s="32" t="n">
        <x:v>150000</x:v>
      </x:c>
      <x:c r="H3" s="110" t="n">
        <x:v>1</x:v>
      </x:c>
      <x:c r="I3" s="111"/>
      <x:c r="J3" s="111"/>
      <x:c r="K3" s="32" t="str">
        <x:v>ACTUAL::80%
ACTUAL::95%
FORECAST::100%</x:v>
      </x:c>
      <x:c r="L3" s="32" t="str">
        <x:v>&lt;REPLACE_FINOPS_EMAIL&gt;</x:v>
      </x:c>
      <x:c r="M3" s="32" t="str">
        <x:v>EBLZ budget threshold reached</x:v>
      </x:c>
      <x:c r="N3" s="32" t="str">
        <x:v>Governance.ManagedBy=CD3;Governance.Compliance=SCCA;Governance.Environment=Shared</x:v>
      </x:c>
    </x:row>
    <x:row r="4" ht="28" customHeight="1">
      <x:c r="A4" s="32" t="str">
        <x:v>Ashburn</x:v>
      </x:c>
      <x:c r="B4" s="32" t="str">
        <x:v>VDMS-Monthly</x:v>
      </x:c>
      <x:c r="C4" s="32" t="str">
        <x:v>VDMS monthly operating budget</x:v>
      </x:c>
      <x:c r="D4" s="32" t="str">
        <x:v>COMPARTMENT</x:v>
      </x:c>
      <x:c r="E4" s="32" t="str">
        <x:v>EBLZ::VDMS</x:v>
      </x:c>
      <x:c r="F4" s="32" t="str">
        <x:v>MONTH</x:v>
      </x:c>
      <x:c r="G4" s="32" t="n">
        <x:v>30000</x:v>
      </x:c>
      <x:c r="H4" s="110" t="n">
        <x:v>1</x:v>
      </x:c>
      <x:c r="I4" s="111"/>
      <x:c r="J4" s="111"/>
      <x:c r="K4" s="32" t="str">
        <x:v>ACTUAL::80%
ACTUAL::95%
FORECAST::100%</x:v>
      </x:c>
      <x:c r="L4" s="112" t="str">
        <x:v>&lt;REPLACE_FINOPS_EMAIL&gt;</x:v>
      </x:c>
      <x:c r="M4" s="32" t="str">
        <x:v>VDMS budget threshold reached</x:v>
      </x:c>
      <x:c r="N4" s="113" t="str">
        <x:v>Governance.ManagedBy=CD3;Governance.Compliance=SCCA;Governance.Environment=Shared</x:v>
      </x:c>
    </x:row>
    <x:row r="5" ht="16">
      <x:c r="A5" s="32" t="str">
        <x:v>Ashburn</x:v>
      </x:c>
      <x:c r="B5" s="32" t="str">
        <x:v>VDSS-Monthly</x:v>
      </x:c>
      <x:c r="C5" s="32" t="str">
        <x:v>VDSS monthly security budget</x:v>
      </x:c>
      <x:c r="D5" s="32" t="str">
        <x:v>COMPARTMENT</x:v>
      </x:c>
      <x:c r="E5" s="32" t="str">
        <x:v>EBLZ::VDSS</x:v>
      </x:c>
      <x:c r="F5" s="32" t="str">
        <x:v>MONTH</x:v>
      </x:c>
      <x:c r="G5" s="32" t="n">
        <x:v>40000</x:v>
      </x:c>
      <x:c r="H5" s="110" t="n">
        <x:v>1</x:v>
      </x:c>
      <x:c r="I5" s="111"/>
      <x:c r="J5" s="111"/>
      <x:c r="K5" s="32" t="str">
        <x:v>ACTUAL::80%
ACTUAL::95%
FORECAST::100%</x:v>
      </x:c>
      <x:c r="L5" s="33" t="str">
        <x:v>&lt;REPLACE_FINOPS_EMAIL&gt;,&lt;REPLACE_SOC_EMAIL&gt;</x:v>
      </x:c>
      <x:c r="M5" s="32" t="str">
        <x:v>VDSS budget threshold reached</x:v>
      </x:c>
      <x:c r="N5" s="113" t="str">
        <x:v>Governance.ManagedBy=CD3;Governance.Compliance=SCCA;Governance.Environment=Shared</x:v>
      </x:c>
    </x:row>
    <x:row r="6" ht="16">
      <x:c r="A6" s="32" t="str">
        <x:v>Ashburn</x:v>
      </x:c>
      <x:c r="B6" s="32" t="str">
        <x:v>CDAS-Monthly</x:v>
      </x:c>
      <x:c r="C6" s="32" t="str">
        <x:v>CDAS program monthly budget</x:v>
      </x:c>
      <x:c r="D6" s="32" t="str">
        <x:v>COMPARTMENT</x:v>
      </x:c>
      <x:c r="E6" s="32" t="str">
        <x:v>EBLZ::Programs::CDAS</x:v>
      </x:c>
      <x:c r="F6" s="32" t="str">
        <x:v>MONTH</x:v>
      </x:c>
      <x:c r="G6" s="32" t="n">
        <x:v>30000</x:v>
      </x:c>
      <x:c r="H6" s="110" t="n">
        <x:v>1</x:v>
      </x:c>
      <x:c r="I6" s="111"/>
      <x:c r="J6" s="111"/>
      <x:c r="K6" s="32" t="str">
        <x:v>ACTUAL::80%
ACTUAL::95%
FORECAST::100%</x:v>
      </x:c>
      <x:c r="L6" s="33" t="str">
        <x:v>&lt;REPLACE_FINOPS_EMAIL&gt;</x:v>
      </x:c>
      <x:c r="M6" s="32" t="str">
        <x:v>CDAS budget threshold reached</x:v>
      </x:c>
      <x:c r="N6" s="113" t="str">
        <x:v>Governance.ManagedBy=CD3;Governance.Compliance=SCCA;Governance.Environment=Shared</x:v>
      </x:c>
    </x:row>
    <x:row r="7" ht="15.75" customHeight="1">
      <x:c r="A7" s="32" t="str">
        <x:v>Ashburn</x:v>
      </x:c>
      <x:c r="B7" s="32" t="str">
        <x:v>MSAS-Monthly</x:v>
      </x:c>
      <x:c r="C7" s="32" t="str">
        <x:v>MSAS program monthly budget</x:v>
      </x:c>
      <x:c r="D7" s="32" t="str">
        <x:v>COMPARTMENT</x:v>
      </x:c>
      <x:c r="E7" s="32" t="str">
        <x:v>EBLZ::Programs::MSAS</x:v>
      </x:c>
      <x:c r="F7" s="32" t="str">
        <x:v>MONTH</x:v>
      </x:c>
      <x:c r="G7" s="32" t="n">
        <x:v>40000</x:v>
      </x:c>
      <x:c r="H7" s="110" t="n">
        <x:v>1</x:v>
      </x:c>
      <x:c r="I7" s="111"/>
      <x:c r="J7" s="111"/>
      <x:c r="K7" s="32" t="str">
        <x:v>ACTUAL::80%
ACTUAL::95%
FORECAST::100%</x:v>
      </x:c>
      <x:c r="L7" s="32" t="str">
        <x:v>&lt;REPLACE_FINOPS_EMAIL&gt;</x:v>
      </x:c>
      <x:c r="M7" s="32" t="str">
        <x:v>MSAS budget threshold reached</x:v>
      </x:c>
      <x:c r="N7" s="113" t="str">
        <x:v>Governance.ManagedBy=CD3;Governance.Compliance=SCCA;Governance.Environment=Shared</x:v>
      </x:c>
    </x:row>
    <x:row r="8">
      <x:c r="A8" t="str">
        <x:v>Ashburn</x:v>
      </x:c>
      <x:c r="B8" t="str">
        <x:v>Sandbox-Monthly</x:v>
      </x:c>
      <x:c r="C8" t="str">
        <x:v>Restricted Sandbox monthly budget</x:v>
      </x:c>
      <x:c r="D8" t="str">
        <x:v>COMPARTMENT</x:v>
      </x:c>
      <x:c r="E8" t="str">
        <x:v>EBLZ::Sandbox</x:v>
      </x:c>
      <x:c r="F8" t="str">
        <x:v>MONTH</x:v>
      </x:c>
      <x:c r="G8" t="n">
        <x:v>5000</x:v>
      </x:c>
      <x:c r="H8" t="n">
        <x:v>1</x:v>
      </x:c>
      <x:c r="I8"/>
      <x:c r="J8"/>
      <x:c r="K8" t="str">
        <x:v>ACTUAL::70%
ACTUAL::90%
FORECAST::100%</x:v>
      </x:c>
      <x:c r="L8" t="str">
        <x:v>&lt;REPLACE_FINOPS_EMAIL&gt;</x:v>
      </x:c>
      <x:c r="M8" t="str">
        <x:v>Sandbox budget threshold reached</x:v>
      </x:c>
      <x:c r="N8" t="str">
        <x:v>Governance.ManagedBy=CD3;Governance.Compliance=SCCA;Governance.Environment=Shared</x:v>
      </x:c>
    </x:row>
    <x:row r="9">
      <x:c r="A9" t="str">
        <x:v>&lt;END&gt;</x:v>
      </x:c>
    </x:row>
  </x:sheetData>
  <x:mergeCells>
    <x:mergeCell ref="A1:N1"/>
  </x:mergeCells>
  <x:dataValidations count="7">
    <x:dataValidation type="list" allowBlank="1" sqref="D1:D1048576">
      <x:formula1>"COMPARTMENT,TAG"</x:formula1>
    </x:dataValidation>
    <x:dataValidation type="custom" showInputMessage="1" showErrorMessage="1" error="Not Applicable if Schedule is SINGLE_USE" sqref="H3">
      <x:formula1>F3&lt;&gt;"SINGLE_USE"</x:formula1>
    </x:dataValidation>
    <x:dataValidation type="list" showInputMessage="1" showErrorMessage="1" sqref="F77:F1048576">
      <x:formula1>"MONTH;SINGLE_USE"</x:formula1>
    </x:dataValidation>
    <x:dataValidation showInputMessage="1" showErrorMessage="1" sqref="E1:XFD1 A1:C1"/>
    <x:dataValidation type="custom" showInputMessage="1" showErrorMessage="1" error="Not applicable if Schedule is MONTH" sqref="J3:J7">
      <x:formula1>F3&lt;&gt;"MONTH"</x:formula1>
    </x:dataValidation>
    <x:dataValidation type="custom" showInputMessage="1" showErrorMessage="1" error="Not applicable if Schedule is MONTH" sqref="I3:I7">
      <x:formula1>F3&lt;&gt;"MONTH"</x:formula1>
    </x:dataValidation>
    <x:dataValidation type="list" showInputMessage="1" showErrorMessage="1" error="Select MONTH or SINGLE_USE" prompt="Select MONTH or SINGLE_USE" sqref="F3:F76">
      <x:formula1>"MONTH,SINGLE_USE"</x:formula1>
    </x:dataValidation>
  </x:dataValidations>
  <x:pageMargins left="0.7" right="0.7" top="0.75" bottom="0.75" header="0.3" footer="0.3"/>
  <x:legacyDrawing xmlns:r="http://schemas.openxmlformats.org/officeDocument/2006/relationships" r:id="R9bc9ba8a757947a3"/>
</x:worksheet>
</file>

<file path=xl/worksheets/sheet10.xml><?xml version="1.0" encoding="utf-8"?>
<x:worksheet xmlns:x="http://schemas.openxmlformats.org/spreadsheetml/2006/main">
  <x:sheetPr>
    <x:tabColor theme="5" tint="0.59999"/>
  </x:sheetPr>
  <x:sheetFormatPr baseColWidth="10" defaultColWidth="8.83203125" defaultRowHeight="15"/>
  <x:cols>
    <x:col min="1" max="1" width="9.1640625" customWidth="1"/>
    <x:col min="2" max="3" width="16.5" customWidth="1"/>
    <x:col min="4" max="7" width="13.1640625" customWidth="1"/>
    <x:col min="8" max="8" width="13.6640625" customWidth="1"/>
    <x:col min="9" max="9" width="21.5" customWidth="1"/>
    <x:col min="10" max="10" width="14.33203125" customWidth="1"/>
    <x:col min="11" max="11" width="14.5" customWidth="1"/>
    <x:col min="12" max="12" width="14" customWidth="1"/>
    <x:col min="13" max="13" width="22.5" customWidth="1"/>
    <x:col min="14" max="14" width="26.5" customWidth="1"/>
    <x:col min="15" max="15" width="23" customWidth="1"/>
  </x:cols>
  <x:sheetData>
    <x:row r="1" ht="250" customHeight="1">
      <x:c r="A1" s="149" t="s">
        <x:v>46</x:v>
      </x:c>
      <x:c r="B1" s="150"/>
      <x:c r="C1" s="150"/>
      <x:c r="D1" s="150"/>
      <x:c r="E1" s="150"/>
      <x:c r="F1" s="150"/>
      <x:c r="G1" s="150"/>
      <x:c r="H1" s="150"/>
      <x:c r="I1" s="151"/>
      <x:c r="J1" s="149" t="s">
        <x:v>47</x:v>
      </x:c>
      <x:c r="K1" s="150"/>
      <x:c r="L1" s="150"/>
      <x:c r="M1" s="150"/>
      <x:c r="N1" s="150"/>
      <x:c r="O1" s="151"/>
    </x:row>
    <x:row r="2" s="40" customFormat="1" ht="45" customHeight="1">
      <x:c r="A2" s="6" t="s">
        <x:v>2</x:v>
      </x:c>
      <x:c r="B2" s="6" t="s">
        <x:v>20</x:v>
      </x:c>
      <x:c r="C2" s="6" t="s">
        <x:v>48</x:v>
      </x:c>
      <x:c r="D2" s="6" t="s">
        <x:v>49</x:v>
      </x:c>
      <x:c r="E2" s="16" t="s">
        <x:v>50</x:v>
      </x:c>
      <x:c r="F2" s="16" t="s">
        <x:v>51</x:v>
      </x:c>
      <x:c r="G2" s="16" t="s">
        <x:v>52</x:v>
      </x:c>
      <x:c r="H2" s="6" t="s">
        <x:v>53</x:v>
      </x:c>
      <x:c r="I2" s="6" t="s">
        <x:v>54</x:v>
      </x:c>
      <x:c r="J2" s="6" t="s">
        <x:v>55</x:v>
      </x:c>
      <x:c r="K2" s="6" t="s">
        <x:v>56</x:v>
      </x:c>
      <x:c r="L2" s="6" t="s">
        <x:v>57</x:v>
      </x:c>
      <x:c r="M2" s="6" t="s">
        <x:v>58</x:v>
      </x:c>
      <x:c r="N2" s="6" t="s">
        <x:v>59</x:v>
      </x:c>
      <x:c r="O2" s="26" t="s">
        <x:v>6</x:v>
      </x:c>
    </x:row>
    <x:row r="3" s="30" customFormat="1">
      <x:c r="A3" s="33" t="str">
        <x:v>&lt;END&gt;</x:v>
      </x:c>
      <x:c r="B3" s="33"/>
      <x:c r="C3" s="33"/>
      <x:c r="D3" s="33"/>
      <x:c r="E3" s="33"/>
      <x:c r="F3" s="33"/>
      <x:c r="G3" s="33"/>
      <x:c r="H3" s="33"/>
      <x:c r="I3" s="33"/>
      <x:c r="J3" s="33"/>
      <x:c r="K3" s="33"/>
      <x:c r="L3" s="33"/>
      <x:c r="M3" s="33"/>
      <x:c r="N3" s="33"/>
      <x:c r="O3" s="28"/>
    </x:row>
    <x:row r="4" s="30" customFormat="1">
      <x:c r="A4" s="33"/>
      <x:c r="B4" s="32"/>
      <x:c r="C4" s="33"/>
      <x:c r="D4" s="33"/>
      <x:c r="E4" s="33"/>
      <x:c r="F4" s="33"/>
      <x:c r="G4" s="33"/>
      <x:c r="H4" s="33"/>
      <x:c r="I4" s="33"/>
      <x:c r="J4" s="33"/>
      <x:c r="K4" s="33"/>
      <x:c r="L4" s="33"/>
      <x:c r="M4" s="33"/>
      <x:c r="N4" s="33"/>
      <x:c r="O4" s="28"/>
    </x:row>
    <x:row r="5" ht="28.75" customHeight="1">
      <x:c r="A5" s="53"/>
      <x:c r="B5" s="53"/>
      <x:c r="C5" s="53"/>
      <x:c r="D5" s="53"/>
      <x:c r="E5" s="53"/>
      <x:c r="F5" s="53"/>
      <x:c r="G5" s="53"/>
      <x:c r="H5" s="53"/>
      <x:c r="I5" s="53"/>
      <x:c r="J5" s="53"/>
      <x:c r="K5" s="53"/>
      <x:c r="L5" s="53"/>
      <x:c r="M5" s="53"/>
      <x:c r="N5" s="53"/>
      <x:c r="O5" s="54"/>
    </x:row>
    <x:row r="6" s="30" customFormat="1">
      <x:c r="A6" s="53"/>
      <x:c r="B6" s="53"/>
      <x:c r="C6" s="53"/>
      <x:c r="D6" s="53"/>
      <x:c r="E6" s="53"/>
      <x:c r="F6" s="53"/>
      <x:c r="G6" s="53"/>
      <x:c r="H6" s="53"/>
      <x:c r="I6" s="53"/>
      <x:c r="J6" s="53"/>
      <x:c r="K6" s="53"/>
      <x:c r="L6" s="53"/>
      <x:c r="M6" s="53"/>
      <x:c r="N6" s="53"/>
      <x:c r="O6" s="53"/>
    </x:row>
    <x:row r="7" s="30" customFormat="1">
      <x:c r="A7" s="53"/>
      <x:c r="B7" s="53"/>
      <x:c r="C7" s="53"/>
      <x:c r="D7" s="53"/>
      <x:c r="E7" s="53"/>
      <x:c r="F7" s="53"/>
      <x:c r="G7" s="53"/>
      <x:c r="H7" s="53"/>
      <x:c r="I7" s="53"/>
      <x:c r="J7" s="53"/>
      <x:c r="K7" s="53"/>
      <x:c r="L7" s="53"/>
      <x:c r="M7" s="53"/>
      <x:c r="N7" s="53"/>
      <x:c r="O7" s="53"/>
    </x:row>
  </x:sheetData>
  <x:mergeCells>
    <x:mergeCell ref="A1:I1"/>
    <x:mergeCell ref="J1:O1"/>
  </x:mergeCells>
  <x:dataValidations count="1">
    <x:dataValidation allowBlank="1" sqref="A1:O1 P1:XFD1048576 A2:B2 C2:D1048576 H2:O1048576 E3:G1048576"/>
  </x:dataValidations>
  <x:pageMargins left="0.7" right="0.7" top="0.75" bottom="0.75" header="0.3" footer="0.3"/>
</x:worksheet>
</file>

<file path=xl/worksheets/sheet11.xml><?xml version="1.0" encoding="utf-8"?>
<x:worksheet xmlns:x="http://schemas.openxmlformats.org/spreadsheetml/2006/main">
  <x:sheetPr>
    <x:tabColor theme="5" tint="0.59999"/>
  </x:sheetPr>
  <x:sheetFormatPr baseColWidth="10" defaultColWidth="8.6640625" defaultRowHeight="15"/>
  <x:cols>
    <x:col min="1" max="1" width="8.6640625" customWidth="1"/>
    <x:col min="2" max="2" width="18" customWidth="1"/>
    <x:col min="3" max="3" width="9.83203125" customWidth="1"/>
    <x:col min="4" max="4" width="12.1640625" customWidth="1"/>
    <x:col min="5" max="5" width="14.5" customWidth="1"/>
    <x:col min="6" max="6" width="23.33203125" customWidth="1"/>
    <x:col min="7" max="7" width="30.83203125" customWidth="1"/>
    <x:col min="8" max="8" width="45.1640625" customWidth="1"/>
    <x:col min="9" max="9" width="11.33203125" customWidth="1"/>
    <x:col min="10" max="19" width="8.6640625" customWidth="1"/>
  </x:cols>
  <x:sheetData>
    <x:row r="1" ht="222" customHeight="1">
      <x:c r="A1" s="145" t="s">
        <x:v>60</x:v>
      </x:c>
      <x:c r="B1" s="145"/>
      <x:c r="C1" s="145"/>
      <x:c r="D1" s="145"/>
      <x:c r="E1" s="145"/>
      <x:c r="F1" s="145"/>
      <x:c r="G1" s="155" t="s">
        <x:v>61</x:v>
      </x:c>
      <x:c r="H1" s="155"/>
      <x:c r="I1" s="155"/>
    </x:row>
    <x:row r="2" ht="16">
      <x:c r="A2" s="26" t="s">
        <x:v>2</x:v>
      </x:c>
      <x:c r="B2" s="26" t="s">
        <x:v>20</x:v>
      </x:c>
      <x:c r="C2" s="26" t="s">
        <x:v>62</x:v>
      </x:c>
      <x:c r="D2" s="26" t="s">
        <x:v>63</x:v>
      </x:c>
      <x:c r="E2" s="26" t="s">
        <x:v>64</x:v>
      </x:c>
      <x:c r="F2" s="26" t="s">
        <x:v>65</x:v>
      </x:c>
      <x:c r="G2" s="93" t="s">
        <x:v>66</x:v>
      </x:c>
      <x:c r="H2" s="27" t="s">
        <x:v>67</x:v>
      </x:c>
      <x:c r="I2" s="26" t="s">
        <x:v>6</x:v>
      </x:c>
    </x:row>
    <x:row r="3" ht="16">
      <x:c r="A3" s="32" t="str">
        <x:v>&lt;END&gt;</x:v>
      </x:c>
      <x:c r="B3" s="32"/>
      <x:c r="C3" s="32"/>
      <x:c r="D3" s="32"/>
      <x:c r="E3" s="32"/>
      <x:c r="F3" s="32"/>
      <x:c r="G3" s="32"/>
      <x:c r="H3" s="32"/>
      <x:c r="I3" s="33"/>
    </x:row>
    <x:row r="4" ht="16">
      <x:c r="A4" s="32"/>
      <x:c r="B4" s="32"/>
      <x:c r="C4" s="32"/>
      <x:c r="D4" s="32"/>
      <x:c r="E4" s="32"/>
      <x:c r="F4" s="32"/>
      <x:c r="G4" s="32"/>
      <x:c r="H4" s="32"/>
      <x:c r="I4" s="33"/>
    </x:row>
    <x:row r="5" ht="32">
      <x:c r="A5" s="32"/>
      <x:c r="B5" s="32"/>
      <x:c r="C5" s="32"/>
      <x:c r="D5" s="32"/>
      <x:c r="E5" s="33"/>
      <x:c r="F5" s="32"/>
      <x:c r="G5" s="33"/>
      <x:c r="H5" s="33"/>
      <x:c r="I5" s="33"/>
    </x:row>
    <x:row r="6" ht="32">
      <x:c r="A6" s="32"/>
      <x:c r="B6" s="32"/>
      <x:c r="C6" s="32"/>
      <x:c r="D6" s="32"/>
      <x:c r="E6" s="33"/>
      <x:c r="F6" s="32"/>
      <x:c r="G6" s="33"/>
      <x:c r="H6" s="33"/>
      <x:c r="I6" s="33"/>
    </x:row>
  </x:sheetData>
  <x:mergeCells>
    <x:mergeCell ref="A1:F1"/>
    <x:mergeCell ref="G1:I1"/>
  </x:mergeCells>
  <x:dataValidations count="1">
    <x:dataValidation allowBlank="1" sqref="C1:C1048576 D1:E2 E3:E1048576 A1:B2 F1:XFD1048576"/>
  </x:dataValidations>
  <x:pageMargins left="0.7" right="0.7" top="0.75" bottom="0.75" header="0.3" footer="0.3"/>
</x:worksheet>
</file>

<file path=xl/worksheets/sheet12.xml><?xml version="1.0" encoding="utf-8"?>
<x:worksheet xmlns:x="http://schemas.openxmlformats.org/spreadsheetml/2006/main">
  <x:sheetPr>
    <x:tabColor theme="5" tint="0.59999"/>
  </x:sheetPr>
  <x:sheetFormatPr baseColWidth="10" defaultColWidth="9.1640625" defaultRowHeight="15"/>
  <x:cols>
    <x:col min="1" max="1" width="32.1640625" customWidth="1"/>
    <x:col min="2" max="2" width="50.5" customWidth="1"/>
    <x:col min="3" max="10" width="9.1640625" customWidth="1"/>
  </x:cols>
  <x:sheetData>
    <x:row r="1" s="40" customFormat="1" ht="92.25" customHeight="1">
      <x:c r="A1" s="145" t="s">
        <x:v>68</x:v>
      </x:c>
      <x:c r="B1" s="154"/>
    </x:row>
    <x:row r="2">
      <x:c r="A2" s="9" t="s">
        <x:v>69</x:v>
      </x:c>
      <x:c r="B2" s="9" t="s">
        <x:v>70</x:v>
      </x:c>
    </x:row>
    <x:row r="3">
      <x:c r="A3" s="2" t="s">
        <x:v>71</x:v>
      </x:c>
      <x:c r="B3" s="33" t="s">
        <x:v>72</x:v>
      </x:c>
    </x:row>
    <x:row r="4">
      <x:c r="A4" s="2" t="s">
        <x:v>73</x:v>
      </x:c>
      <x:c r="B4" s="33" t="s">
        <x:v>74</x:v>
      </x:c>
    </x:row>
    <x:row r="5">
      <x:c r="A5" s="2" t="s">
        <x:v>75</x:v>
      </x:c>
      <x:c r="B5" s="33" t="s">
        <x:v>74</x:v>
      </x:c>
    </x:row>
  </x:sheetData>
  <x:mergeCells>
    <x:mergeCell ref="A1:B1"/>
  </x:mergeCells>
  <x:dataValidations count="1">
    <x:dataValidation allowBlank="1" sqref="A1:XFD1048576"/>
  </x:dataValidations>
  <x:pageMargins left="0.7" right="0.7" top="0.75" bottom="0.75" header="0.3" footer="0.3"/>
</x:worksheet>
</file>

<file path=xl/worksheets/sheet13.xml><?xml version="1.0" encoding="utf-8"?>
<x:worksheet xmlns:x="http://schemas.openxmlformats.org/spreadsheetml/2006/main">
  <x:sheetPr>
    <x:tabColor theme="5" tint="0.59999"/>
  </x:sheetPr>
  <x:sheetFormatPr baseColWidth="10" defaultColWidth="8.83203125" defaultRowHeight="15"/>
  <x:cols>
    <x:col min="1" max="1" width="8.83203125" customWidth="1"/>
    <x:col min="2" max="2" width="27.5" customWidth="1"/>
    <x:col min="3" max="3" width="17.1640625" customWidth="1"/>
    <x:col min="4" max="4" width="18.5" customWidth="1"/>
    <x:col min="5" max="5" width="21.5" customWidth="1"/>
    <x:col min="6" max="6" width="17.83203125" customWidth="1"/>
    <x:col min="7" max="7" width="27.5" customWidth="1"/>
    <x:col min="8" max="8" width="24" customWidth="1"/>
  </x:cols>
  <x:sheetData>
    <x:row r="1" ht="103.75" customHeight="1">
      <x:c r="A1" s="145" t="s">
        <x:v>76</x:v>
      </x:c>
      <x:c r="B1" s="145"/>
      <x:c r="C1" s="145"/>
      <x:c r="D1" s="145"/>
      <x:c r="E1" s="145"/>
      <x:c r="F1" s="145"/>
      <x:c r="G1" s="145"/>
      <x:c r="H1" s="145"/>
    </x:row>
    <x:row r="2" s="40" customFormat="1" ht="43.5" customHeight="1">
      <x:c r="A2" s="26" t="s">
        <x:v>2</x:v>
      </x:c>
      <x:c r="B2" s="26" t="s">
        <x:v>20</x:v>
      </x:c>
      <x:c r="C2" s="26" t="s">
        <x:v>48</x:v>
      </x:c>
      <x:c r="D2" s="26" t="s">
        <x:v>77</x:v>
      </x:c>
      <x:c r="E2" s="27" t="s">
        <x:v>78</x:v>
      </x:c>
      <x:c r="F2" s="26" t="s">
        <x:v>79</x:v>
      </x:c>
      <x:c r="G2" s="26" t="s">
        <x:v>80</x:v>
      </x:c>
      <x:c r="H2" s="26" t="s">
        <x:v>6</x:v>
      </x:c>
    </x:row>
    <x:row r="3" ht="28.75" customHeight="1">
      <x:c r="A3" s="33" t="str">
        <x:v>&lt;END&gt;</x:v>
      </x:c>
      <x:c r="B3" s="33"/>
      <x:c r="C3" s="33"/>
      <x:c r="D3" s="33"/>
      <x:c r="E3" s="33"/>
      <x:c r="F3" s="33"/>
      <x:c r="G3" s="33"/>
      <x:c r="H3" s="33"/>
    </x:row>
    <x:row r="4" ht="28.75" customHeight="1">
      <x:c r="A4" s="33"/>
      <x:c r="B4" s="33"/>
      <x:c r="C4" s="33"/>
      <x:c r="D4" s="33"/>
      <x:c r="E4" s="33"/>
      <x:c r="F4" s="33"/>
      <x:c r="G4" s="33"/>
      <x:c r="H4" s="33"/>
    </x:row>
    <x:row r="5" ht="28.75" customHeight="1">
      <x:c r="A5" s="53"/>
      <x:c r="B5" s="53"/>
      <x:c r="C5" s="53"/>
      <x:c r="D5" s="53"/>
      <x:c r="E5" s="53"/>
      <x:c r="F5" s="53"/>
      <x:c r="G5" s="53"/>
      <x:c r="H5" s="54"/>
    </x:row>
    <x:row r="6" ht="28.75" customHeight="1">
      <x:c r="A6" s="53"/>
      <x:c r="B6" s="53"/>
      <x:c r="C6" s="53"/>
      <x:c r="D6" s="53"/>
      <x:c r="E6" s="53"/>
      <x:c r="F6" s="53"/>
      <x:c r="G6" s="53"/>
      <x:c r="H6" s="53"/>
    </x:row>
    <x:row r="7" ht="28.75" customHeight="1">
      <x:c r="A7" s="53"/>
      <x:c r="B7" s="53"/>
      <x:c r="C7" s="53"/>
      <x:c r="D7" s="53"/>
      <x:c r="E7" s="53"/>
      <x:c r="F7" s="53"/>
      <x:c r="G7" s="53"/>
      <x:c r="H7" s="53"/>
    </x:row>
  </x:sheetData>
  <x:mergeCells>
    <x:mergeCell ref="A1:H1"/>
  </x:mergeCells>
  <x:dataValidations count="1">
    <x:dataValidation allowBlank="1" sqref="A1:H1 D3:H1048576"/>
  </x:dataValidations>
  <x:pageMargins left="0.7" right="0.7" top="0.75" bottom="0.75" header="0.3" footer="0.3"/>
</x:worksheet>
</file>

<file path=xl/worksheets/sheet14.xml><?xml version="1.0" encoding="utf-8"?>
<x:worksheet xmlns:x="http://schemas.openxmlformats.org/spreadsheetml/2006/main">
  <x:sheetPr>
    <x:tabColor theme="5" tint="0.59999"/>
  </x:sheetPr>
  <x:sheetFormatPr baseColWidth="10" defaultColWidth="8.83203125" defaultRowHeight="15"/>
  <x:cols>
    <x:col min="1" max="1" width="8.83203125" customWidth="1"/>
    <x:col min="2" max="2" width="18.83203125" customWidth="1"/>
    <x:col min="3" max="3" width="15.83203125" customWidth="1"/>
    <x:col min="4" max="4" width="19.1640625" customWidth="1"/>
    <x:col min="5" max="5" width="16.83203125" customWidth="1"/>
    <x:col min="6" max="6" width="22.1640625" customWidth="1"/>
    <x:col min="7" max="7" width="18.1640625" customWidth="1"/>
    <x:col min="8" max="8" width="18.5" customWidth="1"/>
    <x:col min="9" max="10" width="18.5" customWidth="1"/>
    <x:col min="11" max="12" width="11.33203125" customWidth="1"/>
    <x:col min="13" max="13" width="14.33203125" customWidth="1"/>
    <x:col min="14" max="14" width="15.83203125" customWidth="1"/>
    <x:col min="15" max="15" width="13.6640625" customWidth="1"/>
    <x:col min="16" max="16" width="11.83203125" customWidth="1"/>
    <x:col min="17" max="17" width="14.1640625" customWidth="1"/>
    <x:col min="18" max="18" width="10" customWidth="1"/>
    <x:col min="19" max="19" width="24.1640625" customWidth="1"/>
  </x:cols>
  <x:sheetData>
    <x:row r="1" ht="203.25" customHeight="1">
      <x:c r="A1" s="149" t="s">
        <x:v>81</x:v>
      </x:c>
      <x:c r="B1" s="150"/>
      <x:c r="C1" s="150"/>
      <x:c r="D1" s="150"/>
      <x:c r="E1" s="150"/>
      <x:c r="F1" s="150"/>
      <x:c r="G1" s="150"/>
      <x:c r="H1" s="150"/>
      <x:c r="I1" s="151"/>
      <x:c r="J1" s="156" t="s">
        <x:v>82</x:v>
      </x:c>
      <x:c r="K1" s="156"/>
      <x:c r="L1" s="156"/>
      <x:c r="M1" s="156"/>
      <x:c r="N1" s="156"/>
      <x:c r="O1" s="156"/>
      <x:c r="P1" s="156"/>
      <x:c r="Q1" s="156"/>
      <x:c r="R1" s="156"/>
      <x:c r="S1" s="156"/>
      <x:c r="T1" s="156"/>
    </x:row>
    <x:row r="2" s="40" customFormat="1" ht="59.5" customHeight="1">
      <x:c r="A2" s="26" t="s">
        <x:v>2</x:v>
      </x:c>
      <x:c r="B2" s="26" t="s">
        <x:v>20</x:v>
      </x:c>
      <x:c r="C2" s="26" t="s">
        <x:v>48</x:v>
      </x:c>
      <x:c r="D2" s="26" t="s">
        <x:v>83</x:v>
      </x:c>
      <x:c r="E2" s="26" t="s">
        <x:v>84</x:v>
      </x:c>
      <x:c r="F2" s="26" t="s">
        <x:v>85</x:v>
      </x:c>
      <x:c r="G2" s="26" t="s">
        <x:v>86</x:v>
      </x:c>
      <x:c r="H2" s="27" t="s">
        <x:v>87</x:v>
      </x:c>
      <x:c r="I2" s="26" t="s">
        <x:v>88</x:v>
      </x:c>
      <x:c r="J2" s="27" t="s">
        <x:v>77</x:v>
      </x:c>
      <x:c r="K2" s="27" t="s">
        <x:v>89</x:v>
      </x:c>
      <x:c r="L2" s="27" t="s">
        <x:v>90</x:v>
      </x:c>
      <x:c r="M2" s="27" t="s">
        <x:v>91</x:v>
      </x:c>
      <x:c r="N2" s="27" t="s">
        <x:v>92</x:v>
      </x:c>
      <x:c r="O2" s="27" t="s">
        <x:v>93</x:v>
      </x:c>
      <x:c r="P2" s="27" t="s">
        <x:v>94</x:v>
      </x:c>
      <x:c r="Q2" s="27" t="s">
        <x:v>95</x:v>
      </x:c>
      <x:c r="R2" s="27" t="s">
        <x:v>96</x:v>
      </x:c>
      <x:c r="S2" s="27" t="s">
        <x:v>97</x:v>
      </x:c>
      <x:c r="T2" s="27" t="s">
        <x:v>59</x:v>
      </x:c>
      <x:c r="U2" s="27" t="s">
        <x:v>6</x:v>
      </x:c>
    </x:row>
    <x:row r="3" ht="32">
      <x:c r="A3" s="75" t="str">
        <x:v>&lt;END&gt;</x:v>
      </x:c>
      <x:c r="B3" s="33"/>
      <x:c r="C3" s="33"/>
      <x:c r="D3" s="33"/>
      <x:c r="E3" s="33"/>
      <x:c r="F3" s="33"/>
      <x:c r="G3" s="32"/>
      <x:c r="H3" s="33"/>
      <x:c r="I3" s="33"/>
      <x:c r="J3" s="33"/>
      <x:c r="K3" s="33"/>
      <x:c r="L3" s="33"/>
      <x:c r="M3" s="33"/>
      <x:c r="N3" s="33"/>
      <x:c r="O3" s="33"/>
      <x:c r="P3" s="33"/>
      <x:c r="Q3" s="33"/>
      <x:c r="R3" s="33"/>
      <x:c r="S3" s="33"/>
      <x:c r="T3" s="33"/>
      <x:c r="U3" s="28"/>
    </x:row>
    <x:row r="4">
      <x:c r="A4" s="33"/>
      <x:c r="B4" s="33"/>
      <x:c r="C4" s="33"/>
      <x:c r="D4" s="33"/>
      <x:c r="E4" s="33"/>
      <x:c r="F4" s="33"/>
      <x:c r="G4" s="33"/>
      <x:c r="H4" s="33"/>
      <x:c r="I4" s="33"/>
      <x:c r="J4" s="33"/>
      <x:c r="K4" s="33"/>
      <x:c r="L4" s="33"/>
      <x:c r="M4" s="33"/>
      <x:c r="N4" s="33"/>
      <x:c r="O4" s="33"/>
      <x:c r="P4" s="33"/>
      <x:c r="Q4" s="33"/>
      <x:c r="R4" s="33"/>
      <x:c r="S4" s="33"/>
      <x:c r="T4" s="33"/>
      <x:c r="U4" s="33"/>
    </x:row>
    <x:row r="5">
      <x:c r="A5" s="33"/>
      <x:c r="B5" s="33"/>
      <x:c r="C5" s="33"/>
      <x:c r="D5" s="33"/>
      <x:c r="E5" s="33"/>
      <x:c r="F5" s="33"/>
      <x:c r="G5" s="33"/>
      <x:c r="H5" s="33"/>
      <x:c r="I5" s="33"/>
      <x:c r="J5" s="33"/>
      <x:c r="K5" s="33"/>
      <x:c r="L5" s="33"/>
      <x:c r="M5" s="33"/>
      <x:c r="N5" s="33"/>
      <x:c r="O5" s="33"/>
      <x:c r="P5" s="33"/>
      <x:c r="Q5" s="33"/>
      <x:c r="R5" s="33"/>
      <x:c r="S5" s="33"/>
      <x:c r="T5" s="33"/>
      <x:c r="U5" s="33"/>
    </x:row>
    <x:row r="6">
      <x:c r="A6" s="33"/>
      <x:c r="B6" s="33"/>
      <x:c r="C6" s="33"/>
      <x:c r="D6" s="33"/>
      <x:c r="E6" s="33"/>
      <x:c r="F6" s="33"/>
      <x:c r="G6" s="33"/>
      <x:c r="H6" s="33"/>
      <x:c r="I6" s="33"/>
      <x:c r="J6" s="33"/>
      <x:c r="K6" s="33"/>
      <x:c r="L6" s="33"/>
      <x:c r="M6" s="33"/>
      <x:c r="N6" s="33"/>
      <x:c r="O6" s="33"/>
      <x:c r="P6" s="33"/>
      <x:c r="Q6" s="33"/>
      <x:c r="R6" s="33"/>
      <x:c r="S6" s="33"/>
      <x:c r="T6" s="33"/>
      <x:c r="U6" s="33"/>
    </x:row>
    <x:row r="7" ht="16">
      <x:c r="A7" s="53"/>
      <x:c r="B7" s="53"/>
      <x:c r="C7" s="53"/>
      <x:c r="D7" s="53"/>
      <x:c r="E7" s="53"/>
      <x:c r="F7" s="53"/>
      <x:c r="G7" s="133"/>
      <x:c r="H7" s="53"/>
      <x:c r="I7" s="53"/>
      <x:c r="J7" s="53"/>
      <x:c r="K7" s="53"/>
      <x:c r="L7" s="53"/>
      <x:c r="M7" s="54"/>
      <x:c r="N7" s="53"/>
      <x:c r="O7" s="53"/>
      <x:c r="P7" s="53"/>
      <x:c r="Q7" s="53"/>
      <x:c r="R7" s="53"/>
      <x:c r="S7" s="53"/>
      <x:c r="T7" s="53"/>
      <x:c r="U7" s="53"/>
    </x:row>
    <x:row r="8" ht="16">
      <x:c r="A8" s="53"/>
      <x:c r="B8" s="53"/>
      <x:c r="C8" s="53"/>
      <x:c r="D8" s="53"/>
      <x:c r="E8" s="53"/>
      <x:c r="F8" s="53"/>
      <x:c r="G8" s="133"/>
      <x:c r="H8" s="53"/>
      <x:c r="I8" s="53"/>
      <x:c r="J8" s="53"/>
      <x:c r="K8" s="53"/>
      <x:c r="L8" s="53"/>
      <x:c r="M8" s="53"/>
      <x:c r="N8" s="54"/>
      <x:c r="O8" s="53"/>
      <x:c r="P8" s="53"/>
      <x:c r="Q8" s="53">
        <x:f t="shared" ref="Q8" si="0">IF(I8="public","n",IF(I8="private","y",""))</x:f>
      </x:c>
      <x:c r="R8" s="53">
        <x:f t="shared" ref="R8" si="1">IF(I8="public","y",IF(I8="private","n",""))</x:f>
      </x:c>
      <x:c r="S8" s="53"/>
      <x:c r="T8" s="53"/>
      <x:c r="U8" s="53"/>
    </x:row>
    <x:row r="9">
      <x:c r="A9" s="53"/>
      <x:c r="B9" s="53"/>
      <x:c r="C9" s="53"/>
      <x:c r="D9" s="53"/>
      <x:c r="E9" s="53"/>
      <x:c r="F9" s="53"/>
      <x:c r="G9" s="133"/>
      <x:c r="H9" s="53"/>
      <x:c r="I9" s="53"/>
      <x:c r="J9" s="53"/>
      <x:c r="K9" s="53"/>
      <x:c r="L9" s="53"/>
      <x:c r="M9" s="53"/>
      <x:c r="N9" s="54"/>
      <x:c r="O9" s="53"/>
      <x:c r="P9" s="53"/>
      <x:c r="Q9" s="53"/>
      <x:c r="R9" s="53"/>
      <x:c r="S9" s="53"/>
      <x:c r="T9" s="53"/>
      <x:c r="U9" s="53"/>
    </x:row>
    <x:row r="10" ht="31.75" customHeight="1">
      <x:c r="A10" s="53"/>
      <x:c r="B10" s="53"/>
      <x:c r="C10" s="53"/>
      <x:c r="D10" s="53"/>
      <x:c r="E10" s="53"/>
      <x:c r="F10" s="53"/>
      <x:c r="G10" s="133"/>
      <x:c r="H10" s="53"/>
      <x:c r="I10" s="53"/>
      <x:c r="J10" s="53"/>
      <x:c r="K10" s="53"/>
      <x:c r="L10" s="53"/>
      <x:c r="M10" s="53"/>
      <x:c r="N10" s="53"/>
      <x:c r="O10" s="53"/>
      <x:c r="P10" s="53"/>
      <x:c r="Q10" s="53"/>
      <x:c r="R10" s="53"/>
      <x:c r="S10" s="53"/>
      <x:c r="T10" s="53"/>
      <x:c r="U10" s="54"/>
    </x:row>
    <x:row r="11" ht="27" customHeight="1">
      <x:c r="A11" s="53"/>
      <x:c r="B11" s="53"/>
      <x:c r="C11" s="53"/>
      <x:c r="D11" s="53"/>
      <x:c r="E11" s="53"/>
      <x:c r="F11" s="53"/>
      <x:c r="G11" s="133"/>
      <x:c r="H11" s="53"/>
      <x:c r="I11" s="53"/>
      <x:c r="J11" s="53"/>
      <x:c r="K11" s="53"/>
      <x:c r="L11" s="53"/>
      <x:c r="M11" s="53"/>
      <x:c r="N11" s="53"/>
      <x:c r="O11" s="53"/>
      <x:c r="P11" s="53"/>
      <x:c r="Q11" s="53"/>
      <x:c r="R11" s="53"/>
      <x:c r="S11" s="53"/>
      <x:c r="T11" s="53"/>
      <x:c r="U11" s="53"/>
    </x:row>
    <x:row r="12" ht="28.75" customHeight="1">
      <x:c r="A12" s="53"/>
      <x:c r="B12" s="53"/>
      <x:c r="C12" s="53"/>
      <x:c r="D12" s="53"/>
      <x:c r="E12" s="53"/>
      <x:c r="F12" s="53"/>
      <x:c r="G12" s="133"/>
      <x:c r="H12" s="53"/>
      <x:c r="I12" s="53"/>
      <x:c r="J12" s="53"/>
      <x:c r="K12" s="53"/>
      <x:c r="L12" s="53"/>
      <x:c r="M12" s="53"/>
      <x:c r="N12" s="53"/>
      <x:c r="O12" s="53"/>
      <x:c r="P12" s="53"/>
      <x:c r="Q12" s="53"/>
      <x:c r="R12" s="53"/>
      <x:c r="S12" s="53"/>
      <x:c r="T12" s="53"/>
      <x:c r="U12" s="53"/>
    </x:row>
    <x:row r="13">
      <x:c r="A13" s="53"/>
      <x:c r="B13" s="53"/>
      <x:c r="C13" s="53"/>
      <x:c r="D13" s="53"/>
      <x:c r="E13" s="53"/>
      <x:c r="F13" s="53"/>
      <x:c r="G13" s="133"/>
      <x:c r="H13" s="53"/>
      <x:c r="I13" s="53"/>
      <x:c r="J13" s="53"/>
      <x:c r="K13" s="53"/>
      <x:c r="L13" s="53"/>
      <x:c r="M13" s="53"/>
      <x:c r="N13" s="53"/>
      <x:c r="O13" s="53"/>
      <x:c r="P13" s="53"/>
      <x:c r="Q13" s="53"/>
      <x:c r="R13" s="53"/>
      <x:c r="S13" s="53"/>
      <x:c r="T13" s="53"/>
      <x:c r="U13" s="53"/>
    </x:row>
    <x:row r="14">
      <x:c r="A14" s="53"/>
      <x:c r="B14" s="53"/>
      <x:c r="C14" s="53"/>
      <x:c r="D14" s="53"/>
      <x:c r="E14" s="53"/>
      <x:c r="F14" s="53"/>
      <x:c r="G14" s="133"/>
      <x:c r="H14" s="53"/>
      <x:c r="I14" s="53"/>
      <x:c r="J14" s="53"/>
      <x:c r="K14" s="53"/>
      <x:c r="L14" s="53"/>
      <x:c r="M14" s="53"/>
      <x:c r="N14" s="53"/>
      <x:c r="O14" s="53"/>
      <x:c r="P14" s="53"/>
      <x:c r="Q14" s="53"/>
      <x:c r="R14" s="53"/>
      <x:c r="S14" s="53"/>
      <x:c r="T14" s="53"/>
      <x:c r="U14" s="53"/>
    </x:row>
    <x:row r="15">
      <x:c r="A15" s="53"/>
      <x:c r="B15" s="53"/>
      <x:c r="C15" s="53"/>
      <x:c r="D15" s="53"/>
      <x:c r="E15" s="53"/>
      <x:c r="F15" s="53"/>
      <x:c r="G15" s="133"/>
      <x:c r="H15" s="53"/>
      <x:c r="I15" s="53"/>
      <x:c r="J15" s="53"/>
      <x:c r="K15" s="53"/>
      <x:c r="L15" s="53"/>
      <x:c r="M15" s="53"/>
      <x:c r="N15" s="53"/>
      <x:c r="O15" s="53"/>
      <x:c r="P15" s="53"/>
      <x:c r="Q15" s="53"/>
      <x:c r="R15" s="53"/>
      <x:c r="S15" s="53"/>
      <x:c r="T15" s="53"/>
      <x:c r="U15" s="53"/>
    </x:row>
  </x:sheetData>
  <x:mergeCells>
    <x:mergeCell ref="A1:I1"/>
    <x:mergeCell ref="J1:T1"/>
  </x:mergeCells>
  <x:dataValidations count="2">
    <x:dataValidation allowBlank="1" sqref="A2:C2 L7:XFD9 A1:XFD1 I2:J9 K2:XFD6 H2 D2:F1048576 G4:G1048576 H16:XFD25 I10:XFD15 I26:XFD1048576"/>
    <x:dataValidation showInputMessage="1" showErrorMessage="1" sqref="G3"/>
  </x:dataValidations>
  <x:pageMargins left="0.7" right="0.7" top="0.75" bottom="0.75" header="0.3" footer="0.3"/>
</x:worksheet>
</file>

<file path=xl/worksheets/sheet15.xml><?xml version="1.0" encoding="utf-8"?>
<x:worksheet xmlns:x="http://schemas.openxmlformats.org/spreadsheetml/2006/main">
  <x:sheetPr>
    <x:tabColor theme="5" tint="0.59999"/>
  </x:sheetPr>
  <x:sheetFormatPr baseColWidth="10" defaultColWidth="8.6640625" defaultRowHeight="15"/>
  <x:cols>
    <x:col min="1" max="1" width="8.6640625" customWidth="1"/>
    <x:col min="2" max="2" width="18.1640625" customWidth="1"/>
    <x:col min="3" max="3" width="19.83203125" customWidth="1"/>
    <x:col min="4" max="4" width="16.33203125" customWidth="1"/>
    <x:col min="5" max="5" width="16.33203125" style="1" customWidth="1"/>
    <x:col min="6" max="6" width="15.1640625" customWidth="1"/>
    <x:col min="7" max="7" width="25.83203125" customWidth="1"/>
    <x:col min="8" max="8" width="15.1640625" customWidth="1"/>
    <x:col min="9" max="9" width="42.33203125" customWidth="1"/>
    <x:col min="10" max="10" width="10.33203125" customWidth="1"/>
    <x:col min="11" max="11" width="8.6640625" customWidth="1"/>
  </x:cols>
  <x:sheetData>
    <x:row r="1" ht="63" customHeight="1">
      <x:c r="A1" s="145" t="s">
        <x:v>98</x:v>
      </x:c>
      <x:c r="B1" s="145"/>
      <x:c r="C1" s="145"/>
      <x:c r="D1" s="145"/>
      <x:c r="E1" s="145"/>
      <x:c r="F1" s="145"/>
      <x:c r="G1" s="145"/>
      <x:c r="H1" s="145"/>
      <x:c r="I1" s="145"/>
      <x:c r="J1" s="145"/>
    </x:row>
    <x:row r="2" ht="29.25" customHeight="1">
      <x:c r="A2" s="26" t="s">
        <x:v>2</x:v>
      </x:c>
      <x:c r="B2" s="26" t="s">
        <x:v>20</x:v>
      </x:c>
      <x:c r="C2" s="26" t="s">
        <x:v>62</x:v>
      </x:c>
      <x:c r="D2" s="26" t="s">
        <x:v>65</x:v>
      </x:c>
      <x:c r="E2" s="27" t="s">
        <x:v>66</x:v>
      </x:c>
      <x:c r="F2" s="26" t="s">
        <x:v>99</x:v>
      </x:c>
      <x:c r="G2" s="27" t="s">
        <x:v>100</x:v>
      </x:c>
      <x:c r="H2" s="26" t="s">
        <x:v>101</x:v>
      </x:c>
      <x:c r="I2" s="26" t="s">
        <x:v>102</x:v>
      </x:c>
      <x:c r="J2" s="26" t="s">
        <x:v>6</x:v>
      </x:c>
      <x:c r="K2" s="48"/>
    </x:row>
    <x:row r="3">
      <x:c r="A3" t="str">
        <x:v>&lt;END&gt;</x:v>
      </x:c>
    </x:row>
  </x:sheetData>
  <x:mergeCells>
    <x:mergeCell ref="A1:J1"/>
  </x:mergeCells>
  <x:dataValidations count="1">
    <x:dataValidation allowBlank="1" sqref="C1:XFD1048576 A1:B2"/>
  </x:dataValidations>
  <x:pageMargins left="0.7" right="0.7" top="0.75" bottom="0.75" header="0.3" footer="0.3"/>
</x:worksheet>
</file>

<file path=xl/worksheets/sheet16.xml><?xml version="1.0" encoding="utf-8"?>
<x:worksheet xmlns:x="http://schemas.openxmlformats.org/spreadsheetml/2006/main">
  <x:sheetPr>
    <x:tabColor theme="5" tint="0.59999"/>
  </x:sheetPr>
  <x:sheetFormatPr baseColWidth="10" defaultColWidth="8.83203125" defaultRowHeight="15"/>
  <x:cols>
    <x:col min="1" max="1" width="9.1640625" customWidth="1"/>
    <x:col min="2" max="2" width="19.1640625" customWidth="1"/>
    <x:col min="3" max="3" width="21.5" customWidth="1"/>
    <x:col min="4" max="4" width="25.1640625" customWidth="1"/>
    <x:col min="5" max="5" width="16" customWidth="1"/>
    <x:col min="6" max="6" width="31.83203125" customWidth="1"/>
    <x:col min="7" max="7" width="16.1640625" customWidth="1"/>
    <x:col min="8" max="8" width="16.1640625" customWidth="1"/>
    <x:col min="9" max="9" width="12.33203125" customWidth="1"/>
  </x:cols>
  <x:sheetData>
    <x:row r="1" ht="63" customHeight="1">
      <x:c r="A1" s="145" t="s">
        <x:v>103</x:v>
      </x:c>
      <x:c r="B1" s="145"/>
      <x:c r="C1" s="145"/>
      <x:c r="D1" s="145"/>
      <x:c r="E1" s="145"/>
      <x:c r="F1" s="145"/>
      <x:c r="G1" s="145"/>
      <x:c r="H1" s="145"/>
      <x:c r="I1" s="145"/>
    </x:row>
    <x:row r="2">
      <x:c r="A2" s="9" t="s">
        <x:v>2</x:v>
      </x:c>
      <x:c r="B2" s="9" t="s">
        <x:v>20</x:v>
      </x:c>
      <x:c r="C2" s="9" t="s">
        <x:v>48</x:v>
      </x:c>
      <x:c r="D2" s="9" t="s">
        <x:v>89</x:v>
      </x:c>
      <x:c r="E2" s="9" t="s">
        <x:v>99</x:v>
      </x:c>
      <x:c r="F2" s="9" t="s">
        <x:v>104</x:v>
      </x:c>
      <x:c r="G2" s="9" t="s">
        <x:v>101</x:v>
      </x:c>
      <x:c r="H2" s="9" t="s">
        <x:v>105</x:v>
      </x:c>
      <x:c r="I2" s="26" t="s">
        <x:v>6</x:v>
      </x:c>
    </x:row>
    <x:row r="3">
      <x:c r="A3" t="str">
        <x:v>&lt;END&gt;</x:v>
      </x:c>
      <x:c r="B3"/>
      <x:c r="C3"/>
      <x:c r="D3"/>
      <x:c r="E3"/>
      <x:c r="F3"/>
      <x:c r="G3"/>
      <x:c r="H3"/>
      <x:c r="I3"/>
    </x:row>
    <x:row r="4">
      <x:c r="A4"/>
      <x:c r="B4"/>
      <x:c r="C4"/>
      <x:c r="D4"/>
      <x:c r="E4"/>
      <x:c r="F4"/>
      <x:c r="G4"/>
      <x:c r="H4"/>
      <x:c r="I4"/>
    </x:row>
    <x:row r="5">
      <x:c r="A5"/>
      <x:c r="B5"/>
      <x:c r="C5"/>
      <x:c r="D5"/>
      <x:c r="E5"/>
      <x:c r="F5"/>
      <x:c r="G5"/>
      <x:c r="H5"/>
      <x:c r="I5"/>
    </x:row>
    <x:row r="6">
      <x:c r="A6"/>
      <x:c r="B6"/>
      <x:c r="C6"/>
      <x:c r="D6"/>
      <x:c r="E6"/>
      <x:c r="F6"/>
      <x:c r="G6"/>
      <x:c r="H6"/>
      <x:c r="I6"/>
    </x:row>
    <x:row r="7">
      <x:c r="A7"/>
    </x:row>
  </x:sheetData>
  <x:mergeCells>
    <x:mergeCell ref="A1:I1"/>
  </x:mergeCells>
  <x:dataValidations count="1">
    <x:dataValidation allowBlank="1" sqref="D3:D1048576 E1:XFD1048576 A1:D2"/>
  </x:dataValidations>
  <x:pageMargins left="0.7" right="0.7" top="0.75" bottom="0.75" header="0.3" footer="0.3"/>
</x:worksheet>
</file>

<file path=xl/worksheets/sheet17.xml><?xml version="1.0" encoding="utf-8"?>
<x:worksheet xmlns:x="http://schemas.openxmlformats.org/spreadsheetml/2006/main">
  <x:sheetPr>
    <x:tabColor theme="5" tint="0.59999"/>
  </x:sheetPr>
  <x:sheetFormatPr baseColWidth="10" defaultColWidth="8.83203125" defaultRowHeight="15"/>
  <x:cols>
    <x:col min="1" max="1" width="9.1640625" customWidth="1"/>
    <x:col min="2" max="2" width="17.83203125" customWidth="1"/>
    <x:col min="3" max="3" width="14.83203125" customWidth="1"/>
    <x:col min="4" max="4" width="33.1640625" customWidth="1"/>
    <x:col min="7" max="7" width="10.5" customWidth="1"/>
    <x:col min="11" max="11" width="11.1640625" customWidth="1"/>
    <x:col min="16" max="16" width="14.1640625" customWidth="1"/>
    <x:col min="17" max="17" width="11.6640625" customWidth="1"/>
  </x:cols>
  <x:sheetData>
    <x:row r="1" ht="60" customHeight="1">
      <x:c r="A1" s="145" t="s">
        <x:v>106</x:v>
      </x:c>
      <x:c r="B1" s="145"/>
      <x:c r="C1" s="145"/>
      <x:c r="D1" s="145"/>
      <x:c r="E1" s="145"/>
      <x:c r="F1" s="145"/>
      <x:c r="G1" s="145"/>
      <x:c r="H1" s="145"/>
      <x:c r="I1" s="145"/>
      <x:c r="J1" s="145"/>
      <x:c r="K1" s="145"/>
      <x:c r="L1" s="145"/>
      <x:c r="M1" s="145"/>
      <x:c r="N1" s="145"/>
      <x:c r="O1" s="145"/>
      <x:c r="P1" s="145"/>
      <x:c r="Q1" s="145"/>
    </x:row>
    <x:row r="2">
      <x:c r="A2" s="9" t="s">
        <x:v>2</x:v>
      </x:c>
      <x:c r="B2" s="9" t="s">
        <x:v>20</x:v>
      </x:c>
      <x:c r="C2" s="9" t="s">
        <x:v>48</x:v>
      </x:c>
      <x:c r="D2" s="9" t="s">
        <x:v>107</x:v>
      </x:c>
      <x:c r="E2" s="9" t="s">
        <x:v>108</x:v>
      </x:c>
      <x:c r="F2" s="9" t="s">
        <x:v>109</x:v>
      </x:c>
      <x:c r="G2" s="9" t="s">
        <x:v>110</x:v>
      </x:c>
      <x:c r="H2" s="9" t="s">
        <x:v>111</x:v>
      </x:c>
      <x:c r="I2" s="9" t="s">
        <x:v>112</x:v>
      </x:c>
      <x:c r="J2" s="9" t="s">
        <x:v>113</x:v>
      </x:c>
      <x:c r="K2" s="9" t="s">
        <x:v>114</x:v>
      </x:c>
      <x:c r="L2" s="9" t="s">
        <x:v>115</x:v>
      </x:c>
      <x:c r="M2" s="9" t="s">
        <x:v>116</x:v>
      </x:c>
      <x:c r="N2" s="9" t="s">
        <x:v>117</x:v>
      </x:c>
      <x:c r="O2" s="9" t="s">
        <x:v>118</x:v>
      </x:c>
      <x:c r="P2" s="9" t="s">
        <x:v>105</x:v>
      </x:c>
      <x:c r="Q2" s="26" t="s">
        <x:v>6</x:v>
      </x:c>
    </x:row>
    <x:row r="3">
      <x:c r="A3" t="str">
        <x:v>&lt;END&gt;</x:v>
      </x:c>
    </x:row>
  </x:sheetData>
  <x:mergeCells>
    <x:mergeCell ref="A1:Q1"/>
  </x:mergeCells>
  <x:dataValidations count="1">
    <x:dataValidation allowBlank="1" sqref="E1:G2 A1:C2 H1:XFD1048576 D1:D1048576"/>
  </x:dataValidations>
  <x:pageMargins left="0.7" right="0.7" top="0.75" bottom="0.75" header="0.3" footer="0.3"/>
</x:worksheet>
</file>

<file path=xl/worksheets/sheet18.xml><?xml version="1.0" encoding="utf-8"?>
<x:worksheet xmlns:x="http://schemas.openxmlformats.org/spreadsheetml/2006/main">
  <x:sheetPr>
    <x:tabColor theme="5" tint="0.59999"/>
  </x:sheetPr>
  <x:sheetFormatPr baseColWidth="10" defaultColWidth="8.83203125" defaultRowHeight="15"/>
  <x:cols>
    <x:col min="1" max="1" width="8.5" customWidth="1"/>
    <x:col min="2" max="2" width="18.1640625" customWidth="1"/>
    <x:col min="3" max="3" width="11.6640625" customWidth="1"/>
    <x:col min="4" max="4" width="13.1640625" customWidth="1"/>
    <x:col min="7" max="7" width="10.5" customWidth="1"/>
    <x:col min="8" max="8" width="11.1640625" customWidth="1"/>
    <x:col min="9" max="9" width="9.83203125" customWidth="1"/>
    <x:col min="10" max="10" width="15.83203125" customWidth="1"/>
    <x:col min="11" max="11" width="12.33203125" customWidth="1"/>
    <x:col min="17" max="17" width="10.1640625" customWidth="1"/>
    <x:col min="18" max="18" width="14.1640625" customWidth="1"/>
    <x:col min="19" max="19" width="13.1640625" customWidth="1"/>
    <x:col min="20" max="20" width="11.6640625" customWidth="1"/>
  </x:cols>
  <x:sheetData>
    <x:row r="1" ht="139" customHeight="1">
      <x:c r="A1" s="145" t="s">
        <x:v>119</x:v>
      </x:c>
      <x:c r="B1" s="145"/>
      <x:c r="C1" s="145"/>
      <x:c r="D1" s="145"/>
      <x:c r="E1" s="145"/>
      <x:c r="F1" s="145"/>
      <x:c r="G1" s="145"/>
      <x:c r="H1" s="145"/>
      <x:c r="I1" s="145"/>
      <x:c r="J1" s="145"/>
      <x:c r="K1" s="145"/>
      <x:c r="L1" s="145"/>
      <x:c r="M1" s="145"/>
      <x:c r="N1" s="145"/>
      <x:c r="O1" s="145"/>
      <x:c r="P1" s="145"/>
      <x:c r="Q1" s="145"/>
      <x:c r="R1" s="145"/>
      <x:c r="S1" s="145"/>
      <x:c r="T1" s="145"/>
    </x:row>
    <x:row r="2" ht="16">
      <x:c r="A2" s="47" t="s">
        <x:v>2</x:v>
      </x:c>
      <x:c r="B2" s="79" t="s">
        <x:v>20</x:v>
      </x:c>
      <x:c r="C2" s="47" t="s">
        <x:v>48</x:v>
      </x:c>
      <x:c r="D2" s="47" t="s">
        <x:v>120</x:v>
      </x:c>
      <x:c r="E2" s="47" t="s">
        <x:v>121</x:v>
      </x:c>
      <x:c r="F2" s="47" t="s">
        <x:v>109</x:v>
      </x:c>
      <x:c r="G2" s="47" t="s">
        <x:v>110</x:v>
      </x:c>
      <x:c r="H2" s="47" t="s">
        <x:v>122</x:v>
      </x:c>
      <x:c r="I2" s="80" t="s">
        <x:v>111</x:v>
      </x:c>
      <x:c r="J2" s="47" t="s">
        <x:v>101</x:v>
      </x:c>
      <x:c r="K2" s="47" t="s">
        <x:v>114</x:v>
      </x:c>
      <x:c r="L2" s="47" t="s">
        <x:v>112</x:v>
      </x:c>
      <x:c r="M2" s="47" t="s">
        <x:v>113</x:v>
      </x:c>
      <x:c r="N2" s="47" t="s">
        <x:v>115</x:v>
      </x:c>
      <x:c r="O2" s="47" t="s">
        <x:v>116</x:v>
      </x:c>
      <x:c r="P2" s="47" t="s">
        <x:v>117</x:v>
      </x:c>
      <x:c r="Q2" s="47" t="s">
        <x:v>118</x:v>
      </x:c>
      <x:c r="R2" s="47" t="s">
        <x:v>105</x:v>
      </x:c>
      <x:c r="S2" s="47" t="s">
        <x:v>123</x:v>
      </x:c>
      <x:c r="T2" s="47" t="s">
        <x:v>6</x:v>
      </x:c>
    </x:row>
    <x:row r="3" ht="29.25" customHeight="1">
      <x:c r="A3" s="32" t="str">
        <x:v>&lt;END&gt;</x:v>
      </x:c>
      <x:c r="B3" s="32"/>
      <x:c r="C3" s="32"/>
      <x:c r="D3" s="32"/>
      <x:c r="E3" s="32"/>
      <x:c r="F3" s="32"/>
      <x:c r="G3" s="32"/>
      <x:c r="H3" s="32"/>
      <x:c r="I3" s="32"/>
      <x:c r="J3" s="32"/>
      <x:c r="K3" s="32"/>
      <x:c r="L3" s="32"/>
      <x:c r="M3" s="32"/>
      <x:c r="N3" s="32"/>
      <x:c r="O3" s="32"/>
      <x:c r="P3" s="32"/>
      <x:c r="Q3" s="32"/>
      <x:c r="R3" s="32"/>
      <x:c r="S3" s="32"/>
      <x:c r="T3" s="32"/>
    </x:row>
    <x:row r="4" ht="28.75" customHeight="1">
      <x:c r="A4" s="32"/>
      <x:c r="B4" s="32"/>
      <x:c r="C4" s="32"/>
      <x:c r="D4" s="32"/>
      <x:c r="E4" s="32"/>
      <x:c r="F4" s="32"/>
      <x:c r="G4" s="32"/>
      <x:c r="H4" s="32"/>
      <x:c r="I4" s="32"/>
      <x:c r="J4" s="32"/>
      <x:c r="K4" s="32"/>
      <x:c r="L4" s="32"/>
      <x:c r="M4" s="32"/>
      <x:c r="N4" s="32"/>
      <x:c r="O4" s="32"/>
      <x:c r="P4" s="32"/>
      <x:c r="Q4" s="32"/>
      <x:c r="R4" s="32"/>
      <x:c r="S4" s="32"/>
      <x:c r="T4" s="32"/>
    </x:row>
    <x:row r="5" ht="28.75" customHeight="1">
      <x:c r="A5" s="32"/>
      <x:c r="B5" s="32"/>
      <x:c r="C5" s="32"/>
      <x:c r="D5" s="32"/>
      <x:c r="E5" s="32"/>
      <x:c r="F5" s="32"/>
      <x:c r="G5" s="32"/>
      <x:c r="H5" s="32"/>
      <x:c r="I5" s="32"/>
      <x:c r="J5" s="32"/>
      <x:c r="K5" s="32"/>
      <x:c r="L5" s="32"/>
      <x:c r="M5" s="32"/>
      <x:c r="N5" s="32"/>
      <x:c r="O5" s="32"/>
      <x:c r="P5" s="32"/>
      <x:c r="Q5" s="32"/>
      <x:c r="R5" s="32"/>
      <x:c r="S5" s="32"/>
      <x:c r="T5" s="32"/>
    </x:row>
    <x:row r="6" ht="32">
      <x:c r="A6" s="32"/>
      <x:c r="B6" s="32"/>
      <x:c r="C6" s="32"/>
      <x:c r="D6" s="32"/>
      <x:c r="E6" s="32"/>
      <x:c r="F6" s="32"/>
      <x:c r="G6" s="32"/>
      <x:c r="H6" s="32"/>
      <x:c r="I6" s="32"/>
      <x:c r="J6" s="32"/>
      <x:c r="K6" s="32"/>
      <x:c r="L6" s="32"/>
      <x:c r="M6" s="32"/>
      <x:c r="N6" s="32"/>
      <x:c r="O6" s="32"/>
      <x:c r="P6" s="32"/>
      <x:c r="Q6" s="32"/>
      <x:c r="R6" s="32"/>
      <x:c r="S6" s="32"/>
      <x:c r="T6" s="32"/>
    </x:row>
    <x:row r="7" ht="32">
      <x:c r="A7" s="32"/>
      <x:c r="B7" s="32"/>
      <x:c r="C7" s="32"/>
      <x:c r="D7" s="32"/>
      <x:c r="E7" s="32"/>
      <x:c r="F7" s="32"/>
      <x:c r="G7" s="32"/>
      <x:c r="H7" s="32"/>
      <x:c r="I7" s="32"/>
      <x:c r="J7" s="32"/>
      <x:c r="K7" s="32"/>
      <x:c r="L7" s="32"/>
      <x:c r="M7" s="32"/>
      <x:c r="N7" s="32"/>
      <x:c r="O7" s="32"/>
      <x:c r="P7" s="32"/>
      <x:c r="Q7" s="32"/>
      <x:c r="R7" s="32"/>
      <x:c r="S7" s="32"/>
      <x:c r="T7" s="32"/>
    </x:row>
    <x:row r="8" ht="32">
      <x:c r="A8" s="32"/>
      <x:c r="B8" s="32"/>
      <x:c r="C8" s="32"/>
      <x:c r="D8" s="32"/>
      <x:c r="E8" s="32"/>
      <x:c r="F8" s="32"/>
      <x:c r="G8" s="32"/>
      <x:c r="H8" s="32"/>
      <x:c r="I8" s="32"/>
      <x:c r="J8" s="32"/>
      <x:c r="K8" s="32"/>
      <x:c r="L8" s="32"/>
      <x:c r="M8" s="32"/>
      <x:c r="N8" s="32"/>
      <x:c r="O8" s="32"/>
      <x:c r="P8" s="32"/>
      <x:c r="Q8" s="32"/>
      <x:c r="R8" s="32"/>
      <x:c r="S8" s="32"/>
      <x:c r="T8" s="32"/>
    </x:row>
    <x:row r="9" ht="32">
      <x:c r="A9" s="32"/>
      <x:c r="B9" s="32"/>
      <x:c r="C9" s="32"/>
      <x:c r="D9" s="32"/>
      <x:c r="E9" s="32"/>
      <x:c r="F9" s="32"/>
      <x:c r="G9" s="32"/>
      <x:c r="H9" s="32"/>
      <x:c r="I9" s="32"/>
      <x:c r="J9" s="32"/>
      <x:c r="K9" s="32"/>
      <x:c r="L9" s="32"/>
      <x:c r="M9" s="32"/>
      <x:c r="N9" s="32"/>
      <x:c r="O9" s="32"/>
      <x:c r="P9" s="32"/>
      <x:c r="Q9" s="32"/>
      <x:c r="R9" s="32"/>
      <x:c r="S9" s="32"/>
      <x:c r="T9" s="32"/>
    </x:row>
    <x:row r="10" ht="48">
      <x:c r="A10" s="32"/>
      <x:c r="B10" s="32"/>
      <x:c r="C10" s="32"/>
      <x:c r="D10" s="32"/>
      <x:c r="E10" s="32"/>
      <x:c r="F10" s="32"/>
      <x:c r="G10" s="32"/>
      <x:c r="H10" s="32"/>
      <x:c r="I10" s="32"/>
      <x:c r="J10" s="32"/>
      <x:c r="K10" s="32"/>
      <x:c r="L10" s="32"/>
      <x:c r="M10" s="32"/>
      <x:c r="N10" s="32"/>
      <x:c r="O10" s="32"/>
      <x:c r="P10" s="32"/>
      <x:c r="Q10" s="32"/>
      <x:c r="R10" s="32"/>
      <x:c r="S10" s="32"/>
      <x:c r="T10" s="32"/>
    </x:row>
    <x:row r="11" ht="48">
      <x:c r="A11" s="32"/>
      <x:c r="B11" s="32"/>
      <x:c r="C11" s="32"/>
      <x:c r="D11" s="32"/>
      <x:c r="E11" s="32"/>
      <x:c r="F11" s="32"/>
      <x:c r="G11" s="32"/>
      <x:c r="H11" s="32"/>
      <x:c r="I11" s="32"/>
      <x:c r="J11" s="32"/>
      <x:c r="K11" s="32"/>
      <x:c r="L11" s="32"/>
      <x:c r="M11" s="32"/>
      <x:c r="N11" s="32"/>
      <x:c r="O11" s="32"/>
      <x:c r="P11" s="32"/>
      <x:c r="Q11" s="32"/>
      <x:c r="R11" s="32"/>
      <x:c r="S11" s="32"/>
      <x:c r="T11" s="32"/>
    </x:row>
    <x:row r="12" ht="48">
      <x:c r="A12" s="32"/>
      <x:c r="B12" s="32"/>
      <x:c r="C12" s="32"/>
      <x:c r="D12" s="32"/>
      <x:c r="E12" s="32"/>
      <x:c r="F12" s="32"/>
      <x:c r="G12" s="32"/>
      <x:c r="H12" s="32"/>
      <x:c r="I12" s="32"/>
      <x:c r="J12" s="32"/>
      <x:c r="K12" s="32"/>
      <x:c r="L12" s="32"/>
      <x:c r="M12" s="32"/>
      <x:c r="N12" s="32"/>
      <x:c r="O12" s="32"/>
      <x:c r="P12" s="32"/>
      <x:c r="Q12" s="32"/>
      <x:c r="R12" s="32"/>
      <x:c r="S12" s="32"/>
      <x:c r="T12" s="32"/>
    </x:row>
    <x:row r="13" ht="32">
      <x:c r="A13" s="32"/>
      <x:c r="B13" s="32"/>
      <x:c r="C13" s="32"/>
      <x:c r="D13" s="32"/>
      <x:c r="E13" s="32"/>
      <x:c r="F13" s="32"/>
      <x:c r="G13" s="32"/>
      <x:c r="H13" s="32"/>
      <x:c r="I13" s="32"/>
      <x:c r="J13" s="32"/>
      <x:c r="K13" s="32"/>
      <x:c r="L13" s="32"/>
      <x:c r="M13" s="32"/>
      <x:c r="N13" s="32"/>
      <x:c r="O13" s="32"/>
      <x:c r="P13" s="32"/>
      <x:c r="Q13" s="32"/>
      <x:c r="R13" s="32"/>
      <x:c r="S13" s="32"/>
      <x:c r="T13" s="32"/>
    </x:row>
    <x:row r="14" ht="48">
      <x:c r="A14" s="32"/>
      <x:c r="B14" s="32"/>
      <x:c r="C14" s="32"/>
      <x:c r="D14" s="32"/>
      <x:c r="E14" s="32"/>
      <x:c r="F14" s="32"/>
      <x:c r="G14" s="32"/>
      <x:c r="H14" s="32"/>
      <x:c r="I14" s="32"/>
      <x:c r="J14" s="32"/>
      <x:c r="K14" s="32"/>
      <x:c r="L14" s="32"/>
      <x:c r="M14" s="32"/>
      <x:c r="N14" s="32"/>
      <x:c r="O14" s="32"/>
      <x:c r="P14" s="32"/>
      <x:c r="Q14" s="32"/>
      <x:c r="R14" s="32"/>
      <x:c r="S14" s="32"/>
      <x:c r="T14" s="32"/>
    </x:row>
    <x:row r="15" ht="48">
      <x:c r="A15" s="32"/>
      <x:c r="B15" s="32"/>
      <x:c r="C15" s="32"/>
      <x:c r="D15" s="32"/>
      <x:c r="E15" s="32"/>
      <x:c r="F15" s="32"/>
      <x:c r="G15" s="32"/>
      <x:c r="H15" s="32"/>
      <x:c r="I15" s="32"/>
      <x:c r="J15" s="32"/>
      <x:c r="K15" s="32"/>
      <x:c r="L15" s="32"/>
      <x:c r="M15" s="32"/>
      <x:c r="N15" s="32"/>
      <x:c r="O15" s="32"/>
      <x:c r="P15" s="32"/>
      <x:c r="Q15" s="32"/>
      <x:c r="R15" s="32"/>
      <x:c r="S15" s="32"/>
      <x:c r="T15" s="32"/>
    </x:row>
    <x:row r="16" ht="48">
      <x:c r="A16" s="32"/>
      <x:c r="B16" s="32"/>
      <x:c r="C16" s="32"/>
      <x:c r="D16" s="32"/>
      <x:c r="E16" s="32"/>
      <x:c r="F16" s="32"/>
      <x:c r="G16" s="32"/>
      <x:c r="H16" s="32"/>
      <x:c r="I16" s="32"/>
      <x:c r="J16" s="32"/>
      <x:c r="K16" s="32"/>
      <x:c r="L16" s="32"/>
      <x:c r="M16" s="32"/>
      <x:c r="N16" s="32"/>
      <x:c r="O16" s="32"/>
      <x:c r="P16" s="32"/>
      <x:c r="Q16" s="32"/>
      <x:c r="R16" s="32"/>
      <x:c r="S16" s="32"/>
      <x:c r="T16" s="32"/>
    </x:row>
    <x:row r="17" ht="18.75" customHeight="1">
      <x:c r="A17" s="33"/>
      <x:c r="B17" s="32"/>
      <x:c r="C17" s="33"/>
      <x:c r="D17" s="33"/>
      <x:c r="E17" s="33"/>
      <x:c r="F17" s="33"/>
      <x:c r="G17" s="33"/>
      <x:c r="H17" s="33"/>
      <x:c r="I17" s="31"/>
      <x:c r="J17" s="33"/>
      <x:c r="K17" s="33"/>
      <x:c r="L17" s="33"/>
      <x:c r="M17" s="33"/>
      <x:c r="N17" s="33"/>
      <x:c r="O17" s="33"/>
      <x:c r="P17" s="33"/>
      <x:c r="Q17" s="33"/>
      <x:c r="R17" s="33"/>
      <x:c r="S17" s="33"/>
      <x:c r="T17" s="33"/>
    </x:row>
    <x:row r="18" ht="31.75" customHeight="1">
      <x:c r="A18" s="53"/>
      <x:c r="B18" s="53"/>
      <x:c r="C18" s="53"/>
      <x:c r="D18" s="53"/>
      <x:c r="E18" s="53"/>
      <x:c r="F18" s="53"/>
      <x:c r="G18" s="53"/>
      <x:c r="H18" s="53"/>
      <x:c r="I18" s="53"/>
      <x:c r="J18" s="53"/>
      <x:c r="K18" s="53"/>
      <x:c r="L18" s="53"/>
      <x:c r="M18" s="53"/>
      <x:c r="N18" s="53"/>
      <x:c r="O18" s="53"/>
      <x:c r="P18" s="53"/>
      <x:c r="Q18" s="53"/>
      <x:c r="R18" s="54"/>
      <x:c r="S18" s="53"/>
      <x:c r="T18" s="53"/>
    </x:row>
    <x:row r="19" ht="31.75" customHeight="1">
      <x:c r="A19" s="53"/>
      <x:c r="B19" s="53"/>
      <x:c r="C19" s="53"/>
      <x:c r="D19" s="53"/>
      <x:c r="E19" s="53"/>
      <x:c r="F19" s="53"/>
      <x:c r="G19" s="53"/>
      <x:c r="H19" s="53"/>
      <x:c r="I19" s="53"/>
      <x:c r="J19" s="53"/>
      <x:c r="K19" s="53"/>
      <x:c r="L19" s="53"/>
      <x:c r="M19" s="53"/>
      <x:c r="N19" s="53"/>
      <x:c r="O19" s="53"/>
      <x:c r="P19" s="53"/>
      <x:c r="Q19" s="53"/>
      <x:c r="R19" s="54"/>
      <x:c r="S19" s="53"/>
      <x:c r="T19" s="53"/>
    </x:row>
    <x:row r="20" ht="31.75" customHeight="1">
      <x:c r="A20" s="53"/>
      <x:c r="B20" s="53"/>
      <x:c r="C20" s="53"/>
      <x:c r="D20" s="53"/>
      <x:c r="E20" s="53"/>
      <x:c r="F20" s="53"/>
      <x:c r="G20" s="53"/>
      <x:c r="H20" s="53"/>
      <x:c r="I20" s="53"/>
      <x:c r="J20" s="53"/>
      <x:c r="K20" s="53"/>
      <x:c r="L20" s="53"/>
      <x:c r="M20" s="53"/>
      <x:c r="N20" s="53"/>
      <x:c r="O20" s="53"/>
      <x:c r="P20" s="53"/>
      <x:c r="Q20" s="53"/>
      <x:c r="R20" s="54"/>
      <x:c r="S20" s="53"/>
      <x:c r="T20" s="53"/>
    </x:row>
    <x:row r="21" ht="31.75" customHeight="1">
      <x:c r="A21" s="53"/>
      <x:c r="B21" s="53"/>
      <x:c r="C21" s="53"/>
      <x:c r="D21" s="53"/>
      <x:c r="E21" s="53"/>
      <x:c r="F21" s="53"/>
      <x:c r="G21" s="53"/>
      <x:c r="H21" s="53"/>
      <x:c r="I21" s="53"/>
      <x:c r="J21" s="53"/>
      <x:c r="K21" s="53"/>
      <x:c r="L21" s="53"/>
      <x:c r="M21" s="53"/>
      <x:c r="N21" s="53"/>
      <x:c r="O21" s="53"/>
      <x:c r="P21" s="53"/>
      <x:c r="Q21" s="53"/>
      <x:c r="R21" s="54"/>
      <x:c r="S21" s="53"/>
      <x:c r="T21" s="53"/>
    </x:row>
  </x:sheetData>
  <x:mergeCells>
    <x:mergeCell ref="A1:T1"/>
  </x:mergeCells>
  <x:dataValidations count="1">
    <x:dataValidation allowBlank="1" sqref="D2:D1048576 H2:T1048576 E2:G2 A2:C2 U1:XFD1048576 A1:T1"/>
  </x:dataValidations>
  <x:pageMargins left="0.7" right="0.7" top="0.75" bottom="0.75" header="0.3" footer="0.3"/>
</x:worksheet>
</file>

<file path=xl/worksheets/sheet19.xml><?xml version="1.0" encoding="utf-8"?>
<x:worksheet xmlns:x="http://schemas.openxmlformats.org/spreadsheetml/2006/main">
  <x:sheetPr>
    <x:tabColor theme="5" tint="0.59999"/>
  </x:sheetPr>
  <x:sheetFormatPr baseColWidth="10" defaultColWidth="8.83203125" defaultRowHeight="15"/>
  <x:cols>
    <x:col min="1" max="1" width="7.83203125" customWidth="1"/>
    <x:col min="2" max="2" width="18.1640625" customWidth="1"/>
    <x:col min="3" max="3" width="14.1640625" customWidth="1"/>
    <x:col min="4" max="4" width="13.5" customWidth="1"/>
    <x:col min="5" max="5" width="18.5" customWidth="1"/>
    <x:col min="6" max="6" width="22.83203125" customWidth="1"/>
    <x:col min="7" max="7" width="24" customWidth="1"/>
    <x:col min="8" max="8" width="15.6640625" customWidth="1"/>
    <x:col min="9" max="9" width="73.83203125" customWidth="1"/>
  </x:cols>
  <x:sheetData>
    <x:row r="1" ht="175" customHeight="1">
      <x:c r="A1" s="145" t="s">
        <x:v>124</x:v>
      </x:c>
      <x:c r="B1" s="157"/>
      <x:c r="C1" s="157"/>
      <x:c r="D1" s="157"/>
      <x:c r="E1" s="157"/>
      <x:c r="F1" s="157"/>
      <x:c r="G1" s="157"/>
      <x:c r="H1" s="157"/>
      <x:c r="I1" s="157"/>
    </x:row>
    <x:row r="2">
      <x:c r="A2" s="6" t="s">
        <x:v>2</x:v>
      </x:c>
      <x:c r="B2" s="6" t="s">
        <x:v>20</x:v>
      </x:c>
      <x:c r="C2" s="6" t="s">
        <x:v>125</x:v>
      </x:c>
      <x:c r="D2" s="26" t="s">
        <x:v>126</x:v>
      </x:c>
      <x:c r="E2" s="26" t="s">
        <x:v>127</x:v>
      </x:c>
      <x:c r="F2" s="26" t="s">
        <x:v>128</x:v>
      </x:c>
      <x:c r="G2" s="26" t="s">
        <x:v>129</x:v>
      </x:c>
      <x:c r="H2" s="26" t="s">
        <x:v>130</x:v>
      </x:c>
      <x:c r="I2" s="6" t="s">
        <x:v>6</x:v>
      </x:c>
    </x:row>
    <x:row r="3" s="30" customFormat="1" ht="21" customHeight="1">
      <x:c r="A3" s="28" t="str">
        <x:v>&lt;END&gt;</x:v>
      </x:c>
      <x:c r="B3" s="28"/>
      <x:c r="C3" s="28"/>
      <x:c r="D3" s="100"/>
      <x:c r="E3" s="100"/>
      <x:c r="F3" s="100"/>
      <x:c r="G3" s="100"/>
      <x:c r="H3" s="100"/>
      <x:c r="I3" s="28"/>
    </x:row>
    <x:row r="4" ht="43.5" customHeight="1">
      <x:c r="A4" s="32"/>
      <x:c r="B4" s="33"/>
      <x:c r="C4" s="32"/>
      <x:c r="D4" s="32"/>
      <x:c r="E4" s="32"/>
      <x:c r="F4" s="32"/>
      <x:c r="G4" s="32"/>
      <x:c r="H4" s="32"/>
      <x:c r="I4" s="29"/>
    </x:row>
    <x:row r="5" ht="43.5" customHeight="1">
      <x:c r="A5" s="32"/>
      <x:c r="B5" s="33"/>
      <x:c r="C5" s="32"/>
      <x:c r="D5" s="32"/>
      <x:c r="E5" s="32"/>
      <x:c r="F5" s="32"/>
      <x:c r="G5" s="32"/>
      <x:c r="H5" s="32"/>
      <x:c r="I5" s="29"/>
    </x:row>
    <x:row r="6" ht="43.5" customHeight="1">
      <x:c r="A6" s="32"/>
      <x:c r="B6" s="33"/>
      <x:c r="C6" s="32"/>
      <x:c r="D6" s="32"/>
      <x:c r="E6" s="32"/>
      <x:c r="F6" s="32"/>
      <x:c r="G6" s="32"/>
      <x:c r="H6" s="32"/>
      <x:c r="I6" s="29"/>
    </x:row>
    <x:row r="7" ht="43.5" customHeight="1">
      <x:c r="A7" s="32"/>
      <x:c r="B7" s="32"/>
      <x:c r="C7" s="32"/>
      <x:c r="D7" s="32"/>
      <x:c r="E7" s="32"/>
      <x:c r="F7" s="32"/>
      <x:c r="G7" s="32"/>
      <x:c r="H7" s="32"/>
      <x:c r="I7" s="29"/>
    </x:row>
    <x:row r="8" ht="43.5" customHeight="1">
      <x:c r="A8" s="32"/>
      <x:c r="B8" s="32"/>
      <x:c r="C8" s="32"/>
      <x:c r="D8" s="32"/>
      <x:c r="E8" s="32"/>
      <x:c r="F8" s="32"/>
      <x:c r="G8" s="32"/>
      <x:c r="H8" s="32"/>
      <x:c r="I8" s="29"/>
    </x:row>
    <x:row r="9" ht="58" customHeight="1">
      <x:c r="A9" s="32"/>
      <x:c r="B9" s="32"/>
      <x:c r="C9" s="32"/>
      <x:c r="D9" s="32"/>
      <x:c r="E9" s="32"/>
      <x:c r="F9" s="32"/>
      <x:c r="G9" s="32"/>
      <x:c r="H9" s="32"/>
      <x:c r="I9" s="29"/>
    </x:row>
    <x:row r="10" ht="43.5" customHeight="1">
      <x:c r="A10" s="32"/>
      <x:c r="B10" s="32"/>
      <x:c r="C10" s="32"/>
      <x:c r="D10" s="32"/>
      <x:c r="E10" s="32"/>
      <x:c r="F10" s="32"/>
      <x:c r="G10" s="32"/>
      <x:c r="H10" s="32"/>
      <x:c r="I10" s="29"/>
    </x:row>
    <x:row r="11" ht="43.5" customHeight="1">
      <x:c r="A11" s="32"/>
      <x:c r="B11" s="32"/>
      <x:c r="C11" s="32"/>
      <x:c r="D11" s="32"/>
      <x:c r="E11" s="32"/>
      <x:c r="F11" s="32"/>
      <x:c r="G11" s="32"/>
      <x:c r="H11" s="32"/>
      <x:c r="I11" s="29"/>
    </x:row>
    <x:row r="12" ht="43.5" customHeight="1">
      <x:c r="A12" s="32"/>
      <x:c r="B12" s="32"/>
      <x:c r="C12" s="32"/>
      <x:c r="D12" s="32"/>
      <x:c r="E12" s="32"/>
      <x:c r="F12" s="32"/>
      <x:c r="G12" s="32"/>
      <x:c r="H12" s="32"/>
      <x:c r="I12" s="29"/>
    </x:row>
    <x:row r="13" ht="43.5" customHeight="1">
      <x:c r="A13" s="32"/>
      <x:c r="B13" s="32"/>
      <x:c r="C13" s="32"/>
      <x:c r="D13" s="32"/>
      <x:c r="E13" s="32"/>
      <x:c r="F13" s="32"/>
      <x:c r="G13" s="32"/>
      <x:c r="H13" s="32"/>
      <x:c r="I13" s="29"/>
    </x:row>
    <x:row r="14" ht="43.5" customHeight="1">
      <x:c r="A14" s="32"/>
      <x:c r="B14" s="32"/>
      <x:c r="C14" s="32"/>
      <x:c r="D14" s="32"/>
      <x:c r="E14" s="32"/>
      <x:c r="F14" s="32"/>
      <x:c r="G14" s="32"/>
      <x:c r="H14" s="32"/>
      <x:c r="I14" s="29"/>
    </x:row>
    <x:row r="15">
      <x:c r="A15" s="32"/>
      <x:c r="B15" s="32"/>
      <x:c r="C15" s="32"/>
      <x:c r="D15" s="32"/>
      <x:c r="E15" s="32"/>
      <x:c r="F15" s="32"/>
      <x:c r="G15" s="32"/>
      <x:c r="H15" s="32"/>
      <x:c r="I15" s="29"/>
    </x:row>
    <x:row r="16">
      <x:c r="A16" s="32"/>
      <x:c r="B16" s="32"/>
      <x:c r="C16" s="32"/>
      <x:c r="D16" s="32"/>
      <x:c r="E16" s="32"/>
      <x:c r="F16" s="32"/>
      <x:c r="G16" s="32"/>
      <x:c r="H16" s="32"/>
      <x:c r="I16" s="29"/>
    </x:row>
    <x:row r="17">
      <x:c r="A17" s="32"/>
      <x:c r="B17" s="32"/>
      <x:c r="C17" s="32"/>
      <x:c r="D17" s="32"/>
      <x:c r="E17" s="32"/>
      <x:c r="F17" s="32"/>
      <x:c r="G17" s="32"/>
      <x:c r="H17" s="32"/>
      <x:c r="I17" s="29"/>
    </x:row>
    <x:row r="18">
      <x:c r="A18" s="32"/>
      <x:c r="B18" s="32"/>
      <x:c r="C18" s="32"/>
      <x:c r="D18" s="32"/>
      <x:c r="E18" s="32"/>
      <x:c r="F18" s="32"/>
      <x:c r="G18" s="32"/>
      <x:c r="H18" s="32"/>
      <x:c r="I18" s="29"/>
    </x:row>
    <x:row r="19">
      <x:c r="A19" s="32"/>
      <x:c r="B19" s="32"/>
      <x:c r="C19" s="32"/>
      <x:c r="D19" s="32"/>
      <x:c r="E19" s="32"/>
      <x:c r="F19" s="32"/>
      <x:c r="G19" s="32"/>
      <x:c r="H19" s="32"/>
      <x:c r="I19" s="29"/>
    </x:row>
    <x:row r="20">
      <x:c r="A20" s="32"/>
      <x:c r="B20" s="32"/>
      <x:c r="C20" s="32"/>
      <x:c r="D20" s="32"/>
      <x:c r="E20" s="32"/>
      <x:c r="F20" s="32"/>
      <x:c r="G20" s="32"/>
      <x:c r="H20" s="32"/>
      <x:c r="I20" s="29"/>
    </x:row>
    <x:row r="21">
      <x:c r="A21" s="32"/>
      <x:c r="B21" s="32"/>
      <x:c r="C21" s="32"/>
      <x:c r="D21" s="32"/>
      <x:c r="E21" s="32"/>
      <x:c r="F21" s="32"/>
      <x:c r="G21" s="32"/>
      <x:c r="H21" s="32"/>
      <x:c r="I21" s="29"/>
    </x:row>
    <x:row r="22">
      <x:c r="A22" s="32"/>
      <x:c r="B22" s="32"/>
      <x:c r="C22" s="32"/>
      <x:c r="D22" s="32"/>
      <x:c r="E22" s="32"/>
      <x:c r="F22" s="32"/>
      <x:c r="G22" s="32"/>
      <x:c r="H22" s="32"/>
      <x:c r="I22" s="29"/>
    </x:row>
    <x:row r="23">
      <x:c r="A23" s="32"/>
      <x:c r="B23" s="32"/>
      <x:c r="C23" s="32"/>
      <x:c r="D23" s="32"/>
      <x:c r="E23" s="32"/>
      <x:c r="F23" s="32"/>
      <x:c r="G23" s="32"/>
      <x:c r="H23" s="32"/>
      <x:c r="I23" s="29"/>
    </x:row>
    <x:row r="24">
      <x:c r="A24" s="32"/>
      <x:c r="B24" s="32"/>
      <x:c r="C24" s="32"/>
      <x:c r="D24" s="32"/>
      <x:c r="E24" s="32"/>
      <x:c r="F24" s="32"/>
      <x:c r="G24" s="32"/>
      <x:c r="H24" s="32"/>
      <x:c r="I24" s="29"/>
    </x:row>
    <x:row r="25">
      <x:c r="A25" s="32"/>
      <x:c r="B25" s="32"/>
      <x:c r="C25" s="32"/>
      <x:c r="D25" s="32"/>
      <x:c r="E25" s="32"/>
      <x:c r="F25" s="32"/>
      <x:c r="G25" s="32"/>
      <x:c r="H25" s="32"/>
      <x:c r="I25" s="29"/>
    </x:row>
  </x:sheetData>
  <x:mergeCells>
    <x:mergeCell ref="A1:I1"/>
  </x:mergeCells>
  <x:dataValidations count="2">
    <x:dataValidation type="list" allowBlank="1" showInputMessage="1" showErrorMessage="1" sqref="F1:F1048576">
      <x:formula1>"A,CNAME,AAAA,MX,PTR,SRV,TXT,CAA"</x:formula1>
    </x:dataValidation>
    <x:dataValidation showInputMessage="1" showErrorMessage="1" sqref="I6:I1048576 I2:I3 B2 C2:C3 A1:A2"/>
  </x:dataValidations>
  <x:pageMargins left="0.7" right="0.7" top="0.75" bottom="0.75" header="0.3" footer="0.3"/>
</x:worksheet>
</file>

<file path=xl/worksheets/sheet20.xml><?xml version="1.0" encoding="utf-8"?>
<x:worksheet xmlns:x="http://schemas.openxmlformats.org/spreadsheetml/2006/main">
  <x:sheetPr>
    <x:tabColor theme="5" tint="0.59999"/>
  </x:sheetPr>
  <x:sheetFormatPr baseColWidth="10" defaultColWidth="8.83203125" defaultRowHeight="15"/>
  <x:cols>
    <x:col min="1" max="1" width="10.5" customWidth="1"/>
    <x:col min="2" max="2" width="13.1640625" customWidth="1"/>
    <x:col min="3" max="3" width="11.5" customWidth="1"/>
    <x:col min="4" max="4" width="12.1640625" customWidth="1"/>
    <x:col min="5" max="5" width="21.83203125" customWidth="1"/>
    <x:col min="6" max="6" width="20.5" customWidth="1"/>
    <x:col min="7" max="7" width="20.33203125" customWidth="1"/>
    <x:col min="8" max="8" width="22.5" customWidth="1"/>
    <x:col min="9" max="9" width="13.33203125" customWidth="1"/>
    <x:col min="10" max="10" width="57.1640625" customWidth="1"/>
    <x:col min="11" max="11" width="11.5" customWidth="1"/>
  </x:cols>
  <x:sheetData>
    <x:row r="1" ht="200" customHeight="1">
      <x:c r="A1" s="158" t="s">
        <x:v>131</x:v>
      </x:c>
      <x:c r="B1" s="159"/>
      <x:c r="C1" s="159"/>
      <x:c r="D1" s="159"/>
      <x:c r="E1" s="159"/>
      <x:c r="F1" s="159"/>
      <x:c r="G1" s="159"/>
      <x:c r="H1" s="159"/>
      <x:c r="I1" s="159"/>
      <x:c r="J1" s="159"/>
      <x:c r="K1" s="159"/>
    </x:row>
    <x:row r="2" ht="32">
      <x:c r="A2" s="26" t="s">
        <x:v>2</x:v>
      </x:c>
      <x:c r="B2" s="27" t="s">
        <x:v>20</x:v>
      </x:c>
      <x:c r="C2" s="26" t="s">
        <x:v>48</x:v>
      </x:c>
      <x:c r="D2" s="26" t="s">
        <x:v>83</x:v>
      </x:c>
      <x:c r="E2" s="26" t="s">
        <x:v>132</x:v>
      </x:c>
      <x:c r="F2" s="26" t="s">
        <x:v>133</x:v>
      </x:c>
      <x:c r="G2" s="26" t="s">
        <x:v>134</x:v>
      </x:c>
      <x:c r="H2" s="26" t="s">
        <x:v>135</x:v>
      </x:c>
      <x:c r="I2" s="26" t="s">
        <x:v>136</x:v>
      </x:c>
      <x:c r="J2" s="26" t="s">
        <x:v>137</x:v>
      </x:c>
      <x:c r="K2" s="26" t="s">
        <x:v>6</x:v>
      </x:c>
    </x:row>
    <x:row r="3" s="30" customFormat="1">
      <x:c r="A3" s="100" t="str">
        <x:v>&lt;END&gt;</x:v>
      </x:c>
      <x:c r="B3" s="100"/>
      <x:c r="C3" s="100"/>
      <x:c r="D3" s="100"/>
      <x:c r="E3" s="100"/>
      <x:c r="F3" s="100"/>
      <x:c r="G3" s="100"/>
      <x:c r="H3" s="100"/>
      <x:c r="I3" s="100"/>
      <x:c r="J3" s="100"/>
      <x:c r="K3" s="100"/>
    </x:row>
    <x:row r="4" ht="64">
      <x:c r="A4" s="33"/>
      <x:c r="B4" s="33"/>
      <x:c r="C4" s="33"/>
      <x:c r="D4" s="33"/>
      <x:c r="E4" s="32"/>
      <x:c r="F4" s="29"/>
      <x:c r="G4" s="33"/>
      <x:c r="H4" s="29"/>
      <x:c r="I4" s="28"/>
      <x:c r="J4" s="29"/>
      <x:c r="K4" s="29"/>
    </x:row>
    <x:row r="5" ht="29.25" customHeight="1">
      <x:c r="A5" s="32"/>
      <x:c r="B5" s="33"/>
      <x:c r="C5" s="33"/>
      <x:c r="D5" s="33"/>
      <x:c r="E5" s="32"/>
      <x:c r="F5" s="29"/>
      <x:c r="G5" s="33"/>
      <x:c r="H5" s="29"/>
      <x:c r="I5" s="29"/>
      <x:c r="J5" s="29"/>
      <x:c r="K5" s="29"/>
    </x:row>
  </x:sheetData>
  <x:mergeCells>
    <x:mergeCell ref="A1:K1"/>
  </x:mergeCells>
  <x:dataValidations count="1">
    <x:dataValidation showInputMessage="1" showErrorMessage="1" sqref="K5 K2:K3 B2:C2 A1:A2"/>
  </x:dataValidations>
  <x:pageMargins left="0.7" right="0.7" top="0.75" bottom="0.75" header="0.3" footer="0.3"/>
</x:worksheet>
</file>

<file path=xl/worksheets/sheet21.xml><?xml version="1.0" encoding="utf-8"?>
<x:worksheet xmlns:x="http://schemas.openxmlformats.org/spreadsheetml/2006/main">
  <x:sheetPr>
    <x:tabColor theme="6" tint="0.59999"/>
  </x:sheetPr>
  <x:sheetFormatPr baseColWidth="10" defaultColWidth="8.83203125" defaultRowHeight="15"/>
  <x:cols>
    <x:col min="2" max="2" width="19.1640625" customWidth="1"/>
    <x:col min="3" max="3" width="12.1640625" customWidth="1"/>
    <x:col min="4" max="4" width="18.5" customWidth="1"/>
    <x:col min="5" max="5" width="16.83203125" customWidth="1"/>
    <x:col min="6" max="6" width="17" customWidth="1"/>
    <x:col min="7" max="7" width="17.6640625" customWidth="1"/>
  </x:cols>
  <x:sheetData>
    <x:row r="1" ht="89.25" customHeight="1">
      <x:c r="A1" s="145" t="s">
        <x:v>138</x:v>
      </x:c>
      <x:c r="B1" s="145"/>
      <x:c r="C1" s="145"/>
      <x:c r="D1" s="145"/>
      <x:c r="E1" s="145"/>
      <x:c r="F1" s="145"/>
      <x:c r="G1" s="145"/>
    </x:row>
    <x:row r="2" s="40" customFormat="1" ht="28.75" customHeight="1">
      <x:c r="A2" s="26" t="s">
        <x:v>2</x:v>
      </x:c>
      <x:c r="B2" s="26" t="s">
        <x:v>20</x:v>
      </x:c>
      <x:c r="C2" s="26" t="s">
        <x:v>83</x:v>
      </x:c>
      <x:c r="D2" s="27" t="s">
        <x:v>139</x:v>
      </x:c>
      <x:c r="E2" s="27" t="s">
        <x:v>140</x:v>
      </x:c>
      <x:c r="F2" s="27" t="s">
        <x:v>141</x:v>
      </x:c>
      <x:c r="G2" s="27" t="s">
        <x:v>6</x:v>
      </x:c>
    </x:row>
    <x:row r="3" ht="47.25" customHeight="1">
      <x:c r="A3" s="33" t="str">
        <x:v>&lt;END&gt;</x:v>
      </x:c>
      <x:c r="B3" s="33"/>
      <x:c r="C3" s="33"/>
      <x:c r="D3" s="33"/>
      <x:c r="E3" s="33"/>
      <x:c r="F3" s="33"/>
      <x:c r="G3" s="32"/>
    </x:row>
    <x:row r="4" ht="28.75" customHeight="1">
      <x:c r="A4" s="33"/>
      <x:c r="B4" s="33"/>
      <x:c r="C4" s="33"/>
      <x:c r="D4" s="33"/>
      <x:c r="E4" s="33"/>
      <x:c r="F4" s="33"/>
      <x:c r="G4" s="33"/>
    </x:row>
    <x:row r="5" ht="28.75" customHeight="1">
      <x:c r="A5" s="33"/>
      <x:c r="B5" s="33"/>
      <x:c r="C5" s="33"/>
      <x:c r="D5" s="33"/>
      <x:c r="E5" s="33"/>
      <x:c r="F5" s="33"/>
      <x:c r="G5" s="33"/>
    </x:row>
    <x:row r="6" ht="28.75" customHeight="1">
      <x:c r="A6" s="33"/>
      <x:c r="B6" s="33"/>
      <x:c r="C6" s="33"/>
      <x:c r="D6" s="33"/>
      <x:c r="E6" s="33"/>
      <x:c r="F6" s="33"/>
      <x:c r="G6" s="33"/>
    </x:row>
  </x:sheetData>
  <x:mergeCells>
    <x:mergeCell ref="A1:G1"/>
  </x:mergeCells>
  <x:dataValidations count="1">
    <x:dataValidation allowBlank="1" sqref="E1:E1048576 F1:F2 A1:B2 C1:C1048576 G1:XFD1048576 D1:D2"/>
  </x:dataValidations>
  <x:pageMargins left="0.7" right="0.7" top="0.75" bottom="0.75" header="0.3" footer="0.3"/>
</x:worksheet>
</file>

<file path=xl/worksheets/sheet22.xml><?xml version="1.0" encoding="utf-8"?>
<x:worksheet xmlns:x="http://schemas.openxmlformats.org/spreadsheetml/2006/main">
  <x:sheetPr>
    <x:tabColor theme="6" tint="0.59999"/>
  </x:sheetPr>
  <x:sheetFormatPr baseColWidth="10" defaultColWidth="8.83203125" defaultRowHeight="15"/>
  <x:cols>
    <x:col min="1" max="1" width="7.5" customWidth="1"/>
    <x:col min="2" max="2" width="12.33203125" customWidth="1"/>
    <x:col min="3" max="3" width="15.33203125" customWidth="1"/>
    <x:col min="4" max="4" width="17.33203125" customWidth="1"/>
    <x:col min="5" max="5" width="15" customWidth="1"/>
    <x:col min="6" max="6" width="14.5" style="1" customWidth="1"/>
    <x:col min="7" max="7" width="10.6640625" customWidth="1"/>
    <x:col min="8" max="8" width="9.6640625" customWidth="1"/>
    <x:col min="9" max="9" width="15.83203125" customWidth="1"/>
    <x:col min="10" max="10" width="21.33203125" customWidth="1"/>
    <x:col min="11" max="11" width="10" customWidth="1"/>
    <x:col min="12" max="12" width="11.33203125" customWidth="1"/>
    <x:col min="13" max="13" width="12.83203125" customWidth="1"/>
    <x:col min="14" max="14" width="12.83203125" customWidth="1"/>
    <x:col min="15" max="15" width="15.6640625" hidden="1" customWidth="1"/>
    <x:col min="16" max="16" width="12.1640625" hidden="1" customWidth="1"/>
    <x:col min="17" max="17" width="16.1640625" hidden="1" customWidth="1"/>
    <x:col min="18" max="18" width="14.1640625" hidden="1" customWidth="1"/>
    <x:col min="19" max="19" width="11.1640625" hidden="1" customWidth="1"/>
    <x:col min="20" max="20" width="18.6640625" hidden="1" customWidth="1"/>
    <x:col min="21" max="21" width="12.83203125" hidden="1" customWidth="1"/>
    <x:col min="22" max="22" width="19.33203125" hidden="1" customWidth="1"/>
    <x:col min="23" max="23" width="16.33203125" hidden="1" customWidth="1"/>
    <x:col min="24" max="24" width="15.1640625" hidden="1" customWidth="1"/>
    <x:col min="25" max="25" width="19.33203125" hidden="1" customWidth="1"/>
    <x:col min="26" max="26" width="17.6640625" hidden="1" customWidth="1"/>
    <x:col min="27" max="27" width="16.6640625" hidden="1" customWidth="1"/>
    <x:col min="28" max="28" width="14.1640625" hidden="1" customWidth="1"/>
    <x:col min="29" max="29" width="12" hidden="1" customWidth="1"/>
    <x:col min="30" max="30" width="6.6640625" customWidth="1"/>
    <x:col min="31" max="31" width="15.6640625" customWidth="1"/>
    <x:col min="32" max="32" width="14.33203125" customWidth="1"/>
    <x:col min="33" max="33" width="12" customWidth="1"/>
    <x:col min="36" max="36" width="12.33203125" customWidth="1"/>
    <x:col min="37" max="37" width="21.33203125" customWidth="1"/>
  </x:cols>
  <x:sheetData>
    <x:row r="1" ht="250" customHeight="1">
      <x:c r="A1" s="160" t="s">
        <x:v>142</x:v>
      </x:c>
      <x:c r="B1" s="161"/>
      <x:c r="C1" s="161"/>
      <x:c r="D1" s="161"/>
      <x:c r="E1" s="161"/>
      <x:c r="F1" s="161"/>
      <x:c r="G1" s="161"/>
      <x:c r="H1" s="162"/>
      <x:c r="I1" s="145" t="s">
        <x:v>143</x:v>
      </x:c>
      <x:c r="J1" s="147"/>
      <x:c r="K1" s="147"/>
      <x:c r="L1" s="147"/>
      <x:c r="M1" s="147"/>
      <x:c r="N1" s="147"/>
      <x:c r="O1" s="147"/>
      <x:c r="P1" s="147"/>
      <x:c r="Q1" s="147"/>
      <x:c r="R1" s="147"/>
      <x:c r="S1" s="147"/>
      <x:c r="T1" s="147"/>
      <x:c r="U1" s="147"/>
      <x:c r="V1" s="147"/>
      <x:c r="W1" s="147"/>
      <x:c r="X1" s="147"/>
      <x:c r="Y1" s="147"/>
      <x:c r="Z1" s="147"/>
      <x:c r="AA1" s="147"/>
      <x:c r="AB1" s="147"/>
      <x:c r="AC1" s="147"/>
      <x:c r="AD1" s="147"/>
      <x:c r="AE1" s="147"/>
      <x:c r="AF1" s="147"/>
      <x:c r="AG1" s="147"/>
      <x:c r="AH1" s="147"/>
      <x:c r="AI1" s="147"/>
      <x:c r="AJ1" s="147"/>
      <x:c r="AK1" s="148"/>
    </x:row>
    <x:row r="2" s="40" customFormat="1" ht="52.5" customHeight="1">
      <x:c r="A2" s="26" t="s">
        <x:v>2</x:v>
      </x:c>
      <x:c r="B2" s="27" t="s">
        <x:v>20</x:v>
      </x:c>
      <x:c r="C2" s="27" t="s">
        <x:v>139</x:v>
      </x:c>
      <x:c r="D2" s="26" t="s">
        <x:v>83</x:v>
      </x:c>
      <x:c r="E2" s="27" t="s">
        <x:v>141</x:v>
      </x:c>
      <x:c r="F2" s="27" t="s">
        <x:v>144</x:v>
      </x:c>
      <x:c r="G2" s="26" t="s">
        <x:v>145</x:v>
      </x:c>
      <x:c r="H2" s="27" t="s">
        <x:v>146</x:v>
      </x:c>
      <x:c r="I2" s="26" t="s">
        <x:v>147</x:v>
      </x:c>
      <x:c r="J2" s="26" t="s">
        <x:v>140</x:v>
      </x:c>
      <x:c r="K2" s="27" t="s">
        <x:v>148</x:v>
      </x:c>
      <x:c r="L2" s="27" t="s">
        <x:v>149</x:v>
      </x:c>
      <x:c r="M2" s="27" t="s">
        <x:v>150</x:v>
      </x:c>
      <x:c r="N2" s="27" t="s">
        <x:v>151</x:v>
      </x:c>
      <x:c r="O2" s="27" t="s">
        <x:v>152</x:v>
      </x:c>
      <x:c r="P2" s="27" t="s">
        <x:v>153</x:v>
      </x:c>
      <x:c r="Q2" s="27" t="s">
        <x:v>154</x:v>
      </x:c>
      <x:c r="R2" s="27" t="s">
        <x:v>155</x:v>
      </x:c>
      <x:c r="S2" s="27" t="s">
        <x:v>156</x:v>
      </x:c>
      <x:c r="T2" s="27" t="s">
        <x:v>157</x:v>
      </x:c>
      <x:c r="U2" s="27" t="s">
        <x:v>158</x:v>
      </x:c>
      <x:c r="V2" s="27" t="s">
        <x:v>159</x:v>
      </x:c>
      <x:c r="W2" s="27" t="s">
        <x:v>160</x:v>
      </x:c>
      <x:c r="X2" s="27" t="s">
        <x:v>161</x:v>
      </x:c>
      <x:c r="Y2" s="27" t="s">
        <x:v>162</x:v>
      </x:c>
      <x:c r="Z2" s="27" t="s">
        <x:v>163</x:v>
      </x:c>
      <x:c r="AA2" s="27" t="s">
        <x:v>164</x:v>
      </x:c>
      <x:c r="AB2" s="27" t="s">
        <x:v>165</x:v>
      </x:c>
      <x:c r="AC2" s="27" t="s">
        <x:v>166</x:v>
      </x:c>
      <x:c r="AD2" s="27" t="s">
        <x:v>167</x:v>
      </x:c>
      <x:c r="AE2" s="26" t="s">
        <x:v>168</x:v>
      </x:c>
      <x:c r="AF2" s="26" t="s">
        <x:v>169</x:v>
      </x:c>
      <x:c r="AG2" s="27" t="s">
        <x:v>170</x:v>
      </x:c>
      <x:c r="AH2" s="26" t="s">
        <x:v>91</x:v>
      </x:c>
      <x:c r="AI2" s="27" t="s">
        <x:v>171</x:v>
      </x:c>
      <x:c r="AJ2" s="27" t="s">
        <x:v>172</x:v>
      </x:c>
      <x:c r="AK2" s="26" t="s">
        <x:v>6</x:v>
      </x:c>
    </x:row>
    <x:row r="3" ht="34" customHeight="1">
      <x:c r="A3" s="33" t="str">
        <x:v>&lt;END&gt;</x:v>
      </x:c>
      <x:c r="B3" s="33"/>
      <x:c r="C3" s="33"/>
      <x:c r="D3" s="33"/>
      <x:c r="E3" s="33"/>
      <x:c r="F3" s="32"/>
      <x:c r="G3" s="33"/>
      <x:c r="H3" s="33"/>
      <x:c r="I3" s="33"/>
      <x:c r="J3" s="134"/>
      <x:c r="K3" s="33"/>
      <x:c r="L3" s="33"/>
      <x:c r="M3" s="33"/>
      <x:c r="N3" s="33"/>
      <x:c r="O3" s="33"/>
      <x:c r="P3" s="33"/>
      <x:c r="Q3" s="33"/>
      <x:c r="R3" s="33"/>
      <x:c r="S3" s="33"/>
      <x:c r="T3" s="33"/>
      <x:c r="U3" s="33"/>
      <x:c r="V3" s="33"/>
      <x:c r="W3" s="33"/>
      <x:c r="X3" s="33"/>
      <x:c r="Y3" s="33"/>
      <x:c r="Z3" s="33"/>
      <x:c r="AA3" s="33"/>
      <x:c r="AB3" s="33"/>
      <x:c r="AC3" s="33"/>
      <x:c r="AD3" s="33"/>
      <x:c r="AE3" s="33"/>
      <x:c r="AF3" s="33"/>
      <x:c r="AG3" s="33"/>
      <x:c r="AH3" s="33"/>
      <x:c r="AI3" s="33"/>
      <x:c r="AJ3" s="33"/>
      <x:c r="AK3" s="33"/>
    </x:row>
    <x:row r="4" ht="28.75" customHeight="1">
      <x:c r="A4" s="8"/>
      <x:c r="B4" s="18"/>
      <x:c r="C4" s="8"/>
      <x:c r="D4" s="8"/>
      <x:c r="E4" s="8"/>
      <x:c r="F4" s="18"/>
      <x:c r="G4" s="8"/>
      <x:c r="H4" s="8"/>
      <x:c r="I4" s="8"/>
      <x:c r="J4" s="33"/>
      <x:c r="K4" s="8"/>
      <x:c r="L4" s="8"/>
      <x:c r="M4" s="8"/>
      <x:c r="N4" s="8"/>
      <x:c r="O4" s="8"/>
      <x:c r="P4" s="8"/>
      <x:c r="Q4" s="33"/>
      <x:c r="R4" s="33"/>
      <x:c r="S4" s="8"/>
      <x:c r="T4" s="8"/>
      <x:c r="U4" s="8"/>
      <x:c r="V4" s="33"/>
      <x:c r="AE4" s="8"/>
      <x:c r="AF4" s="33"/>
      <x:c r="AG4" s="33"/>
      <x:c r="AH4" s="8"/>
      <x:c r="AI4" s="8"/>
      <x:c r="AJ4" s="8"/>
      <x:c r="AK4" s="33"/>
    </x:row>
    <x:row r="5" ht="48">
      <x:c r="A5" s="53"/>
      <x:c r="B5" s="53"/>
      <x:c r="C5" s="53"/>
      <x:c r="D5" s="53"/>
      <x:c r="E5" s="53"/>
      <x:c r="F5" s="54"/>
      <x:c r="G5" s="53"/>
      <x:c r="H5" s="53"/>
      <x:c r="I5" s="53"/>
      <x:c r="J5" s="53"/>
      <x:c r="K5" s="53"/>
      <x:c r="L5" s="53"/>
      <x:c r="M5" s="53"/>
      <x:c r="N5" s="53"/>
      <x:c r="O5" s="53"/>
      <x:c r="P5" s="53"/>
      <x:c r="Q5" s="53"/>
      <x:c r="R5" s="53"/>
      <x:c r="S5" s="53"/>
      <x:c r="T5" s="53"/>
      <x:c r="U5" s="54"/>
      <x:c r="V5" s="54"/>
      <x:c r="W5" s="53"/>
      <x:c r="X5" s="53"/>
      <x:c r="Y5" s="53"/>
      <x:c r="Z5" s="53"/>
      <x:c r="AA5" s="53"/>
      <x:c r="AB5" s="53"/>
      <x:c r="AC5" s="53"/>
      <x:c r="AD5" s="53"/>
      <x:c r="AE5" s="53"/>
      <x:c r="AF5" s="53"/>
      <x:c r="AG5" s="53"/>
      <x:c r="AH5" s="53"/>
      <x:c r="AI5" s="53"/>
      <x:c r="AJ5" s="54"/>
      <x:c r="AK5" s="54"/>
    </x:row>
    <x:row r="6" ht="32">
      <x:c r="A6" s="53"/>
      <x:c r="B6" s="53"/>
      <x:c r="C6" s="53"/>
      <x:c r="D6" s="53"/>
      <x:c r="E6" s="53"/>
      <x:c r="F6" s="54"/>
      <x:c r="G6" s="53"/>
      <x:c r="H6" s="53"/>
      <x:c r="I6" s="53"/>
      <x:c r="J6" s="135"/>
      <x:c r="K6" s="135"/>
      <x:c r="L6" s="135"/>
      <x:c r="M6" s="135"/>
      <x:c r="N6" s="135"/>
      <x:c r="O6" s="135"/>
      <x:c r="P6" s="53"/>
      <x:c r="Q6" s="53"/>
      <x:c r="R6" s="53"/>
      <x:c r="S6" s="53"/>
      <x:c r="T6" s="53"/>
      <x:c r="U6" s="54"/>
      <x:c r="V6" s="53"/>
      <x:c r="W6" s="53"/>
      <x:c r="X6" s="53"/>
      <x:c r="Y6" s="53"/>
      <x:c r="Z6" s="53"/>
      <x:c r="AA6" s="53"/>
      <x:c r="AB6" s="53"/>
      <x:c r="AC6" s="53"/>
      <x:c r="AD6" s="53"/>
      <x:c r="AE6" s="53"/>
      <x:c r="AF6" s="53"/>
      <x:c r="AG6" s="53"/>
      <x:c r="AH6" s="53"/>
      <x:c r="AI6" s="53"/>
      <x:c r="AJ6" s="54"/>
      <x:c r="AK6" s="53"/>
    </x:row>
    <x:row r="7" ht="48">
      <x:c r="A7" s="53"/>
      <x:c r="B7" s="53"/>
      <x:c r="C7" s="53"/>
      <x:c r="D7" s="53"/>
      <x:c r="E7" s="53"/>
      <x:c r="F7" s="54"/>
      <x:c r="G7" s="53"/>
      <x:c r="H7" s="53"/>
      <x:c r="I7" s="53"/>
      <x:c r="J7" s="135"/>
      <x:c r="K7" s="135"/>
      <x:c r="L7" s="135"/>
      <x:c r="M7" s="135"/>
      <x:c r="N7" s="135"/>
      <x:c r="O7" s="135"/>
      <x:c r="P7" s="53"/>
      <x:c r="Q7" s="53"/>
      <x:c r="R7" s="53"/>
      <x:c r="S7" s="53"/>
      <x:c r="T7" s="53"/>
      <x:c r="U7" s="53"/>
      <x:c r="V7" s="53"/>
      <x:c r="W7" s="53"/>
      <x:c r="X7" s="53"/>
      <x:c r="Y7" s="53"/>
      <x:c r="Z7" s="53"/>
      <x:c r="AA7" s="53"/>
      <x:c r="AB7" s="53"/>
      <x:c r="AC7" s="53"/>
      <x:c r="AD7" s="53"/>
      <x:c r="AE7" s="53"/>
      <x:c r="AF7" s="53"/>
      <x:c r="AG7" s="53"/>
      <x:c r="AH7" s="53"/>
      <x:c r="AI7" s="53"/>
      <x:c r="AJ7" s="53"/>
      <x:c r="AK7" s="53"/>
    </x:row>
    <x:row r="8" ht="48">
      <x:c r="A8" s="53"/>
      <x:c r="B8" s="53"/>
      <x:c r="C8" s="53"/>
      <x:c r="D8" s="53"/>
      <x:c r="E8" s="53"/>
      <x:c r="F8" s="54"/>
      <x:c r="G8" s="53"/>
      <x:c r="H8" s="53"/>
      <x:c r="I8" s="53"/>
      <x:c r="J8" s="135"/>
      <x:c r="K8" s="135"/>
      <x:c r="L8" s="135"/>
      <x:c r="M8" s="135"/>
      <x:c r="N8" s="135"/>
      <x:c r="O8" s="135"/>
      <x:c r="P8" s="53"/>
      <x:c r="Q8" s="53"/>
      <x:c r="R8" s="53"/>
      <x:c r="S8" s="53"/>
      <x:c r="T8" s="53"/>
      <x:c r="U8" s="53"/>
      <x:c r="V8" s="53"/>
      <x:c r="W8" s="53"/>
      <x:c r="X8" s="53"/>
      <x:c r="Y8" s="53"/>
      <x:c r="Z8" s="53"/>
      <x:c r="AA8" s="53"/>
      <x:c r="AB8" s="53"/>
      <x:c r="AC8" s="53"/>
      <x:c r="AD8" s="53"/>
      <x:c r="AE8" s="53"/>
      <x:c r="AF8" s="53"/>
      <x:c r="AG8" s="53"/>
      <x:c r="AH8" s="53"/>
      <x:c r="AI8" s="53"/>
      <x:c r="AJ8" s="53"/>
      <x:c r="AK8" s="53"/>
    </x:row>
  </x:sheetData>
  <x:mergeCells>
    <x:mergeCell ref="A1:H1"/>
    <x:mergeCell ref="I1:AK1"/>
  </x:mergeCells>
  <x:dataValidations count="1">
    <x:dataValidation allowBlank="1" sqref="E1:XFD2 A1:C2 AE9:AK1048576 H3:P1048576 D1:D1048576 AL3:XFD1048576 S3:AD1048576 AE3:AE8 AH3:AK8"/>
  </x:dataValidations>
  <x:pageMargins left="0.7" right="0.7" top="0.75" bottom="0.75" header="0.3" footer="0.3"/>
</x:worksheet>
</file>

<file path=xl/worksheets/sheet23.xml><?xml version="1.0" encoding="utf-8"?>
<x:worksheet xmlns:x="http://schemas.openxmlformats.org/spreadsheetml/2006/main">
  <x:sheetPr>
    <x:tabColor theme="7" tint="0.59999"/>
  </x:sheetPr>
  <x:sheetFormatPr baseColWidth="10" defaultColWidth="8.83203125" defaultRowHeight="15"/>
  <x:cols>
    <x:col min="1" max="1" width="7.5" customWidth="1"/>
    <x:col min="2" max="2" width="18.1640625" customWidth="1"/>
    <x:col min="3" max="3" width="16.5" customWidth="1"/>
    <x:col min="4" max="4" width="11.33203125" customWidth="1"/>
    <x:col min="5" max="5" width="9.6640625" customWidth="1"/>
    <x:col min="6" max="6" width="14.83203125" customWidth="1"/>
    <x:col min="7" max="7" width="11" customWidth="1"/>
    <x:col min="8" max="8" width="16.5" customWidth="1"/>
    <x:col min="9" max="9" width="13" customWidth="1"/>
    <x:col min="10" max="10" width="20.1640625" customWidth="1"/>
    <x:col min="11" max="11" width="20.1640625" customWidth="1"/>
    <x:col min="12" max="12" width="9.1640625" customWidth="1"/>
    <x:col min="13" max="13" width="22.33203125" customWidth="1"/>
    <x:col min="14" max="14" width="12" customWidth="1"/>
    <x:col min="15" max="15" width="13.1640625" customWidth="1"/>
    <x:col min="17" max="17" width="18.5" customWidth="1"/>
    <x:col min="18" max="18" width="23.6640625" customWidth="1"/>
  </x:cols>
  <x:sheetData>
    <x:row r="1" ht="202" customHeight="1">
      <x:c r="A1" s="149" t="s">
        <x:v>173</x:v>
      </x:c>
      <x:c r="B1" s="150"/>
      <x:c r="C1" s="150"/>
      <x:c r="D1" s="150"/>
      <x:c r="E1" s="150"/>
      <x:c r="F1" s="150"/>
      <x:c r="G1" s="150"/>
      <x:c r="H1" s="150"/>
      <x:c r="I1" s="150"/>
      <x:c r="J1" s="150"/>
      <x:c r="K1" s="150"/>
      <x:c r="L1" s="150"/>
      <x:c r="M1" s="150"/>
      <x:c r="N1" s="150"/>
      <x:c r="O1" s="150"/>
      <x:c r="P1" s="150"/>
      <x:c r="Q1" s="150"/>
      <x:c r="R1" s="151"/>
    </x:row>
    <x:row r="2" s="40" customFormat="1" ht="48">
      <x:c r="A2" s="26" t="s">
        <x:v>2</x:v>
      </x:c>
      <x:c r="B2" s="26" t="s">
        <x:v>20</x:v>
      </x:c>
      <x:c r="C2" s="26" t="s">
        <x:v>174</x:v>
      </x:c>
      <x:c r="D2" s="26" t="s">
        <x:v>175</x:v>
      </x:c>
      <x:c r="E2" s="26" t="s">
        <x:v>176</x:v>
      </x:c>
      <x:c r="F2" s="27" t="s">
        <x:v>139</x:v>
      </x:c>
      <x:c r="G2" s="27" t="s">
        <x:v>177</x:v>
      </x:c>
      <x:c r="H2" s="27" t="s">
        <x:v>178</x:v>
      </x:c>
      <x:c r="I2" s="27" t="s">
        <x:v>179</x:v>
      </x:c>
      <x:c r="J2" s="27" t="s">
        <x:v>147</x:v>
      </x:c>
      <x:c r="K2" s="27" t="s">
        <x:v>180</x:v>
      </x:c>
      <x:c r="L2" s="27" t="s">
        <x:v>181</x:v>
      </x:c>
      <x:c r="M2" s="27" t="s">
        <x:v>182</x:v>
      </x:c>
      <x:c r="N2" s="27" t="s">
        <x:v>183</x:v>
      </x:c>
      <x:c r="O2" s="27" t="s">
        <x:v>184</x:v>
      </x:c>
      <x:c r="P2" s="27" t="s">
        <x:v>169</x:v>
      </x:c>
      <x:c r="Q2" s="27" t="s">
        <x:v>170</x:v>
      </x:c>
      <x:c r="R2" s="27" t="s">
        <x:v>6</x:v>
      </x:c>
    </x:row>
    <x:row r="3" ht="31.75" customHeight="1">
      <x:c r="A3" s="33" t="str">
        <x:v>&lt;END&gt;</x:v>
      </x:c>
      <x:c r="B3" s="32"/>
      <x:c r="C3" s="33"/>
      <x:c r="D3" s="33"/>
      <x:c r="E3" s="33"/>
      <x:c r="F3" s="33"/>
      <x:c r="G3" s="33"/>
      <x:c r="H3" s="33"/>
      <x:c r="I3" s="33"/>
      <x:c r="J3" s="33"/>
      <x:c r="K3" s="33"/>
      <x:c r="L3" s="33"/>
      <x:c r="M3" s="33"/>
      <x:c r="N3" s="33"/>
      <x:c r="O3" s="33"/>
      <x:c r="P3" s="33"/>
      <x:c r="Q3" s="33"/>
      <x:c r="R3" s="33"/>
    </x:row>
    <x:row r="4" ht="31.75" customHeight="1">
      <x:c r="A4" s="53"/>
      <x:c r="B4" s="53"/>
      <x:c r="C4" s="53"/>
      <x:c r="D4" s="53"/>
      <x:c r="E4" s="53"/>
      <x:c r="F4" s="53"/>
      <x:c r="G4" s="53"/>
      <x:c r="H4" s="53"/>
      <x:c r="I4" s="54"/>
      <x:c r="J4" s="117"/>
      <x:c r="K4" s="117"/>
      <x:c r="L4" s="117"/>
      <x:c r="M4" s="117"/>
      <x:c r="N4" s="117"/>
      <x:c r="O4" s="84"/>
      <x:c r="P4" s="84"/>
      <x:c r="Q4" s="53"/>
      <x:c r="R4" s="54"/>
    </x:row>
    <x:row r="5" ht="28.75" customHeight="1">
      <x:c r="A5" s="53"/>
      <x:c r="B5" s="53"/>
      <x:c r="C5" s="53"/>
      <x:c r="D5" s="53"/>
      <x:c r="E5" s="53"/>
      <x:c r="F5" s="53"/>
      <x:c r="G5" s="53"/>
      <x:c r="H5" s="85"/>
      <x:c r="I5" s="54"/>
      <x:c r="J5" s="54"/>
      <x:c r="K5" s="54"/>
      <x:c r="L5" s="54"/>
      <x:c r="M5" s="54"/>
      <x:c r="N5" s="54"/>
      <x:c r="O5" s="53"/>
      <x:c r="P5" s="53"/>
      <x:c r="Q5" s="86"/>
      <x:c r="R5" s="53"/>
    </x:row>
  </x:sheetData>
  <x:mergeCells>
    <x:mergeCell ref="A1:R1"/>
  </x:mergeCells>
  <x:dataValidations count="4">
    <x:dataValidation allowBlank="1" sqref="F1:F2 G1:G1048576 H1:H2 I1:J1048576 L1:M1048576 O1:O1048576 P1:Q2 A1:B2 R1:XFD1048576 C1:E1048576 N1"/>
    <x:dataValidation type="list" allowBlank="1" sqref="N3:N1048576">
      <x:formula1>"On,Off"</x:formula1>
    </x:dataValidation>
    <x:dataValidation showInputMessage="1" showErrorMessage="1" sqref="N2"/>
    <x:dataValidation type="list" sqref="K1:K1048576">
      <x:formula1>"BOTH,PERFORMANCE_BASED,DETACHED_VOLUME"</x:formula1>
    </x:dataValidation>
  </x:dataValidations>
  <x:pageMargins left="0.7" right="0.7" top="0.75" bottom="0.75" header="0.3" footer="0.3"/>
  <x:legacyDrawing xmlns:r="http://schemas.openxmlformats.org/officeDocument/2006/relationships" r:id="R002cae872ebc491a"/>
</x:worksheet>
</file>

<file path=xl/worksheets/sheet24.xml><?xml version="1.0" encoding="utf-8"?>
<x:worksheet xmlns:x="http://schemas.openxmlformats.org/spreadsheetml/2006/main">
  <x:sheetPr>
    <x:tabColor theme="7" tint="0.59999"/>
  </x:sheetPr>
  <x:sheetFormatPr baseColWidth="10" defaultColWidth="8.83203125" defaultRowHeight="24"/>
  <x:cols>
    <x:col min="2" max="2" width="18.5" customWidth="1"/>
    <x:col min="3" max="3" width="17.1640625" customWidth="1"/>
    <x:col min="4" max="4" width="12.5" customWidth="1"/>
    <x:col min="5" max="5" width="19" style="1" customWidth="1"/>
    <x:col min="6" max="6" width="14.5" customWidth="1"/>
    <x:col min="7" max="7" width="12.1640625" customWidth="1"/>
    <x:col min="8" max="8" width="12.1640625" customWidth="1"/>
    <x:col min="9" max="10" width="8.5" customWidth="1"/>
    <x:col min="11" max="11" width="9.33203125" customWidth="1"/>
    <x:col min="12" max="12" width="10.6640625" customWidth="1"/>
    <x:col min="13" max="13" width="7.5" customWidth="1"/>
    <x:col min="14" max="14" width="13.5" customWidth="1"/>
    <x:col min="15" max="15" width="17.1640625" customWidth="1"/>
    <x:col min="16" max="16" width="6" customWidth="1"/>
    <x:col min="17" max="17" width="8.5" customWidth="1"/>
    <x:col min="18" max="18" width="16.6640625" customWidth="1"/>
    <x:col min="19" max="21" width="13.5" customWidth="1"/>
    <x:col min="22" max="22" width="12.5" customWidth="1"/>
  </x:cols>
  <x:sheetData>
    <x:row r="1" ht="190" customHeight="1">
      <x:c r="A1" s="149" t="s">
        <x:v>185</x:v>
      </x:c>
      <x:c r="B1" s="150"/>
      <x:c r="C1" s="150"/>
      <x:c r="D1" s="150"/>
      <x:c r="E1" s="150"/>
      <x:c r="F1" s="150"/>
      <x:c r="G1" s="150"/>
      <x:c r="H1" s="150"/>
      <x:c r="I1" s="150"/>
      <x:c r="J1" s="150"/>
      <x:c r="K1" s="150"/>
      <x:c r="L1" s="151"/>
      <x:c r="M1" s="163" t="s">
        <x:v>186</x:v>
      </x:c>
      <x:c r="N1" s="164"/>
      <x:c r="O1" s="164"/>
      <x:c r="P1" s="164"/>
      <x:c r="Q1" s="164"/>
      <x:c r="R1" s="164"/>
      <x:c r="S1" s="164"/>
      <x:c r="T1" s="164"/>
      <x:c r="U1" s="164"/>
      <x:c r="V1" s="165"/>
    </x:row>
    <x:row r="2" s="1" customFormat="1" ht="63" customHeight="1">
      <x:c r="A2" s="27" t="s">
        <x:v>2</x:v>
      </x:c>
      <x:c r="B2" s="27" t="s">
        <x:v>20</x:v>
      </x:c>
      <x:c r="C2" s="27" t="s">
        <x:v>139</x:v>
      </x:c>
      <x:c r="D2" s="27" t="s">
        <x:v>187</x:v>
      </x:c>
      <x:c r="E2" s="27" t="s">
        <x:v>144</x:v>
      </x:c>
      <x:c r="F2" s="27" t="s">
        <x:v>188</x:v>
      </x:c>
      <x:c r="G2" s="27" t="s">
        <x:v>189</x:v>
      </x:c>
      <x:c r="H2" s="27" t="s">
        <x:v>91</x:v>
      </x:c>
      <x:c r="I2" s="27" t="s">
        <x:v>190</x:v>
      </x:c>
      <x:c r="J2" s="27" t="s">
        <x:v>191</x:v>
      </x:c>
      <x:c r="K2" s="27" t="s">
        <x:v>192</x:v>
      </x:c>
      <x:c r="L2" s="27" t="s">
        <x:v>193</x:v>
      </x:c>
      <x:c r="M2" s="27" t="s">
        <x:v>194</x:v>
      </x:c>
      <x:c r="N2" s="27" t="s">
        <x:v>195</x:v>
      </x:c>
      <x:c r="O2" s="27" t="s">
        <x:v>196</x:v>
      </x:c>
      <x:c r="P2" s="27" t="s">
        <x:v>197</x:v>
      </x:c>
      <x:c r="Q2" s="27" t="s">
        <x:v>198</x:v>
      </x:c>
      <x:c r="R2" s="27" t="s">
        <x:v>199</x:v>
      </x:c>
      <x:c r="S2" s="27" t="s">
        <x:v>200</x:v>
      </x:c>
      <x:c r="T2" s="27" t="s">
        <x:v>201</x:v>
      </x:c>
      <x:c r="U2" s="27" t="s">
        <x:v>202</x:v>
      </x:c>
      <x:c r="V2" s="27" t="s">
        <x:v>6</x:v>
      </x:c>
    </x:row>
    <x:row r="3" ht="16">
      <x:c r="A3" s="33" t="str">
        <x:v>&lt;END&gt;</x:v>
      </x:c>
      <x:c r="B3" s="33"/>
      <x:c r="C3" s="33"/>
      <x:c r="D3" s="33"/>
      <x:c r="E3" s="32"/>
      <x:c r="F3" s="33"/>
      <x:c r="G3" s="33"/>
      <x:c r="H3" s="33"/>
      <x:c r="I3" s="33"/>
      <x:c r="J3" s="33"/>
      <x:c r="K3" s="33"/>
      <x:c r="L3" s="33"/>
      <x:c r="M3" s="33"/>
      <x:c r="N3" s="33"/>
      <x:c r="O3" s="33"/>
      <x:c r="P3" s="33"/>
      <x:c r="Q3" s="33"/>
      <x:c r="R3" s="33"/>
      <x:c r="S3" s="33"/>
      <x:c r="T3" s="33"/>
      <x:c r="U3" s="33"/>
      <x:c r="V3" s="33"/>
    </x:row>
    <x:row r="4" ht="64">
      <x:c r="A4" s="53"/>
      <x:c r="B4" s="53"/>
      <x:c r="C4" s="53"/>
      <x:c r="D4" s="53"/>
      <x:c r="E4" s="54"/>
      <x:c r="F4" s="53"/>
      <x:c r="G4" s="53"/>
      <x:c r="H4" s="54"/>
      <x:c r="I4" s="53"/>
      <x:c r="J4" s="53"/>
      <x:c r="K4" s="53"/>
      <x:c r="L4" s="53"/>
      <x:c r="M4" s="53"/>
      <x:c r="N4" s="53"/>
      <x:c r="O4" s="53"/>
      <x:c r="P4" s="53"/>
      <x:c r="Q4" s="53"/>
      <x:c r="R4" s="53"/>
      <x:c r="S4" s="53"/>
      <x:c r="T4" s="53"/>
      <x:c r="U4" s="53"/>
      <x:c r="V4" s="54"/>
    </x:row>
    <x:row r="5" ht="15">
      <x:c r="A5" s="53"/>
      <x:c r="B5" s="53"/>
      <x:c r="C5" s="53"/>
      <x:c r="D5" s="53"/>
      <x:c r="E5" s="54"/>
      <x:c r="F5" s="53"/>
      <x:c r="G5" s="53"/>
      <x:c r="H5" s="53"/>
      <x:c r="I5" s="53"/>
      <x:c r="J5" s="53"/>
      <x:c r="K5" s="53"/>
      <x:c r="L5" s="53"/>
      <x:c r="M5" s="53"/>
      <x:c r="N5" s="53"/>
      <x:c r="O5" s="53"/>
      <x:c r="P5" s="53"/>
      <x:c r="Q5" s="53"/>
      <x:c r="R5" s="53"/>
      <x:c r="S5" s="53"/>
      <x:c r="T5" s="53"/>
      <x:c r="U5" s="53"/>
      <x:c r="V5" s="53"/>
    </x:row>
    <x:row r="6" ht="15">
      <x:c r="A6" s="53"/>
      <x:c r="B6" s="83"/>
      <x:c r="C6" s="53"/>
      <x:c r="D6" s="53"/>
      <x:c r="E6" s="54"/>
      <x:c r="F6" s="53"/>
      <x:c r="G6" s="53"/>
      <x:c r="H6" s="53"/>
      <x:c r="I6" s="53"/>
      <x:c r="J6" s="53"/>
      <x:c r="K6" s="53"/>
      <x:c r="L6" s="53"/>
      <x:c r="M6" s="53"/>
      <x:c r="N6" s="53"/>
      <x:c r="O6" s="53"/>
      <x:c r="P6" s="53"/>
      <x:c r="Q6" s="53"/>
      <x:c r="R6" s="53"/>
      <x:c r="S6" s="53"/>
      <x:c r="T6" s="53"/>
      <x:c r="U6" s="53"/>
      <x:c r="V6" s="53"/>
    </x:row>
    <x:row r="7" ht="48">
      <x:c r="A7" s="53"/>
      <x:c r="B7" s="53"/>
      <x:c r="C7" s="53"/>
      <x:c r="D7" s="53"/>
      <x:c r="E7" s="54"/>
      <x:c r="F7" s="53"/>
      <x:c r="G7" s="53"/>
      <x:c r="H7" s="53"/>
      <x:c r="I7" s="53"/>
      <x:c r="J7" s="53"/>
      <x:c r="K7" s="53"/>
      <x:c r="L7" s="53"/>
      <x:c r="M7" s="53"/>
      <x:c r="N7" s="53"/>
      <x:c r="O7" s="53"/>
      <x:c r="P7" s="53"/>
      <x:c r="Q7" s="53"/>
      <x:c r="R7" s="53"/>
      <x:c r="S7" s="53"/>
      <x:c r="T7" s="53"/>
      <x:c r="U7" s="53"/>
      <x:c r="V7" s="53"/>
    </x:row>
    <x:row r="8" ht="48">
      <x:c r="A8" s="53"/>
      <x:c r="B8" s="53"/>
      <x:c r="C8" s="53"/>
      <x:c r="D8" s="53"/>
      <x:c r="E8" s="54"/>
      <x:c r="F8" s="53"/>
      <x:c r="G8" s="53"/>
      <x:c r="H8" s="53"/>
      <x:c r="I8" s="53"/>
      <x:c r="J8" s="53"/>
      <x:c r="K8" s="53"/>
      <x:c r="L8" s="53"/>
      <x:c r="M8" s="53"/>
      <x:c r="N8" s="53"/>
      <x:c r="O8" s="53"/>
      <x:c r="P8" s="53"/>
      <x:c r="Q8" s="53"/>
      <x:c r="R8" s="53"/>
      <x:c r="S8" s="53"/>
      <x:c r="T8" s="53"/>
      <x:c r="U8" s="53"/>
      <x:c r="V8" s="53"/>
    </x:row>
    <x:row r="9" ht="48">
      <x:c r="A9" s="53"/>
      <x:c r="B9" s="53"/>
      <x:c r="C9" s="53"/>
      <x:c r="D9" s="53"/>
      <x:c r="E9" s="54"/>
      <x:c r="F9" s="53"/>
      <x:c r="G9" s="53"/>
      <x:c r="H9" s="53"/>
      <x:c r="I9" s="53"/>
      <x:c r="J9" s="53"/>
      <x:c r="K9" s="53"/>
      <x:c r="L9" s="53"/>
      <x:c r="M9" s="53"/>
      <x:c r="N9" s="53"/>
      <x:c r="O9" s="53"/>
      <x:c r="P9" s="53"/>
      <x:c r="Q9" s="53"/>
      <x:c r="R9" s="53"/>
      <x:c r="S9" s="53"/>
      <x:c r="T9" s="53"/>
      <x:c r="U9" s="53"/>
      <x:c r="V9" s="53"/>
    </x:row>
    <x:row r="10" ht="48">
      <x:c r="A10" s="53"/>
      <x:c r="B10" s="53"/>
      <x:c r="C10" s="53"/>
      <x:c r="D10" s="53"/>
      <x:c r="E10" s="54"/>
      <x:c r="F10" s="53"/>
      <x:c r="G10" s="53"/>
      <x:c r="H10" s="53"/>
      <x:c r="I10" s="53"/>
      <x:c r="J10" s="53"/>
      <x:c r="K10" s="53"/>
      <x:c r="L10" s="53"/>
      <x:c r="M10" s="53"/>
      <x:c r="N10" s="53"/>
      <x:c r="O10" s="53"/>
      <x:c r="P10" s="53"/>
      <x:c r="Q10" s="53"/>
      <x:c r="R10" s="53"/>
      <x:c r="S10" s="53"/>
      <x:c r="T10" s="53"/>
      <x:c r="U10" s="53"/>
      <x:c r="V10" s="53"/>
    </x:row>
    <x:row r="11" ht="44" customHeight="1">
      <x:c r="A11" s="53"/>
      <x:c r="B11" s="53"/>
      <x:c r="C11" s="53"/>
      <x:c r="D11" s="53"/>
      <x:c r="E11" s="54"/>
      <x:c r="F11" s="53"/>
      <x:c r="G11" s="53"/>
      <x:c r="H11" s="53"/>
      <x:c r="I11" s="53"/>
      <x:c r="J11" s="53"/>
      <x:c r="K11" s="53"/>
      <x:c r="L11" s="53"/>
      <x:c r="M11" s="53"/>
      <x:c r="N11" s="53"/>
      <x:c r="O11" s="53"/>
      <x:c r="P11" s="53"/>
      <x:c r="Q11" s="53"/>
      <x:c r="R11" s="53"/>
      <x:c r="S11" s="53"/>
      <x:c r="T11" s="53"/>
      <x:c r="U11" s="53"/>
      <x:c r="V11" s="53"/>
    </x:row>
    <x:row r="12" ht="24" customHeight="1">
      <x:c r="A12" s="53"/>
      <x:c r="B12" s="53"/>
      <x:c r="C12" s="53"/>
      <x:c r="D12" s="53"/>
      <x:c r="E12" s="54"/>
      <x:c r="F12" s="53"/>
      <x:c r="G12" s="53"/>
      <x:c r="H12" s="53"/>
      <x:c r="I12" s="53"/>
      <x:c r="J12" s="53"/>
      <x:c r="K12" s="53"/>
      <x:c r="L12" s="53"/>
      <x:c r="M12" s="53"/>
      <x:c r="N12" s="53"/>
      <x:c r="O12" s="53"/>
      <x:c r="P12" s="53"/>
      <x:c r="Q12" s="53"/>
      <x:c r="R12" s="53"/>
      <x:c r="S12" s="53"/>
      <x:c r="T12" s="53"/>
      <x:c r="U12" s="53"/>
      <x:c r="V12" s="53"/>
    </x:row>
  </x:sheetData>
  <x:mergeCells>
    <x:mergeCell ref="A1:L1"/>
    <x:mergeCell ref="M1:V1"/>
  </x:mergeCells>
  <x:dataValidations count="2">
    <x:dataValidation allowBlank="1" sqref="M1:S1048576 U1:XFD1048576 D3:D1048576 F3:L1048576 A1:A2 B2:L2"/>
    <x:dataValidation showInputMessage="1" showErrorMessage="1" sqref="T1:T1048576"/>
  </x:dataValidations>
  <x:pageMargins left="0.7" right="0.7" top="0.75" bottom="0.75" header="0.3" footer="0.3"/>
</x:worksheet>
</file>

<file path=xl/worksheets/sheet25.xml><?xml version="1.0" encoding="utf-8"?>
<x:worksheet xmlns:x="http://schemas.openxmlformats.org/spreadsheetml/2006/main">
  <x:sheetPr>
    <x:tabColor theme="3" tint="0.59999"/>
  </x:sheetPr>
  <x:sheetFormatPr baseColWidth="10" defaultColWidth="6.5" defaultRowHeight="15"/>
  <x:cols>
    <x:col min="1" max="1" width="9" customWidth="1"/>
    <x:col min="2" max="2" width="12" customWidth="1"/>
    <x:col min="3" max="3" width="8.33203125" customWidth="1"/>
    <x:col min="4" max="4" width="11.5" customWidth="1"/>
    <x:col min="5" max="5" width="11.33203125" customWidth="1"/>
    <x:col min="6" max="6" width="16.83203125" customWidth="1"/>
    <x:col min="7" max="7" width="14.33203125" customWidth="1"/>
    <x:col min="8" max="8" width="16.5" customWidth="1"/>
    <x:col min="9" max="9" width="17.6640625" customWidth="1"/>
    <x:col min="10" max="10" width="15" customWidth="1"/>
    <x:col min="11" max="11" width="12.5" customWidth="1"/>
    <x:col min="12" max="12" width="13.1640625" customWidth="1"/>
    <x:col min="13" max="13" width="15" customWidth="1"/>
    <x:col min="14" max="14" width="24" customWidth="1"/>
    <x:col min="15" max="15" width="11.1640625" customWidth="1"/>
    <x:col min="16" max="16" width="9.6640625" customWidth="1"/>
    <x:col min="17" max="17" width="18.5" customWidth="1"/>
    <x:col min="18" max="18" width="8" customWidth="1"/>
    <x:col min="19" max="19" width="14.5" customWidth="1"/>
    <x:col min="20" max="20" width="9.1640625" customWidth="1"/>
    <x:col min="21" max="21" width="14.1640625" customWidth="1"/>
    <x:col min="22" max="22" width="40.5" customWidth="1"/>
    <x:col min="23" max="23" width="8.33203125" customWidth="1"/>
    <x:col min="24" max="24" width="9.1640625" customWidth="1"/>
    <x:col min="25" max="25" width="21.5" customWidth="1"/>
    <x:col min="26" max="26" width="22.5" customWidth="1"/>
    <x:col min="27" max="27" width="14.1640625" customWidth="1"/>
    <x:col min="28" max="28" width="10.5" customWidth="1"/>
    <x:col min="29" max="29" width="11" customWidth="1"/>
    <x:col min="30" max="30" width="12.5" customWidth="1"/>
    <x:col min="31" max="32" width="7.6640625" customWidth="1"/>
    <x:col min="33" max="33" width="24.5" customWidth="1"/>
  </x:cols>
  <x:sheetData>
    <x:row r="1" ht="132" customHeight="1">
      <x:c r="A1" s="149" t="s">
        <x:v>203</x:v>
      </x:c>
      <x:c r="B1" s="150"/>
      <x:c r="C1" s="150"/>
      <x:c r="D1" s="150"/>
      <x:c r="E1" s="150"/>
      <x:c r="F1" s="150"/>
      <x:c r="G1" s="150"/>
      <x:c r="H1" s="150"/>
      <x:c r="I1" s="150"/>
      <x:c r="J1" s="150"/>
      <x:c r="K1" s="150"/>
      <x:c r="L1" s="150"/>
      <x:c r="M1" s="150"/>
      <x:c r="N1" s="150"/>
      <x:c r="O1" s="151"/>
      <x:c r="P1" s="160" t="s">
        <x:v>204</x:v>
      </x:c>
      <x:c r="Q1" s="161"/>
      <x:c r="R1" s="161"/>
      <x:c r="S1" s="161"/>
      <x:c r="T1" s="161"/>
      <x:c r="U1" s="161"/>
      <x:c r="V1" s="161"/>
      <x:c r="W1" s="161"/>
      <x:c r="X1" s="161"/>
      <x:c r="Y1" s="161"/>
      <x:c r="Z1" s="161"/>
      <x:c r="AA1" s="161"/>
      <x:c r="AB1" s="161"/>
      <x:c r="AC1" s="161"/>
      <x:c r="AD1" s="161"/>
      <x:c r="AE1" s="161"/>
      <x:c r="AF1" s="161"/>
      <x:c r="AG1" s="161"/>
    </x:row>
    <x:row r="2" s="1" customFormat="1" ht="48">
      <x:c r="A2" s="27" t="s">
        <x:v>2</x:v>
      </x:c>
      <x:c r="B2" s="27" t="s">
        <x:v>20</x:v>
      </x:c>
      <x:c r="C2" s="27" t="s">
        <x:v>205</x:v>
      </x:c>
      <x:c r="D2" s="27" t="s">
        <x:v>206</x:v>
      </x:c>
      <x:c r="E2" s="27" t="s">
        <x:v>207</x:v>
      </x:c>
      <x:c r="F2" s="27" t="s">
        <x:v>208</x:v>
      </x:c>
      <x:c r="G2" s="27" t="s">
        <x:v>209</x:v>
      </x:c>
      <x:c r="H2" s="27" t="s">
        <x:v>210</x:v>
      </x:c>
      <x:c r="I2" s="27" t="s">
        <x:v>211</x:v>
      </x:c>
      <x:c r="J2" s="27" t="s">
        <x:v>212</x:v>
      </x:c>
      <x:c r="K2" s="27" t="s">
        <x:v>213</x:v>
      </x:c>
      <x:c r="L2" s="27" t="s">
        <x:v>214</x:v>
      </x:c>
      <x:c r="M2" s="27" t="s">
        <x:v>215</x:v>
      </x:c>
      <x:c r="N2" s="27" t="s">
        <x:v>216</x:v>
      </x:c>
      <x:c r="O2" s="27" t="s">
        <x:v>217</x:v>
      </x:c>
      <x:c r="P2" s="27" t="s">
        <x:v>218</x:v>
      </x:c>
      <x:c r="Q2" s="27" t="s">
        <x:v>140</x:v>
      </x:c>
      <x:c r="R2" s="27" t="s">
        <x:v>148</x:v>
      </x:c>
      <x:c r="S2" s="27" t="s">
        <x:v>147</x:v>
      </x:c>
      <x:c r="T2" s="27" t="s">
        <x:v>149</x:v>
      </x:c>
      <x:c r="U2" s="27" t="s">
        <x:v>219</x:v>
      </x:c>
      <x:c r="V2" s="27" t="s">
        <x:v>220</x:v>
      </x:c>
      <x:c r="W2" s="27" t="s">
        <x:v>221</x:v>
      </x:c>
      <x:c r="X2" s="27" t="s">
        <x:v>222</x:v>
      </x:c>
      <x:c r="Y2" s="27" t="s">
        <x:v>223</x:v>
      </x:c>
      <x:c r="Z2" s="27" t="s">
        <x:v>224</x:v>
      </x:c>
      <x:c r="AA2" s="27" t="s">
        <x:v>168</x:v>
      </x:c>
      <x:c r="AB2" s="27" t="s">
        <x:v>6</x:v>
      </x:c>
      <x:c r="AC2" s="27" t="s">
        <x:v>225</x:v>
      </x:c>
      <x:c r="AD2" s="27" t="s">
        <x:v>226</x:v>
      </x:c>
      <x:c r="AE2" s="27" t="s">
        <x:v>227</x:v>
      </x:c>
      <x:c r="AF2" s="27" t="s">
        <x:v>228</x:v>
      </x:c>
      <x:c r="AG2" s="27" t="s">
        <x:v>229</x:v>
      </x:c>
    </x:row>
    <x:row r="3" ht="15" customHeight="1">
      <x:c r="A3" t="str">
        <x:v>&lt;END&gt;</x:v>
      </x:c>
      <x:c r="B3" s="32"/>
      <x:c r="C3" s="32"/>
      <x:c r="D3" s="32"/>
      <x:c r="E3" s="32"/>
      <x:c r="F3" s="32"/>
      <x:c r="G3" s="32"/>
      <x:c r="H3" s="32"/>
      <x:c r="I3" s="32"/>
      <x:c r="J3" s="32"/>
      <x:c r="K3" s="32"/>
      <x:c r="L3" s="32"/>
      <x:c r="M3" s="32"/>
      <x:c r="N3" s="32"/>
      <x:c r="O3" s="32"/>
      <x:c r="P3" s="32"/>
      <x:c r="Q3" s="32"/>
      <x:c r="R3" s="32"/>
      <x:c r="S3" s="32"/>
      <x:c r="T3" s="32"/>
      <x:c r="U3" s="32"/>
      <x:c r="V3" s="32"/>
      <x:c r="W3" s="32"/>
      <x:c r="X3" s="32"/>
      <x:c r="Y3" s="32"/>
      <x:c r="Z3" s="32"/>
      <x:c r="AA3" s="32"/>
      <x:c r="AB3" s="32"/>
      <x:c r="AC3" s="33"/>
      <x:c r="AD3" s="33"/>
      <x:c r="AE3" s="33"/>
      <x:c r="AF3" s="33"/>
      <x:c r="AG3" s="33"/>
    </x:row>
    <x:row r="4" ht="35" customHeight="1">
      <x:c r="A4" s="54"/>
      <x:c r="B4" s="94"/>
      <x:c r="C4" s="94"/>
      <x:c r="D4" s="94"/>
      <x:c r="E4" s="94"/>
      <x:c r="F4" s="94"/>
      <x:c r="G4" s="94"/>
      <x:c r="H4" s="94"/>
      <x:c r="I4" s="94"/>
      <x:c r="J4" s="54"/>
      <x:c r="K4" s="94"/>
      <x:c r="L4" s="94"/>
      <x:c r="M4" s="94"/>
      <x:c r="N4" s="94"/>
      <x:c r="O4" s="94"/>
      <x:c r="P4" s="94"/>
      <x:c r="Q4" s="94"/>
      <x:c r="R4" s="94"/>
      <x:c r="S4" s="94"/>
      <x:c r="T4" s="94"/>
      <x:c r="U4" s="94"/>
      <x:c r="V4" s="94"/>
      <x:c r="W4" s="94"/>
      <x:c r="X4" s="94"/>
      <x:c r="Y4" s="94"/>
      <x:c r="Z4" s="95"/>
      <x:c r="AA4" s="94"/>
      <x:c r="AB4" s="94"/>
      <x:c r="AC4" s="95"/>
      <x:c r="AD4" s="95"/>
      <x:c r="AE4" s="95"/>
      <x:c r="AF4" s="95"/>
      <x:c r="AG4" s="95"/>
    </x:row>
    <x:row r="5" ht="34" customHeight="1">
      <x:c r="A5" s="54"/>
      <x:c r="B5" s="54"/>
      <x:c r="C5" s="54"/>
      <x:c r="D5" s="94"/>
      <x:c r="E5" s="53"/>
      <x:c r="F5" s="54"/>
      <x:c r="G5" s="54"/>
      <x:c r="H5" s="54"/>
      <x:c r="I5" s="54"/>
      <x:c r="J5" s="54"/>
      <x:c r="K5" s="54"/>
      <x:c r="L5" s="54"/>
      <x:c r="M5" s="54"/>
      <x:c r="N5" s="54"/>
      <x:c r="O5" s="94"/>
      <x:c r="P5" s="54"/>
      <x:c r="Q5" s="54"/>
      <x:c r="R5" s="54"/>
      <x:c r="S5" s="54"/>
      <x:c r="T5" s="54"/>
      <x:c r="U5" s="54"/>
      <x:c r="V5" s="54"/>
      <x:c r="W5" s="54"/>
      <x:c r="X5" s="54"/>
      <x:c r="Y5" s="54"/>
      <x:c r="Z5" s="53"/>
      <x:c r="AA5" s="54"/>
      <x:c r="AB5" s="54"/>
      <x:c r="AC5" s="53"/>
      <x:c r="AD5" s="53"/>
      <x:c r="AE5" s="53"/>
      <x:c r="AF5" s="53"/>
      <x:c r="AG5" s="53"/>
    </x:row>
    <x:row r="6" ht="29" customHeight="1">
      <x:c r="A6" s="54"/>
      <x:c r="B6" s="94"/>
      <x:c r="C6" s="54"/>
      <x:c r="D6" s="54"/>
      <x:c r="E6" s="54"/>
      <x:c r="F6" s="54"/>
      <x:c r="G6" s="54"/>
      <x:c r="H6" s="94"/>
      <x:c r="I6" s="94"/>
      <x:c r="J6" s="54"/>
      <x:c r="K6" s="54"/>
      <x:c r="L6" s="54"/>
      <x:c r="M6" s="54"/>
      <x:c r="N6" s="54"/>
      <x:c r="O6" s="94"/>
      <x:c r="P6" s="54"/>
      <x:c r="Q6" s="54"/>
      <x:c r="R6" s="54"/>
      <x:c r="S6" s="54"/>
      <x:c r="T6" s="54"/>
      <x:c r="U6" s="94"/>
      <x:c r="V6" s="54"/>
      <x:c r="W6" s="54"/>
      <x:c r="X6" s="54"/>
      <x:c r="Y6" s="94"/>
      <x:c r="Z6" s="96"/>
      <x:c r="AA6" s="54"/>
      <x:c r="AB6" s="54"/>
      <x:c r="AC6" s="53"/>
      <x:c r="AD6" s="53"/>
      <x:c r="AE6" s="53"/>
      <x:c r="AF6" s="53"/>
      <x:c r="AG6" s="54"/>
    </x:row>
  </x:sheetData>
  <x:mergeCells>
    <x:mergeCell ref="A1:O1"/>
    <x:mergeCell ref="P1:AG1"/>
  </x:mergeCells>
  <x:dataValidations count="2">
    <x:dataValidation allowBlank="1" sqref="A1:B2 W2:X1048576 E1:J2 D3:D1048576 Y2 V2 O4:P6 C1:C1048576 D1 K1:M1048576 N1 N3:N1048576 Q7:U1048576 O1:P2 P2:U6 AH1:XFD1048576 Z2:AG1048576"/>
    <x:dataValidation showInputMessage="1" showErrorMessage="1" sqref="D2 N2"/>
  </x:dataValidations>
  <x:pageMargins left="0.7" right="0.7" top="0.75" bottom="0.75" header="0.3" footer="0.3"/>
  <x:legacyDrawing xmlns:r="http://schemas.openxmlformats.org/officeDocument/2006/relationships" r:id="Rdd1e7805704b41ca"/>
</x:worksheet>
</file>

<file path=xl/worksheets/sheet26.xml><?xml version="1.0" encoding="utf-8"?>
<x:worksheet xmlns:x="http://schemas.openxmlformats.org/spreadsheetml/2006/main">
  <x:sheetPr>
    <x:tabColor theme="2" tint="-0.24998"/>
  </x:sheetPr>
  <x:sheetFormatPr baseColWidth="10" defaultColWidth="8.83203125" defaultRowHeight="15"/>
  <x:cols>
    <x:col min="2" max="2" width="12.6640625" customWidth="1"/>
    <x:col min="3" max="3" width="9.1640625" customWidth="1"/>
    <x:col min="4" max="4" width="13.5" customWidth="1"/>
    <x:col min="5" max="6" width="19.1640625" customWidth="1"/>
    <x:col min="7" max="7" width="11.5" customWidth="1"/>
    <x:col min="8" max="8" width="12.5" customWidth="1"/>
    <x:col min="10" max="10" width="11.33203125" customWidth="1"/>
    <x:col min="11" max="11" width="25" customWidth="1"/>
    <x:col min="12" max="12" width="14.83203125" customWidth="1"/>
    <x:col min="14" max="14" width="7.5" customWidth="1"/>
    <x:col min="16" max="16" width="28.1640625" customWidth="1"/>
    <x:col min="17" max="17" width="13.6640625" customWidth="1"/>
  </x:cols>
  <x:sheetData>
    <x:row r="1" ht="122.5" customHeight="1">
      <x:c r="A1" s="145" t="s">
        <x:v>230</x:v>
      </x:c>
      <x:c r="B1" s="145"/>
      <x:c r="C1" s="145"/>
      <x:c r="D1" s="145"/>
      <x:c r="E1" s="145"/>
      <x:c r="F1" s="145"/>
      <x:c r="G1" s="145"/>
      <x:c r="H1" s="145"/>
      <x:c r="I1" s="145"/>
      <x:c r="J1" s="145"/>
      <x:c r="K1" s="145"/>
      <x:c r="L1" s="145"/>
      <x:c r="M1" s="145"/>
      <x:c r="N1" s="145"/>
      <x:c r="O1" s="145"/>
      <x:c r="P1" s="145"/>
      <x:c r="Q1" s="145"/>
      <x:c r="R1" s="145"/>
      <x:c r="S1" s="145"/>
    </x:row>
    <x:row r="2" ht="43" customHeight="1">
      <x:c r="A2" s="16" t="s">
        <x:v>2</x:v>
      </x:c>
      <x:c r="B2" s="16" t="s">
        <x:v>20</x:v>
      </x:c>
      <x:c r="C2" s="6" t="s">
        <x:v>231</x:v>
      </x:c>
      <x:c r="D2" s="16" t="s">
        <x:v>232</x:v>
      </x:c>
      <x:c r="E2" s="16" t="s">
        <x:v>233</x:v>
      </x:c>
      <x:c r="F2" s="16" t="s">
        <x:v>234</x:v>
      </x:c>
      <x:c r="G2" s="16" t="s">
        <x:v>144</x:v>
      </x:c>
      <x:c r="H2" s="16" t="s">
        <x:v>235</x:v>
      </x:c>
      <x:c r="I2" s="16" t="s">
        <x:v>91</x:v>
      </x:c>
      <x:c r="J2" s="16" t="s">
        <x:v>236</x:v>
      </x:c>
      <x:c r="K2" s="16" t="s">
        <x:v>237</x:v>
      </x:c>
      <x:c r="L2" s="16" t="s">
        <x:v>238</x:v>
      </x:c>
      <x:c r="M2" s="16" t="s">
        <x:v>239</x:v>
      </x:c>
      <x:c r="N2" s="16" t="s">
        <x:v>240</x:v>
      </x:c>
      <x:c r="O2" s="16" t="s">
        <x:v>241</x:v>
      </x:c>
      <x:c r="P2" s="16" t="s">
        <x:v>242</x:v>
      </x:c>
      <x:c r="Q2" s="16" t="s">
        <x:v>243</x:v>
      </x:c>
      <x:c r="R2" s="16" t="s">
        <x:v>244</x:v>
      </x:c>
      <x:c r="S2" s="27" t="s">
        <x:v>6</x:v>
      </x:c>
    </x:row>
    <x:row r="3" ht="43.5" customHeight="1">
      <x:c r="A3" s="32" t="str">
        <x:v>&lt;END&gt;</x:v>
      </x:c>
      <x:c r="B3" s="32"/>
      <x:c r="C3" s="33"/>
      <x:c r="D3" s="32"/>
      <x:c r="E3" s="32"/>
      <x:c r="F3" s="32"/>
      <x:c r="G3" s="32"/>
      <x:c r="H3" s="33"/>
      <x:c r="I3" s="32"/>
      <x:c r="J3" s="32"/>
      <x:c r="K3" s="32"/>
      <x:c r="L3" s="32"/>
      <x:c r="M3" s="32"/>
      <x:c r="N3" s="32"/>
      <x:c r="O3" s="32"/>
      <x:c r="P3" s="32"/>
      <x:c r="Q3" s="33"/>
      <x:c r="R3" s="33"/>
      <x:c r="S3" s="33"/>
    </x:row>
    <x:row r="4" ht="65.5" customHeight="1">
      <x:c r="A4" s="53"/>
      <x:c r="B4" s="53"/>
      <x:c r="C4" s="53"/>
      <x:c r="D4" s="53"/>
      <x:c r="E4" s="53"/>
      <x:c r="F4" s="53"/>
      <x:c r="G4" s="54"/>
      <x:c r="H4" s="53"/>
      <x:c r="I4" s="53"/>
      <x:c r="J4" s="53"/>
      <x:c r="K4" s="54"/>
      <x:c r="L4" s="53"/>
      <x:c r="M4" s="53"/>
      <x:c r="N4" s="53"/>
      <x:c r="O4" s="53"/>
      <x:c r="P4" s="54"/>
      <x:c r="Q4" s="53"/>
      <x:c r="R4" s="87"/>
      <x:c r="S4" s="54"/>
    </x:row>
    <x:row r="5" ht="37.5" customHeight="1">
      <x:c r="A5" s="53"/>
      <x:c r="B5" s="53"/>
      <x:c r="C5" s="53"/>
      <x:c r="D5" s="53"/>
      <x:c r="E5" s="53"/>
      <x:c r="F5" s="53"/>
      <x:c r="G5" s="53"/>
      <x:c r="H5" s="53"/>
      <x:c r="I5" s="53"/>
      <x:c r="J5" s="53"/>
      <x:c r="K5" s="54"/>
      <x:c r="L5" s="53"/>
      <x:c r="M5" s="53"/>
      <x:c r="N5" s="53"/>
      <x:c r="O5" s="53"/>
      <x:c r="P5" s="54"/>
      <x:c r="Q5" s="53"/>
      <x:c r="R5" s="53"/>
      <x:c r="S5" s="53"/>
    </x:row>
    <x:row r="6" ht="43.5" customHeight="1">
      <x:c r="A6" s="53"/>
      <x:c r="B6" s="53"/>
      <x:c r="C6" s="53"/>
      <x:c r="D6" s="53"/>
      <x:c r="E6" s="53"/>
      <x:c r="F6" s="53"/>
      <x:c r="G6" s="54"/>
      <x:c r="H6" s="53"/>
      <x:c r="I6" s="53"/>
      <x:c r="J6" s="53"/>
      <x:c r="K6" s="54"/>
      <x:c r="L6" s="53"/>
      <x:c r="M6" s="53"/>
      <x:c r="N6" s="53"/>
      <x:c r="O6" s="53"/>
      <x:c r="P6" s="53"/>
      <x:c r="Q6" s="53"/>
      <x:c r="R6" s="53"/>
      <x:c r="S6" s="53"/>
    </x:row>
  </x:sheetData>
  <x:mergeCells>
    <x:mergeCell ref="A1:S1"/>
  </x:mergeCells>
  <x:dataValidations count="1">
    <x:dataValidation allowBlank="1" sqref="E1:F1048576 D1:D2 A1:B2 C1:C1048576 I1:XFD1048576 G1:H2"/>
  </x:dataValidations>
  <x:pageMargins left="0.7" right="0.7" top="0.75" bottom="0.75" header="0.3" footer="0.3"/>
</x:worksheet>
</file>

<file path=xl/worksheets/sheet27.xml><?xml version="1.0" encoding="utf-8"?>
<x:worksheet xmlns:x="http://schemas.openxmlformats.org/spreadsheetml/2006/main">
  <x:sheetPr>
    <x:tabColor theme="2" tint="-0.24998"/>
  </x:sheetPr>
  <x:sheetFormatPr baseColWidth="10" defaultColWidth="8.83203125" defaultRowHeight="15"/>
  <x:cols>
    <x:col min="2" max="2" width="20.1640625" customWidth="1"/>
    <x:col min="3" max="3" width="11" customWidth="1"/>
    <x:col min="4" max="6" width="10.83203125" customWidth="1"/>
    <x:col min="7" max="7" width="18" customWidth="1"/>
    <x:col min="8" max="8" width="18.83203125" customWidth="1"/>
    <x:col min="9" max="9" width="16.1640625" customWidth="1"/>
    <x:col min="10" max="10" width="11.83203125" customWidth="1"/>
    <x:col min="11" max="12" width="14.6640625" customWidth="1"/>
    <x:col min="13" max="13" width="14.33203125" customWidth="1"/>
    <x:col min="15" max="15" width="23.6640625" customWidth="1"/>
    <x:col min="17" max="17" width="12.6640625" customWidth="1"/>
    <x:col min="18" max="18" width="14.83203125" customWidth="1"/>
    <x:col min="22" max="22" width="11.5" customWidth="1"/>
  </x:cols>
  <x:sheetData>
    <x:row r="1" ht="119.25" customHeight="1">
      <x:c r="A1" s="149" t="s">
        <x:v>245</x:v>
      </x:c>
      <x:c r="B1" s="150"/>
      <x:c r="C1" s="150"/>
      <x:c r="D1" s="150"/>
      <x:c r="E1" s="150"/>
      <x:c r="F1" s="150"/>
      <x:c r="G1" s="150"/>
      <x:c r="H1" s="150"/>
      <x:c r="I1" s="150"/>
      <x:c r="J1" s="150"/>
      <x:c r="K1" s="150"/>
      <x:c r="L1" s="150"/>
      <x:c r="M1" s="150"/>
      <x:c r="N1" s="150"/>
      <x:c r="O1" s="150"/>
      <x:c r="P1" s="150"/>
      <x:c r="Q1" s="150"/>
      <x:c r="R1" s="150"/>
      <x:c r="S1" s="150"/>
      <x:c r="T1" s="150"/>
      <x:c r="U1" s="150"/>
      <x:c r="V1" s="151"/>
    </x:row>
    <x:row r="2" ht="58.5" customHeight="1">
      <x:c r="A2" s="34" t="s">
        <x:v>2</x:v>
      </x:c>
      <x:c r="B2" s="34" t="s">
        <x:v>20</x:v>
      </x:c>
      <x:c r="C2" s="35" t="s">
        <x:v>231</x:v>
      </x:c>
      <x:c r="D2" s="27" t="s">
        <x:v>246</x:v>
      </x:c>
      <x:c r="E2" s="34" t="s">
        <x:v>247</x:v>
      </x:c>
      <x:c r="F2" s="34" t="s">
        <x:v>248</x:v>
      </x:c>
      <x:c r="G2" s="34" t="s">
        <x:v>249</x:v>
      </x:c>
      <x:c r="H2" s="34" t="s">
        <x:v>250</x:v>
      </x:c>
      <x:c r="I2" s="34" t="s">
        <x:v>251</x:v>
      </x:c>
      <x:c r="J2" s="34" t="s">
        <x:v>252</x:v>
      </x:c>
      <x:c r="K2" s="34" t="s">
        <x:v>253</x:v>
      </x:c>
      <x:c r="L2" s="34" t="s">
        <x:v>254</x:v>
      </x:c>
      <x:c r="M2" s="34" t="s">
        <x:v>255</x:v>
      </x:c>
      <x:c r="N2" s="34" t="s">
        <x:v>256</x:v>
      </x:c>
      <x:c r="O2" s="34" t="s">
        <x:v>257</x:v>
      </x:c>
      <x:c r="P2" s="34" t="s">
        <x:v>258</x:v>
      </x:c>
      <x:c r="Q2" s="34" t="s">
        <x:v>259</x:v>
      </x:c>
      <x:c r="R2" s="11" t="s">
        <x:v>260</x:v>
      </x:c>
      <x:c r="S2" s="27" t="s">
        <x:v>243</x:v>
      </x:c>
      <x:c r="T2" s="27" t="s">
        <x:v>261</x:v>
      </x:c>
      <x:c r="U2" s="27" t="s">
        <x:v>262</x:v>
      </x:c>
      <x:c r="V2" s="27" t="s">
        <x:v>263</x:v>
      </x:c>
    </x:row>
    <x:row r="3">
      <x:c r="A3" s="33" t="str">
        <x:v>&lt;END&gt;</x:v>
      </x:c>
      <x:c r="B3" s="33"/>
      <x:c r="C3" s="33"/>
      <x:c r="D3" s="33"/>
      <x:c r="E3" s="33"/>
      <x:c r="F3" s="33"/>
      <x:c r="G3" s="33"/>
      <x:c r="H3" s="33"/>
      <x:c r="I3" s="33"/>
      <x:c r="J3" s="33"/>
      <x:c r="K3" s="33"/>
      <x:c r="L3" s="33"/>
      <x:c r="M3" s="33"/>
      <x:c r="N3" s="33"/>
      <x:c r="O3" s="33"/>
      <x:c r="P3" s="33"/>
      <x:c r="Q3" s="33"/>
      <x:c r="R3" s="33"/>
      <x:c r="S3" s="33"/>
      <x:c r="T3" s="33"/>
      <x:c r="U3" s="33"/>
      <x:c r="V3" s="33"/>
    </x:row>
    <x:row r="4" ht="43.5" customHeight="1">
      <x:c r="A4" s="53"/>
      <x:c r="B4" s="53"/>
      <x:c r="C4" s="53"/>
      <x:c r="D4" s="53"/>
      <x:c r="E4" s="53"/>
      <x:c r="F4" s="53"/>
      <x:c r="G4" s="53"/>
      <x:c r="H4" s="53"/>
      <x:c r="I4" s="53"/>
      <x:c r="J4" s="53"/>
      <x:c r="K4" s="53"/>
      <x:c r="L4" s="53"/>
      <x:c r="M4" s="53"/>
      <x:c r="N4" s="53"/>
      <x:c r="O4" s="53"/>
      <x:c r="P4" s="53"/>
      <x:c r="Q4" s="53"/>
      <x:c r="R4" s="53"/>
      <x:c r="S4" s="53"/>
      <x:c r="T4" s="88"/>
      <x:c r="U4" s="53"/>
      <x:c r="V4" s="53"/>
    </x:row>
    <x:row r="5">
      <x:c r="A5" s="53"/>
      <x:c r="B5" s="53"/>
      <x:c r="C5" s="53"/>
      <x:c r="D5" s="53"/>
      <x:c r="E5" s="53"/>
      <x:c r="F5" s="53"/>
      <x:c r="G5" s="53"/>
      <x:c r="H5" s="53"/>
      <x:c r="I5" s="53"/>
      <x:c r="J5" s="53"/>
      <x:c r="K5" s="53"/>
      <x:c r="L5" s="53"/>
      <x:c r="M5" s="53"/>
      <x:c r="N5" s="53"/>
      <x:c r="O5" s="53"/>
      <x:c r="P5" s="53"/>
      <x:c r="Q5" s="53"/>
      <x:c r="R5" s="53"/>
      <x:c r="S5" s="53"/>
      <x:c r="T5" s="53"/>
      <x:c r="U5" s="53"/>
      <x:c r="V5" s="53"/>
    </x:row>
    <x:row r="6" ht="28.75" customHeight="1">
      <x:c r="A6" s="53"/>
      <x:c r="B6" s="53"/>
      <x:c r="C6" s="53"/>
      <x:c r="D6" s="53"/>
      <x:c r="E6" s="53"/>
      <x:c r="F6" s="53"/>
      <x:c r="G6" s="53"/>
      <x:c r="H6" s="53"/>
      <x:c r="I6" s="53"/>
      <x:c r="J6" s="53"/>
      <x:c r="K6" s="53"/>
      <x:c r="L6" s="53"/>
      <x:c r="M6" s="53"/>
      <x:c r="N6" s="53"/>
      <x:c r="O6" s="53"/>
      <x:c r="P6" s="53"/>
      <x:c r="Q6" s="53"/>
      <x:c r="R6" s="53"/>
      <x:c r="S6" s="53"/>
      <x:c r="T6" s="53"/>
      <x:c r="U6" s="53"/>
      <x:c r="V6" s="53"/>
    </x:row>
  </x:sheetData>
  <x:mergeCells>
    <x:mergeCell ref="A1:V1"/>
  </x:mergeCells>
  <x:dataValidations count="1">
    <x:dataValidation allowBlank="1" sqref="C1:G1048576 H1:I2 J1:L1048576 M1:M2 N1:N1048576 O1:O2 P1:XFD1048576 A1:B2"/>
  </x:dataValidations>
  <x:pageMargins left="0.7" right="0.7" top="0.75" bottom="0.75" header="0.3" footer="0.3"/>
</x:worksheet>
</file>

<file path=xl/worksheets/sheet28.xml><?xml version="1.0" encoding="utf-8"?>
<x:worksheet xmlns:x="http://schemas.openxmlformats.org/spreadsheetml/2006/main">
  <x:sheetPr>
    <x:tabColor theme="2" tint="-0.24998"/>
  </x:sheetPr>
  <x:sheetFormatPr baseColWidth="10" defaultColWidth="8.83203125" defaultRowHeight="15"/>
  <x:cols>
    <x:col min="2" max="2" width="9.5" customWidth="1"/>
    <x:col min="3" max="3" width="10.5" customWidth="1"/>
    <x:col min="4" max="4" width="17.83203125" customWidth="1"/>
    <x:col min="5" max="5" width="12" customWidth="1"/>
    <x:col min="6" max="6" width="9.83203125" customWidth="1"/>
    <x:col min="8" max="8" width="11.83203125" customWidth="1"/>
    <x:col min="9" max="10" width="12.5" customWidth="1"/>
    <x:col min="11" max="11" width="15" customWidth="1"/>
    <x:col min="14" max="14" width="10.1640625" customWidth="1"/>
    <x:col min="18" max="18" width="11.6640625" customWidth="1"/>
  </x:cols>
  <x:sheetData>
    <x:row r="1" ht="124" customHeight="1">
      <x:c r="A1" s="145" t="s">
        <x:v>264</x:v>
      </x:c>
      <x:c r="B1" s="145"/>
      <x:c r="C1" s="145"/>
      <x:c r="D1" s="145"/>
      <x:c r="E1" s="145"/>
      <x:c r="F1" s="145"/>
      <x:c r="G1" s="145"/>
      <x:c r="H1" s="145"/>
      <x:c r="I1" s="145"/>
      <x:c r="J1" s="145"/>
      <x:c r="K1" s="145"/>
      <x:c r="L1" s="145"/>
      <x:c r="M1" s="145"/>
      <x:c r="N1" s="145"/>
      <x:c r="O1" s="145"/>
      <x:c r="P1" s="145"/>
      <x:c r="Q1" s="145"/>
      <x:c r="R1" s="145"/>
    </x:row>
    <x:row r="2" ht="46.5" customHeight="1">
      <x:c r="A2" s="10" t="s">
        <x:v>2</x:v>
      </x:c>
      <x:c r="B2" s="10" t="s">
        <x:v>231</x:v>
      </x:c>
      <x:c r="C2" s="10" t="s">
        <x:v>248</x:v>
      </x:c>
      <x:c r="D2" s="7" t="s">
        <x:v>265</x:v>
      </x:c>
      <x:c r="E2" s="27" t="s">
        <x:v>266</x:v>
      </x:c>
      <x:c r="F2" s="10" t="s">
        <x:v>267</x:v>
      </x:c>
      <x:c r="G2" s="10" t="s">
        <x:v>268</x:v>
      </x:c>
      <x:c r="H2" s="10" t="s">
        <x:v>269</x:v>
      </x:c>
      <x:c r="I2" s="27" t="s">
        <x:v>246</x:v>
      </x:c>
      <x:c r="J2" s="27" t="s">
        <x:v>247</x:v>
      </x:c>
      <x:c r="K2" s="10" t="s">
        <x:v>270</x:v>
      </x:c>
      <x:c r="L2" s="7" t="s">
        <x:v>271</x:v>
      </x:c>
      <x:c r="M2" s="7" t="s">
        <x:v>272</x:v>
      </x:c>
      <x:c r="N2" s="15" t="s">
        <x:v>273</x:v>
      </x:c>
      <x:c r="O2" s="27" t="s">
        <x:v>243</x:v>
      </x:c>
      <x:c r="P2" s="27" t="s">
        <x:v>261</x:v>
      </x:c>
      <x:c r="Q2" s="27" t="s">
        <x:v>262</x:v>
      </x:c>
      <x:c r="R2" s="27" t="s">
        <x:v>263</x:v>
      </x:c>
    </x:row>
    <x:row r="3">
      <x:c r="A3" s="33" t="str">
        <x:v>&lt;END&gt;</x:v>
      </x:c>
      <x:c r="B3" s="33"/>
      <x:c r="C3" s="33"/>
      <x:c r="D3" s="33"/>
      <x:c r="E3" s="33"/>
      <x:c r="F3" s="33"/>
      <x:c r="G3" s="33"/>
      <x:c r="H3" s="33"/>
      <x:c r="I3" s="33"/>
      <x:c r="J3" s="33"/>
      <x:c r="K3" s="33"/>
      <x:c r="L3" s="33"/>
      <x:c r="M3" s="33"/>
      <x:c r="N3" s="33"/>
      <x:c r="O3" s="33"/>
      <x:c r="P3" s="33"/>
      <x:c r="Q3" s="33"/>
      <x:c r="R3" s="33"/>
    </x:row>
    <x:row r="4">
      <x:c r="A4" s="53"/>
      <x:c r="B4" s="53"/>
      <x:c r="C4" s="53"/>
      <x:c r="D4" s="53"/>
      <x:c r="E4" s="53"/>
      <x:c r="F4" s="53"/>
      <x:c r="G4" s="53"/>
      <x:c r="H4" s="53"/>
      <x:c r="I4" s="53"/>
      <x:c r="J4" s="53"/>
      <x:c r="K4" s="53"/>
      <x:c r="L4" s="53"/>
      <x:c r="M4" s="53"/>
      <x:c r="N4" s="53"/>
      <x:c r="O4" s="53"/>
      <x:c r="P4" s="88"/>
      <x:c r="Q4" s="53"/>
      <x:c r="R4" s="53"/>
    </x:row>
    <x:row r="5">
      <x:c r="A5" s="53"/>
      <x:c r="B5" s="53"/>
      <x:c r="C5" s="53"/>
      <x:c r="D5" s="53"/>
      <x:c r="E5" s="53"/>
      <x:c r="F5" s="53"/>
      <x:c r="G5" s="53"/>
      <x:c r="H5" s="53"/>
      <x:c r="I5" s="53"/>
      <x:c r="J5" s="53"/>
      <x:c r="K5" s="53"/>
      <x:c r="L5" s="53"/>
      <x:c r="M5" s="53"/>
      <x:c r="N5" s="53"/>
      <x:c r="O5" s="53"/>
      <x:c r="P5" s="53"/>
      <x:c r="Q5" s="53"/>
      <x:c r="R5" s="53"/>
    </x:row>
    <x:row r="6">
      <x:c r="A6" s="53"/>
      <x:c r="B6" s="53"/>
      <x:c r="C6" s="53"/>
      <x:c r="D6" s="53"/>
      <x:c r="E6" s="53"/>
      <x:c r="F6" s="53"/>
      <x:c r="G6" s="53"/>
      <x:c r="H6" s="53"/>
      <x:c r="I6" s="53"/>
      <x:c r="J6" s="53"/>
      <x:c r="K6" s="53"/>
      <x:c r="L6" s="53"/>
      <x:c r="M6" s="53"/>
      <x:c r="N6" s="53"/>
      <x:c r="O6" s="53"/>
      <x:c r="P6" s="53"/>
      <x:c r="Q6" s="53"/>
      <x:c r="R6" s="53"/>
    </x:row>
  </x:sheetData>
  <x:mergeCells>
    <x:mergeCell ref="A1:R1"/>
  </x:mergeCells>
  <x:dataValidations count="1">
    <x:dataValidation allowBlank="1" prompt="Select an OCI region" sqref="A1:A2 B1:XFD1048576"/>
  </x:dataValidations>
  <x:pageMargins left="0.7" right="0.7" top="0.75" bottom="0.75" header="0.3" footer="0.3"/>
</x:worksheet>
</file>

<file path=xl/worksheets/sheet29.xml><?xml version="1.0" encoding="utf-8"?>
<x:worksheet xmlns:x="http://schemas.openxmlformats.org/spreadsheetml/2006/main">
  <x:sheetPr>
    <x:tabColor theme="2" tint="-0.24998"/>
  </x:sheetPr>
  <x:sheetFormatPr baseColWidth="10" defaultColWidth="8.83203125" defaultRowHeight="15"/>
  <x:cols>
    <x:col min="2" max="2" width="8.83203125" customWidth="1"/>
    <x:col min="4" max="4" width="27.5" customWidth="1"/>
    <x:col min="5" max="5" width="13.83203125" customWidth="1"/>
    <x:col min="6" max="6" width="17.33203125" customWidth="1"/>
    <x:col min="7" max="7" width="16.5" customWidth="1"/>
    <x:col min="8" max="8" width="19.1640625" customWidth="1"/>
    <x:col min="9" max="9" width="13.6640625" customWidth="1"/>
    <x:col min="10" max="10" width="12.5" customWidth="1"/>
    <x:col min="11" max="11" width="13.1640625" customWidth="1"/>
    <x:col min="13" max="13" width="15.1640625" customWidth="1"/>
    <x:col min="14" max="16" width="13.83203125" customWidth="1"/>
    <x:col min="17" max="17" width="21.1640625" customWidth="1"/>
    <x:col min="18" max="18" width="17.1640625" customWidth="1"/>
  </x:cols>
  <x:sheetData>
    <x:row r="1" ht="167" customHeight="1">
      <x:c r="A1" s="149" t="s">
        <x:v>274</x:v>
      </x:c>
      <x:c r="B1" s="150"/>
      <x:c r="C1" s="150"/>
      <x:c r="D1" s="150"/>
      <x:c r="E1" s="150"/>
      <x:c r="F1" s="150"/>
      <x:c r="G1" s="150"/>
      <x:c r="H1" s="150"/>
      <x:c r="I1" s="150"/>
      <x:c r="J1" s="152" t="s">
        <x:v>275</x:v>
      </x:c>
      <x:c r="K1" s="166"/>
      <x:c r="L1" s="166"/>
      <x:c r="M1" s="166"/>
      <x:c r="N1" s="166"/>
      <x:c r="O1" s="166"/>
      <x:c r="P1" s="166"/>
      <x:c r="Q1" s="166"/>
      <x:c r="R1" s="166"/>
      <x:c r="S1" s="167"/>
    </x:row>
    <x:row r="2" ht="58.75" customHeight="1">
      <x:c r="A2" s="10" t="s">
        <x:v>2</x:v>
      </x:c>
      <x:c r="B2" s="9" t="s">
        <x:v>231</x:v>
      </x:c>
      <x:c r="C2" s="10" t="s">
        <x:v>276</x:v>
      </x:c>
      <x:c r="D2" s="10" t="s">
        <x:v>277</x:v>
      </x:c>
      <x:c r="E2" s="10" t="s">
        <x:v>278</x:v>
      </x:c>
      <x:c r="F2" s="10" t="s">
        <x:v>279</x:v>
      </x:c>
      <x:c r="G2" s="10" t="s">
        <x:v>280</x:v>
      </x:c>
      <x:c r="H2" s="10" t="s">
        <x:v>281</x:v>
      </x:c>
      <x:c r="I2" s="10" t="s">
        <x:v>282</x:v>
      </x:c>
      <x:c r="J2" s="10" t="s">
        <x:v>283</x:v>
      </x:c>
      <x:c r="K2" s="10" t="s">
        <x:v>284</x:v>
      </x:c>
      <x:c r="L2" s="10" t="s">
        <x:v>285</x:v>
      </x:c>
      <x:c r="M2" s="10" t="s">
        <x:v>286</x:v>
      </x:c>
      <x:c r="N2" s="10" t="s">
        <x:v>287</x:v>
      </x:c>
      <x:c r="O2" s="27" t="s">
        <x:v>288</x:v>
      </x:c>
      <x:c r="P2" s="10" t="s">
        <x:v>289</x:v>
      </x:c>
      <x:c r="Q2" s="10" t="s">
        <x:v>290</x:v>
      </x:c>
      <x:c r="R2" s="10" t="s">
        <x:v>291</x:v>
      </x:c>
      <x:c r="S2" s="10" t="s">
        <x:v>70</x:v>
      </x:c>
    </x:row>
    <x:row r="3" ht="21.75" customHeight="1">
      <x:c r="A3" s="33" t="str">
        <x:v>&lt;END&gt;</x:v>
      </x:c>
      <x:c r="B3" s="33"/>
      <x:c r="C3" s="33"/>
      <x:c r="D3" s="33"/>
      <x:c r="E3" s="33"/>
      <x:c r="F3" s="33"/>
      <x:c r="G3" s="33"/>
      <x:c r="H3" s="33"/>
      <x:c r="I3" s="33"/>
      <x:c r="J3" s="33"/>
      <x:c r="K3" s="33"/>
      <x:c r="L3" s="33"/>
      <x:c r="M3" s="33"/>
      <x:c r="N3" s="33"/>
      <x:c r="O3" s="33"/>
      <x:c r="P3" s="33"/>
      <x:c r="Q3" s="33"/>
      <x:c r="R3" s="33"/>
      <x:c r="S3" s="33"/>
    </x:row>
    <x:row r="4">
      <x:c r="A4" s="53"/>
      <x:c r="B4" s="53"/>
      <x:c r="C4" s="53"/>
      <x:c r="D4" s="53"/>
      <x:c r="E4" s="53"/>
      <x:c r="F4" s="53"/>
      <x:c r="G4" s="53"/>
      <x:c r="H4" s="53"/>
      <x:c r="I4" s="53"/>
      <x:c r="J4" s="53"/>
      <x:c r="K4" s="53"/>
      <x:c r="L4" s="53"/>
      <x:c r="M4" s="53"/>
      <x:c r="N4" s="53"/>
      <x:c r="O4" s="53"/>
      <x:c r="P4" s="53"/>
      <x:c r="Q4" s="53"/>
      <x:c r="R4" s="53"/>
      <x:c r="S4" s="53"/>
    </x:row>
    <x:row r="5">
      <x:c r="A5" s="53"/>
      <x:c r="B5" s="53"/>
      <x:c r="C5" s="53"/>
      <x:c r="D5" s="53"/>
      <x:c r="E5" s="53"/>
      <x:c r="F5" s="53"/>
      <x:c r="G5" s="53"/>
      <x:c r="H5" s="53"/>
      <x:c r="I5" s="53"/>
      <x:c r="J5" s="53"/>
      <x:c r="K5" s="53"/>
      <x:c r="L5" s="53"/>
      <x:c r="M5" s="53"/>
      <x:c r="N5" s="53"/>
      <x:c r="O5" s="53"/>
      <x:c r="P5" s="53"/>
      <x:c r="Q5" s="53"/>
      <x:c r="R5" s="53"/>
      <x:c r="S5" s="53"/>
    </x:row>
    <x:row r="6">
      <x:c r="A6" s="53"/>
      <x:c r="B6" s="53"/>
      <x:c r="C6" s="53"/>
      <x:c r="D6" s="53"/>
      <x:c r="E6" s="53"/>
      <x:c r="F6" s="53"/>
      <x:c r="G6" s="53"/>
      <x:c r="H6" s="53"/>
      <x:c r="I6" s="53"/>
      <x:c r="J6" s="53"/>
      <x:c r="K6" s="53"/>
      <x:c r="L6" s="53"/>
      <x:c r="M6" s="53"/>
      <x:c r="N6" s="53"/>
      <x:c r="O6" s="53"/>
      <x:c r="P6" s="53"/>
      <x:c r="Q6" s="53"/>
      <x:c r="R6" s="53"/>
      <x:c r="S6" s="53"/>
    </x:row>
    <x:row r="7">
      <x:c r="A7" s="53"/>
      <x:c r="B7" s="53"/>
      <x:c r="C7" s="53"/>
      <x:c r="D7" s="53"/>
      <x:c r="E7" s="53"/>
      <x:c r="F7" s="53"/>
      <x:c r="G7" s="53"/>
      <x:c r="H7" s="53"/>
      <x:c r="I7" s="53"/>
      <x:c r="J7" s="53"/>
      <x:c r="K7" s="53"/>
      <x:c r="L7" s="53"/>
      <x:c r="M7" s="53"/>
      <x:c r="N7" s="53"/>
      <x:c r="O7" s="53"/>
      <x:c r="P7" s="53"/>
      <x:c r="Q7" s="53"/>
      <x:c r="R7" s="53"/>
      <x:c r="S7" s="53"/>
    </x:row>
    <x:row r="8">
      <x:c r="A8" s="53"/>
      <x:c r="B8" s="53"/>
      <x:c r="C8" s="53"/>
      <x:c r="D8" s="53"/>
      <x:c r="E8" s="53"/>
      <x:c r="F8" s="53"/>
      <x:c r="G8" s="53"/>
      <x:c r="H8" s="53"/>
      <x:c r="I8" s="53"/>
      <x:c r="J8" s="53"/>
      <x:c r="K8" s="53"/>
      <x:c r="L8" s="53"/>
      <x:c r="M8" s="53"/>
      <x:c r="N8" s="53"/>
      <x:c r="O8" s="53"/>
      <x:c r="P8" s="53"/>
      <x:c r="Q8" s="53"/>
      <x:c r="R8" s="53"/>
      <x:c r="S8" s="53"/>
    </x:row>
    <x:row r="9">
      <x:c r="A9" s="53"/>
      <x:c r="B9" s="53"/>
      <x:c r="C9" s="53"/>
      <x:c r="D9" s="53"/>
      <x:c r="E9" s="53"/>
      <x:c r="F9" s="53"/>
      <x:c r="G9" s="53"/>
      <x:c r="H9" s="53"/>
      <x:c r="I9" s="53"/>
      <x:c r="J9" s="53"/>
      <x:c r="K9" s="53"/>
      <x:c r="L9" s="53"/>
      <x:c r="M9" s="53"/>
      <x:c r="N9" s="53"/>
      <x:c r="O9" s="53"/>
      <x:c r="P9" s="53"/>
      <x:c r="Q9" s="53"/>
      <x:c r="R9" s="53"/>
      <x:c r="S9" s="53"/>
    </x:row>
    <x:row r="10">
      <x:c r="A10" s="53"/>
      <x:c r="B10" s="53"/>
      <x:c r="C10" s="53"/>
      <x:c r="D10" s="53"/>
      <x:c r="E10" s="53"/>
      <x:c r="F10" s="53"/>
      <x:c r="G10" s="53"/>
      <x:c r="H10" s="53"/>
      <x:c r="I10" s="53"/>
      <x:c r="J10" s="53"/>
      <x:c r="K10" s="53"/>
      <x:c r="L10" s="53"/>
      <x:c r="M10" s="53"/>
      <x:c r="N10" s="53"/>
      <x:c r="O10" s="53"/>
      <x:c r="P10" s="53"/>
      <x:c r="Q10" s="53"/>
      <x:c r="R10" s="53"/>
      <x:c r="S10" s="53"/>
    </x:row>
    <x:row r="11">
      <x:c r="A11" s="53"/>
      <x:c r="B11" s="53"/>
      <x:c r="C11" s="53"/>
      <x:c r="D11" s="53"/>
      <x:c r="E11" s="53"/>
      <x:c r="F11" s="53"/>
      <x:c r="G11" s="53"/>
      <x:c r="H11" s="53"/>
      <x:c r="I11" s="53"/>
      <x:c r="J11" s="53"/>
      <x:c r="K11" s="53"/>
      <x:c r="L11" s="53"/>
      <x:c r="M11" s="53"/>
      <x:c r="N11" s="53"/>
      <x:c r="O11" s="53"/>
      <x:c r="P11" s="53"/>
      <x:c r="Q11" s="53"/>
      <x:c r="R11" s="53"/>
      <x:c r="S11" s="53"/>
    </x:row>
    <x:row r="12">
      <x:c r="A12" s="53"/>
      <x:c r="B12" s="53"/>
      <x:c r="C12" s="53"/>
      <x:c r="D12" s="53"/>
      <x:c r="E12" s="53"/>
      <x:c r="F12" s="53"/>
      <x:c r="G12" s="53"/>
      <x:c r="H12" s="53"/>
      <x:c r="I12" s="53"/>
      <x:c r="J12" s="53"/>
      <x:c r="K12" s="53"/>
      <x:c r="L12" s="53"/>
      <x:c r="M12" s="53"/>
      <x:c r="N12" s="53"/>
      <x:c r="O12" s="53"/>
      <x:c r="P12" s="53"/>
      <x:c r="Q12" s="53"/>
      <x:c r="R12" s="53"/>
      <x:c r="S12" s="53"/>
    </x:row>
    <x:row r="13">
      <x:c r="A13" s="53"/>
      <x:c r="B13" s="53"/>
      <x:c r="C13" s="53"/>
      <x:c r="D13" s="53"/>
      <x:c r="E13" s="53"/>
      <x:c r="F13" s="53"/>
      <x:c r="G13" s="53"/>
      <x:c r="H13" s="53"/>
      <x:c r="I13" s="53"/>
      <x:c r="J13" s="53"/>
      <x:c r="K13" s="53"/>
      <x:c r="L13" s="53"/>
      <x:c r="M13" s="53"/>
      <x:c r="N13" s="53"/>
      <x:c r="O13" s="53"/>
      <x:c r="P13" s="53"/>
      <x:c r="Q13" s="53"/>
      <x:c r="R13" s="53"/>
      <x:c r="S13" s="53"/>
    </x:row>
    <x:row r="14">
      <x:c r="A14" s="53"/>
      <x:c r="B14" s="53"/>
      <x:c r="C14" s="53"/>
      <x:c r="D14" s="53"/>
      <x:c r="E14" s="53"/>
      <x:c r="F14" s="53"/>
      <x:c r="G14" s="53"/>
      <x:c r="H14" s="53"/>
      <x:c r="I14" s="53"/>
      <x:c r="J14" s="53"/>
      <x:c r="K14" s="53"/>
      <x:c r="L14" s="53"/>
      <x:c r="M14" s="53"/>
      <x:c r="N14" s="53"/>
      <x:c r="O14" s="53"/>
      <x:c r="P14" s="53"/>
      <x:c r="Q14" s="53"/>
      <x:c r="R14" s="53"/>
      <x:c r="S14" s="53"/>
    </x:row>
    <x:row r="15">
      <x:c r="A15" s="53"/>
      <x:c r="B15" s="53"/>
      <x:c r="C15" s="53"/>
      <x:c r="D15" s="53"/>
      <x:c r="E15" s="53"/>
      <x:c r="F15" s="53"/>
      <x:c r="G15" s="53"/>
      <x:c r="H15" s="53"/>
      <x:c r="I15" s="53"/>
      <x:c r="J15" s="53"/>
      <x:c r="K15" s="53"/>
      <x:c r="L15" s="53"/>
      <x:c r="M15" s="53"/>
      <x:c r="N15" s="53"/>
      <x:c r="O15" s="53"/>
      <x:c r="P15" s="53"/>
      <x:c r="Q15" s="53"/>
      <x:c r="R15" s="53"/>
      <x:c r="S15" s="53"/>
    </x:row>
    <x:row r="16">
      <x:c r="A16" s="53"/>
      <x:c r="B16" s="53"/>
      <x:c r="C16" s="53"/>
      <x:c r="D16" s="53"/>
      <x:c r="E16" s="53"/>
      <x:c r="F16" s="53"/>
      <x:c r="G16" s="53"/>
      <x:c r="H16" s="53"/>
      <x:c r="I16" s="53"/>
      <x:c r="J16" s="53"/>
      <x:c r="K16" s="53"/>
      <x:c r="L16" s="53"/>
      <x:c r="M16" s="53"/>
      <x:c r="N16" s="53"/>
      <x:c r="O16" s="53"/>
      <x:c r="P16" s="53"/>
      <x:c r="Q16" s="53"/>
      <x:c r="R16" s="53"/>
      <x:c r="S16" s="53"/>
    </x:row>
    <x:row r="17">
      <x:c r="A17" s="53"/>
      <x:c r="B17" s="53"/>
      <x:c r="C17" s="53"/>
      <x:c r="D17" s="53"/>
      <x:c r="E17" s="53"/>
      <x:c r="F17" s="53"/>
      <x:c r="G17" s="53"/>
      <x:c r="H17" s="53"/>
      <x:c r="I17" s="53"/>
      <x:c r="J17" s="53"/>
      <x:c r="K17" s="53"/>
      <x:c r="L17" s="53"/>
      <x:c r="M17" s="53"/>
      <x:c r="N17" s="53"/>
      <x:c r="O17" s="53"/>
      <x:c r="P17" s="53"/>
      <x:c r="Q17" s="53"/>
      <x:c r="R17" s="53"/>
      <x:c r="S17" s="53"/>
    </x:row>
    <x:row r="18">
      <x:c r="A18" s="53"/>
      <x:c r="B18" s="53"/>
      <x:c r="C18" s="53"/>
      <x:c r="D18" s="53"/>
      <x:c r="E18" s="53"/>
      <x:c r="F18" s="53"/>
      <x:c r="G18" s="53"/>
      <x:c r="H18" s="53"/>
      <x:c r="I18" s="53"/>
      <x:c r="J18" s="53"/>
      <x:c r="K18" s="53"/>
      <x:c r="L18" s="53"/>
      <x:c r="M18" s="53"/>
      <x:c r="N18" s="53"/>
      <x:c r="O18" s="53"/>
      <x:c r="P18" s="53"/>
      <x:c r="Q18" s="53"/>
      <x:c r="R18" s="53"/>
      <x:c r="S18" s="53"/>
    </x:row>
    <x:row r="19">
      <x:c r="A19" s="53"/>
      <x:c r="B19" s="53"/>
      <x:c r="C19" s="53"/>
      <x:c r="D19" s="53"/>
      <x:c r="E19" s="53"/>
      <x:c r="F19" s="53"/>
      <x:c r="G19" s="53"/>
      <x:c r="H19" s="53"/>
      <x:c r="I19" s="53"/>
      <x:c r="J19" s="53"/>
      <x:c r="K19" s="53"/>
      <x:c r="L19" s="53"/>
      <x:c r="M19" s="53"/>
      <x:c r="N19" s="53"/>
      <x:c r="O19" s="53"/>
      <x:c r="P19" s="53"/>
      <x:c r="Q19" s="53"/>
      <x:c r="R19" s="53"/>
      <x:c r="S19" s="53"/>
    </x:row>
    <x:row r="20">
      <x:c r="A20" s="53"/>
      <x:c r="B20" s="53"/>
      <x:c r="C20" s="53"/>
      <x:c r="D20" s="53"/>
      <x:c r="E20" s="53"/>
      <x:c r="F20" s="53"/>
      <x:c r="G20" s="53"/>
      <x:c r="H20" s="53"/>
      <x:c r="I20" s="53"/>
      <x:c r="J20" s="53"/>
      <x:c r="K20" s="53"/>
      <x:c r="L20" s="53"/>
      <x:c r="M20" s="53"/>
      <x:c r="N20" s="53"/>
      <x:c r="O20" s="53"/>
      <x:c r="P20" s="53"/>
      <x:c r="Q20" s="53"/>
      <x:c r="R20" s="53"/>
      <x:c r="S20" s="53"/>
    </x:row>
    <x:row r="21">
      <x:c r="A21" s="53"/>
      <x:c r="B21" s="53"/>
      <x:c r="C21" s="53"/>
      <x:c r="D21" s="53"/>
      <x:c r="E21" s="53"/>
      <x:c r="F21" s="53"/>
      <x:c r="G21" s="53"/>
      <x:c r="H21" s="53"/>
      <x:c r="I21" s="53"/>
      <x:c r="J21" s="53"/>
      <x:c r="K21" s="53"/>
      <x:c r="L21" s="53"/>
      <x:c r="M21" s="53"/>
      <x:c r="N21" s="53"/>
      <x:c r="O21" s="53"/>
      <x:c r="P21" s="53"/>
      <x:c r="Q21" s="53"/>
      <x:c r="R21" s="53"/>
      <x:c r="S21" s="53"/>
    </x:row>
    <x:row r="22">
      <x:c r="A22" s="53"/>
      <x:c r="B22" s="53"/>
      <x:c r="C22" s="53"/>
      <x:c r="D22" s="53"/>
      <x:c r="E22" s="53"/>
      <x:c r="F22" s="53"/>
      <x:c r="G22" s="53"/>
      <x:c r="H22" s="53"/>
      <x:c r="I22" s="53"/>
      <x:c r="J22" s="53"/>
      <x:c r="K22" s="53"/>
      <x:c r="L22" s="53"/>
      <x:c r="M22" s="53"/>
      <x:c r="N22" s="53"/>
      <x:c r="O22" s="53"/>
      <x:c r="P22" s="53"/>
      <x:c r="Q22" s="53"/>
      <x:c r="R22" s="53"/>
      <x:c r="S22" s="53"/>
    </x:row>
    <x:row r="23">
      <x:c r="A23" s="53"/>
      <x:c r="B23" s="53"/>
      <x:c r="C23" s="53"/>
      <x:c r="D23" s="53"/>
      <x:c r="E23" s="53"/>
      <x:c r="F23" s="53"/>
      <x:c r="G23" s="53"/>
      <x:c r="H23" s="53"/>
      <x:c r="I23" s="53"/>
      <x:c r="J23" s="53"/>
      <x:c r="K23" s="53"/>
      <x:c r="L23" s="53"/>
      <x:c r="M23" s="53"/>
      <x:c r="N23" s="53"/>
      <x:c r="O23" s="53"/>
      <x:c r="P23" s="53"/>
      <x:c r="Q23" s="53"/>
      <x:c r="R23" s="53"/>
      <x:c r="S23" s="53"/>
    </x:row>
  </x:sheetData>
  <x:mergeCells>
    <x:mergeCell ref="A1:I1"/>
    <x:mergeCell ref="J1:S1"/>
  </x:mergeCells>
  <x:dataValidations count="1">
    <x:dataValidation allowBlank="1" sqref="B1:C1048576 F1:F1048576 P1:P2 K1:K2 L1:O1048576 Q1:XFD1048576 I1:J1048576 A1:A2 D1:E2 G1:H2"/>
  </x:dataValidations>
  <x:pageMargins left="0.7" right="0.7" top="0.75" bottom="0.75" header="0.3" footer="0.3"/>
</x:worksheet>
</file>

<file path=xl/worksheets/sheet30.xml><?xml version="1.0" encoding="utf-8"?>
<x:worksheet xmlns:x="http://schemas.openxmlformats.org/spreadsheetml/2006/main">
  <x:sheetPr>
    <x:tabColor theme="2" tint="-0.24998"/>
  </x:sheetPr>
  <x:sheetFormatPr baseColWidth="10" defaultColWidth="8.83203125" defaultRowHeight="15"/>
  <x:cols>
    <x:col min="2" max="2" width="15.33203125" customWidth="1"/>
    <x:col min="3" max="3" width="26.1640625" customWidth="1"/>
    <x:col min="4" max="4" width="20.1640625" customWidth="1"/>
    <x:col min="6" max="6" width="28.6640625" customWidth="1"/>
  </x:cols>
  <x:sheetData>
    <x:row r="1" s="40" customFormat="1" ht="44.5" customHeight="1">
      <x:c r="A1" s="145" t="s">
        <x:v>292</x:v>
      </x:c>
      <x:c r="B1" s="153"/>
      <x:c r="C1" s="153"/>
      <x:c r="D1" s="153"/>
      <x:c r="E1" s="153"/>
      <x:c r="F1" s="154"/>
    </x:row>
    <x:row r="2" ht="14.5" customHeight="1">
      <x:c r="A2" s="16" t="s">
        <x:v>2</x:v>
      </x:c>
      <x:c r="B2" s="6" t="s">
        <x:v>231</x:v>
      </x:c>
      <x:c r="C2" s="16" t="s">
        <x:v>267</x:v>
      </x:c>
      <x:c r="D2" s="16" t="s">
        <x:v>248</x:v>
      </x:c>
      <x:c r="E2" s="16" t="s">
        <x:v>194</x:v>
      </x:c>
      <x:c r="F2" s="16" t="s">
        <x:v>293</x:v>
      </x:c>
    </x:row>
    <x:row r="3">
      <x:c r="A3" s="33" t="str">
        <x:v>&lt;END&gt;</x:v>
      </x:c>
      <x:c r="B3" s="33"/>
      <x:c r="C3" s="33"/>
      <x:c r="D3" s="33"/>
      <x:c r="E3" s="33"/>
      <x:c r="F3" s="33"/>
    </x:row>
    <x:row r="4">
      <x:c r="A4" s="53"/>
      <x:c r="B4" s="53"/>
      <x:c r="C4" s="53"/>
      <x:c r="D4" s="53"/>
      <x:c r="E4" s="53"/>
      <x:c r="F4" s="53"/>
    </x:row>
    <x:row r="5">
      <x:c r="A5" s="53"/>
      <x:c r="B5" s="53"/>
      <x:c r="C5" s="53"/>
      <x:c r="D5" s="53"/>
      <x:c r="E5" s="53"/>
      <x:c r="F5" s="53"/>
    </x:row>
    <x:row r="6">
      <x:c r="A6" s="53"/>
      <x:c r="B6" s="53"/>
      <x:c r="C6" s="53"/>
      <x:c r="D6" s="53"/>
      <x:c r="E6" s="53"/>
      <x:c r="F6" s="53"/>
    </x:row>
    <x:row r="7">
      <x:c r="A7" s="53"/>
      <x:c r="B7" s="53"/>
      <x:c r="C7" s="53"/>
      <x:c r="D7" s="53"/>
      <x:c r="E7" s="53"/>
      <x:c r="F7" s="53"/>
    </x:row>
  </x:sheetData>
  <x:mergeCells>
    <x:mergeCell ref="A1:F1"/>
  </x:mergeCells>
  <x:dataValidations count="1">
    <x:dataValidation allowBlank="1" sqref="B1:E1048576 F1:F2 G1:XFD1048576 A1:A2"/>
  </x:dataValidations>
  <x:pageMargins left="0.7" right="0.7" top="0.75" bottom="0.75" header="0.3" footer="0.3"/>
</x:worksheet>
</file>

<file path=xl/worksheets/sheet31.xml><?xml version="1.0" encoding="utf-8"?>
<x:worksheet xmlns:x="http://schemas.openxmlformats.org/spreadsheetml/2006/main">
  <x:sheetPr>
    <x:tabColor theme="2" tint="-0.24998"/>
  </x:sheetPr>
  <x:sheetFormatPr baseColWidth="10" defaultColWidth="26.6640625" defaultRowHeight="79"/>
  <x:cols>
    <x:col min="4" max="4" width="51.6640625" customWidth="1"/>
  </x:cols>
  <x:sheetData>
    <x:row r="1" ht="64" customHeight="1">
      <x:c r="A1" s="156" t="s">
        <x:v>294</x:v>
      </x:c>
      <x:c r="B1" s="147"/>
      <x:c r="C1" s="147"/>
      <x:c r="D1" s="148"/>
    </x:row>
    <x:row r="2" ht="79" customHeight="1">
      <x:c r="A2" s="16" t="s">
        <x:v>2</x:v>
      </x:c>
      <x:c r="B2" s="6" t="s">
        <x:v>231</x:v>
      </x:c>
      <x:c r="C2" s="16" t="s">
        <x:v>266</x:v>
      </x:c>
      <x:c r="D2" s="16" t="s">
        <x:v>137</x:v>
      </x:c>
    </x:row>
    <x:row r="3" ht="79" customHeight="1">
      <x:c r="A3" s="54" t="str">
        <x:v>&lt;END&gt;</x:v>
      </x:c>
      <x:c r="B3" s="54"/>
      <x:c r="C3" s="54"/>
      <x:c r="D3" s="54"/>
    </x:row>
    <x:row r="4" ht="79" customHeight="1">
      <x:c r="A4" s="54"/>
      <x:c r="B4" s="54"/>
      <x:c r="C4" s="54"/>
      <x:c r="D4" s="54"/>
    </x:row>
    <x:row r="5" ht="93.5" customHeight="1">
      <x:c r="A5" s="54"/>
      <x:c r="B5" s="54"/>
      <x:c r="C5" s="54"/>
      <x:c r="D5" s="54"/>
    </x:row>
  </x:sheetData>
  <x:mergeCells>
    <x:mergeCell ref="A1:D1"/>
  </x:mergeCells>
  <x:dataValidations count="1">
    <x:dataValidation sqref="B1:D5 A1:A2"/>
  </x:dataValidations>
  <x:pageMargins left="0.7" right="0.7" top="0.75" bottom="0.75" header="0.3" footer="0.3"/>
</x:worksheet>
</file>

<file path=xl/worksheets/sheet32.xml><?xml version="1.0" encoding="utf-8"?>
<x:worksheet xmlns:x="http://schemas.openxmlformats.org/spreadsheetml/2006/main">
  <x:sheetPr>
    <x:tabColor theme="2" tint="-0.24998"/>
  </x:sheetPr>
  <x:sheetFormatPr baseColWidth="10" defaultColWidth="8.5" defaultRowHeight="15"/>
  <x:cols>
    <x:col min="1" max="1" width="8.5" customWidth="1"/>
    <x:col min="2" max="2" width="12.5" customWidth="1"/>
    <x:col min="3" max="3" width="10.5" customWidth="1"/>
    <x:col min="4" max="4" width="20.1640625" customWidth="1"/>
    <x:col min="5" max="5" width="15.5" customWidth="1"/>
    <x:col min="6" max="6" width="12.1640625" customWidth="1"/>
    <x:col min="7" max="8" width="12.5" customWidth="1"/>
    <x:col min="9" max="9" width="12" customWidth="1"/>
    <x:col min="10" max="11" width="8.5" customWidth="1"/>
    <x:col min="12" max="12" width="16.1640625" customWidth="1"/>
    <x:col min="13" max="13" width="8.5" customWidth="1"/>
    <x:col min="15" max="20" width="8.5" style="82" customWidth="0"/>
  </x:cols>
  <x:sheetData>
    <x:row r="1" ht="17.25" customHeight="1">
      <x:c r="A1" s="149" t="s">
        <x:v>295</x:v>
      </x:c>
      <x:c r="B1" s="150"/>
      <x:c r="C1" s="150"/>
      <x:c r="D1" s="150"/>
      <x:c r="E1" s="150"/>
      <x:c r="F1" s="150"/>
      <x:c r="G1" s="150"/>
      <x:c r="H1" s="150"/>
      <x:c r="I1" s="150"/>
      <x:c r="J1" s="150"/>
      <x:c r="K1" s="150"/>
      <x:c r="L1" s="150"/>
      <x:c r="M1" s="150"/>
      <x:c r="N1" s="151"/>
    </x:row>
    <x:row r="2" ht="58" customHeight="1">
      <x:c r="A2" s="27" t="s">
        <x:v>2</x:v>
      </x:c>
      <x:c r="B2" s="27" t="s">
        <x:v>20</x:v>
      </x:c>
      <x:c r="C2" s="26" t="s">
        <x:v>296</x:v>
      </x:c>
      <x:c r="D2" s="27" t="s">
        <x:v>144</x:v>
      </x:c>
      <x:c r="E2" s="27" t="s">
        <x:v>297</x:v>
      </x:c>
      <x:c r="F2" s="27" t="s">
        <x:v>91</x:v>
      </x:c>
      <x:c r="G2" s="16" t="s">
        <x:v>235</x:v>
      </x:c>
      <x:c r="H2" s="16" t="s">
        <x:v>146</x:v>
      </x:c>
      <x:c r="I2" s="27" t="s">
        <x:v>298</x:v>
      </x:c>
      <x:c r="J2" s="27" t="s">
        <x:v>270</x:v>
      </x:c>
      <x:c r="K2" s="27" t="s">
        <x:v>248</x:v>
      </x:c>
      <x:c r="L2" s="27" t="s">
        <x:v>299</x:v>
      </x:c>
      <x:c r="M2" s="27" t="s">
        <x:v>272</x:v>
      </x:c>
      <x:c r="N2" s="27" t="s">
        <x:v>6</x:v>
      </x:c>
    </x:row>
    <x:row r="3">
      <x:c r="A3" s="33" t="str">
        <x:v>&lt;END&gt;</x:v>
      </x:c>
      <x:c r="B3" s="33"/>
      <x:c r="C3" s="33"/>
      <x:c r="D3" s="33"/>
      <x:c r="E3" s="33"/>
      <x:c r="F3" s="33"/>
      <x:c r="G3" s="28"/>
      <x:c r="H3" s="28"/>
      <x:c r="I3" s="33"/>
      <x:c r="J3" s="33"/>
      <x:c r="K3" s="33"/>
      <x:c r="L3" s="33"/>
      <x:c r="M3" s="33"/>
      <x:c r="N3" s="33"/>
    </x:row>
    <x:row r="4" ht="64">
      <x:c r="A4" s="54"/>
      <x:c r="B4" s="54"/>
      <x:c r="C4" s="54"/>
      <x:c r="D4" s="54"/>
      <x:c r="E4" s="54"/>
      <x:c r="F4" s="54"/>
      <x:c r="G4" s="54"/>
      <x:c r="H4" s="54"/>
      <x:c r="I4" s="54"/>
      <x:c r="J4" s="54"/>
      <x:c r="K4" s="54"/>
      <x:c r="L4" s="54"/>
      <x:c r="M4" s="54"/>
      <x:c r="N4" s="54"/>
    </x:row>
    <x:row r="5" s="82" customFormat="1" ht="32">
      <x:c r="A5" s="54"/>
      <x:c r="B5" s="54"/>
      <x:c r="C5" s="54"/>
      <x:c r="D5" s="54"/>
      <x:c r="E5" s="54"/>
      <x:c r="F5" s="54"/>
      <x:c r="G5" s="54"/>
      <x:c r="H5" s="54"/>
      <x:c r="I5" s="54"/>
      <x:c r="J5" s="54"/>
      <x:c r="K5" s="54"/>
      <x:c r="L5" s="54"/>
      <x:c r="M5" s="54"/>
      <x:c r="N5" s="54"/>
    </x:row>
    <x:row r="6" s="82" customFormat="1" ht="16">
      <x:c r="A6" s="54"/>
      <x:c r="B6" s="54"/>
      <x:c r="C6" s="54"/>
      <x:c r="D6" s="54"/>
      <x:c r="E6" s="54"/>
      <x:c r="F6" s="54"/>
      <x:c r="G6" s="54"/>
      <x:c r="H6" s="54"/>
      <x:c r="I6" s="54"/>
      <x:c r="J6" s="54"/>
      <x:c r="K6" s="54"/>
      <x:c r="L6" s="54"/>
      <x:c r="M6" s="54"/>
      <x:c r="N6" s="54"/>
    </x:row>
    <x:row r="7" s="82" customFormat="1">
      <x:c r="A7"/>
      <x:c r="B7"/>
      <x:c r="C7"/>
      <x:c r="D7"/>
      <x:c r="E7"/>
      <x:c r="F7"/>
      <x:c r="G7"/>
      <x:c r="H7"/>
      <x:c r="I7"/>
      <x:c r="J7"/>
      <x:c r="K7"/>
      <x:c r="L7"/>
      <x:c r="M7"/>
      <x:c r="N7"/>
    </x:row>
    <x:row r="8" s="82" customFormat="1">
      <x:c r="A8"/>
      <x:c r="B8"/>
      <x:c r="C8"/>
      <x:c r="D8"/>
      <x:c r="E8"/>
      <x:c r="F8"/>
      <x:c r="G8"/>
      <x:c r="H8"/>
      <x:c r="I8"/>
      <x:c r="J8"/>
      <x:c r="K8"/>
      <x:c r="L8"/>
      <x:c r="M8"/>
      <x:c r="N8"/>
    </x:row>
    <x:row r="9" s="82" customFormat="1">
      <x:c r="A9"/>
      <x:c r="B9"/>
      <x:c r="C9"/>
      <x:c r="D9"/>
      <x:c r="E9"/>
      <x:c r="F9"/>
      <x:c r="G9"/>
      <x:c r="H9"/>
      <x:c r="I9"/>
      <x:c r="J9"/>
      <x:c r="K9"/>
      <x:c r="L9"/>
      <x:c r="M9"/>
      <x:c r="N9"/>
    </x:row>
    <x:row r="10" s="82" customFormat="1">
      <x:c r="A10"/>
      <x:c r="B10"/>
      <x:c r="C10"/>
      <x:c r="D10"/>
      <x:c r="E10"/>
      <x:c r="F10"/>
      <x:c r="G10"/>
      <x:c r="H10"/>
      <x:c r="I10"/>
      <x:c r="J10"/>
      <x:c r="K10"/>
      <x:c r="L10"/>
      <x:c r="M10"/>
      <x:c r="N10"/>
    </x:row>
    <x:row r="11" s="82" customFormat="1">
      <x:c r="A11"/>
      <x:c r="B11"/>
      <x:c r="C11"/>
      <x:c r="D11"/>
      <x:c r="E11"/>
      <x:c r="F11"/>
      <x:c r="G11"/>
      <x:c r="H11"/>
      <x:c r="I11"/>
      <x:c r="J11"/>
      <x:c r="K11"/>
      <x:c r="L11"/>
      <x:c r="M11"/>
      <x:c r="N11"/>
    </x:row>
    <x:row r="12" s="82" customFormat="1">
      <x:c r="A12"/>
      <x:c r="B12"/>
      <x:c r="C12"/>
      <x:c r="D12"/>
      <x:c r="E12"/>
      <x:c r="F12"/>
      <x:c r="G12"/>
      <x:c r="H12"/>
      <x:c r="I12"/>
      <x:c r="J12"/>
      <x:c r="K12"/>
      <x:c r="L12"/>
      <x:c r="M12"/>
      <x:c r="N12"/>
    </x:row>
    <x:row r="13" s="82" customFormat="1">
      <x:c r="A13"/>
      <x:c r="B13"/>
      <x:c r="C13"/>
      <x:c r="D13"/>
      <x:c r="E13"/>
      <x:c r="F13"/>
      <x:c r="G13"/>
      <x:c r="H13"/>
      <x:c r="I13"/>
      <x:c r="J13"/>
      <x:c r="K13"/>
      <x:c r="L13"/>
      <x:c r="M13"/>
      <x:c r="N13"/>
    </x:row>
    <x:row r="14" s="82" customFormat="1">
      <x:c r="A14"/>
      <x:c r="B14"/>
      <x:c r="C14"/>
      <x:c r="D14"/>
      <x:c r="E14"/>
      <x:c r="F14"/>
      <x:c r="G14"/>
      <x:c r="H14"/>
      <x:c r="I14"/>
      <x:c r="J14"/>
      <x:c r="K14"/>
      <x:c r="L14"/>
      <x:c r="M14"/>
      <x:c r="N14"/>
    </x:row>
    <x:row r="15" s="82" customFormat="1">
      <x:c r="A15"/>
      <x:c r="B15"/>
      <x:c r="C15"/>
      <x:c r="D15"/>
      <x:c r="E15"/>
      <x:c r="F15"/>
      <x:c r="G15"/>
      <x:c r="H15"/>
      <x:c r="I15"/>
      <x:c r="J15"/>
      <x:c r="K15"/>
      <x:c r="L15"/>
      <x:c r="M15"/>
      <x:c r="N15"/>
    </x:row>
    <x:row r="16" s="82" customFormat="1">
      <x:c r="A16"/>
      <x:c r="B16"/>
      <x:c r="C16"/>
      <x:c r="D16"/>
      <x:c r="E16"/>
      <x:c r="F16"/>
      <x:c r="G16"/>
      <x:c r="H16"/>
      <x:c r="I16"/>
      <x:c r="J16"/>
      <x:c r="K16"/>
      <x:c r="L16"/>
      <x:c r="M16"/>
      <x:c r="N16"/>
    </x:row>
    <x:row r="17" s="82" customFormat="1">
      <x:c r="A17"/>
      <x:c r="B17"/>
      <x:c r="C17"/>
      <x:c r="D17"/>
      <x:c r="E17"/>
      <x:c r="F17"/>
      <x:c r="G17"/>
      <x:c r="H17"/>
      <x:c r="I17"/>
      <x:c r="J17"/>
      <x:c r="K17"/>
      <x:c r="L17"/>
      <x:c r="M17"/>
      <x:c r="N17"/>
    </x:row>
    <x:row r="18" s="82" customFormat="1">
      <x:c r="A18"/>
      <x:c r="B18"/>
      <x:c r="C18"/>
      <x:c r="D18"/>
      <x:c r="E18"/>
      <x:c r="F18"/>
      <x:c r="G18"/>
      <x:c r="H18"/>
      <x:c r="I18"/>
      <x:c r="J18"/>
      <x:c r="K18"/>
      <x:c r="L18"/>
      <x:c r="M18"/>
      <x:c r="N18"/>
    </x:row>
    <x:row r="19" s="82" customFormat="1">
      <x:c r="A19"/>
      <x:c r="B19"/>
      <x:c r="C19"/>
      <x:c r="D19"/>
      <x:c r="E19"/>
      <x:c r="F19"/>
      <x:c r="G19"/>
      <x:c r="H19"/>
      <x:c r="I19"/>
      <x:c r="J19"/>
      <x:c r="K19"/>
      <x:c r="L19"/>
      <x:c r="M19"/>
      <x:c r="N19"/>
    </x:row>
    <x:row r="20" s="82" customFormat="1">
      <x:c r="A20"/>
      <x:c r="B20"/>
      <x:c r="C20"/>
      <x:c r="D20"/>
      <x:c r="E20"/>
      <x:c r="F20"/>
      <x:c r="G20"/>
      <x:c r="H20"/>
      <x:c r="I20"/>
      <x:c r="J20"/>
      <x:c r="K20"/>
      <x:c r="L20"/>
      <x:c r="M20"/>
      <x:c r="N20"/>
    </x:row>
    <x:row r="21" s="82" customFormat="1">
      <x:c r="A21"/>
      <x:c r="B21"/>
      <x:c r="C21"/>
      <x:c r="D21"/>
      <x:c r="E21"/>
      <x:c r="F21"/>
      <x:c r="G21"/>
      <x:c r="H21"/>
      <x:c r="I21"/>
      <x:c r="J21"/>
      <x:c r="K21"/>
      <x:c r="L21"/>
      <x:c r="M21"/>
      <x:c r="N21"/>
    </x:row>
    <x:row r="22" s="82" customFormat="1">
      <x:c r="A22"/>
      <x:c r="B22"/>
      <x:c r="C22"/>
      <x:c r="D22"/>
      <x:c r="E22"/>
      <x:c r="F22"/>
      <x:c r="G22"/>
      <x:c r="H22"/>
      <x:c r="I22"/>
      <x:c r="J22"/>
      <x:c r="K22"/>
      <x:c r="L22"/>
      <x:c r="M22"/>
      <x:c r="N22"/>
    </x:row>
    <x:row r="23" s="82" customFormat="1">
      <x:c r="A23"/>
      <x:c r="B23"/>
      <x:c r="C23"/>
      <x:c r="D23"/>
      <x:c r="E23"/>
      <x:c r="F23"/>
      <x:c r="G23"/>
      <x:c r="H23"/>
      <x:c r="I23"/>
      <x:c r="J23"/>
      <x:c r="K23"/>
      <x:c r="L23"/>
      <x:c r="M23"/>
      <x:c r="N23"/>
    </x:row>
    <x:row r="24" s="82" customFormat="1">
      <x:c r="A24"/>
      <x:c r="B24"/>
      <x:c r="C24"/>
      <x:c r="D24"/>
      <x:c r="E24"/>
      <x:c r="F24"/>
      <x:c r="G24"/>
      <x:c r="H24"/>
      <x:c r="I24"/>
      <x:c r="J24"/>
      <x:c r="K24"/>
      <x:c r="L24"/>
      <x:c r="M24"/>
      <x:c r="N24"/>
    </x:row>
    <x:row r="25" s="82" customFormat="1">
      <x:c r="A25"/>
      <x:c r="B25"/>
      <x:c r="C25"/>
      <x:c r="D25"/>
      <x:c r="E25"/>
      <x:c r="F25"/>
      <x:c r="G25"/>
      <x:c r="H25"/>
      <x:c r="I25"/>
      <x:c r="J25"/>
      <x:c r="K25"/>
      <x:c r="L25"/>
      <x:c r="M25"/>
      <x:c r="N25"/>
    </x:row>
    <x:row r="26" s="82" customFormat="1">
      <x:c r="A26"/>
      <x:c r="B26"/>
      <x:c r="C26"/>
      <x:c r="D26"/>
      <x:c r="E26"/>
      <x:c r="F26"/>
      <x:c r="G26"/>
      <x:c r="H26"/>
      <x:c r="I26"/>
      <x:c r="J26"/>
      <x:c r="K26"/>
      <x:c r="L26"/>
      <x:c r="M26"/>
      <x:c r="N26"/>
    </x:row>
  </x:sheetData>
  <x:mergeCells>
    <x:mergeCell ref="A1:N1"/>
  </x:mergeCells>
  <x:dataValidations count="2">
    <x:dataValidation allowBlank="1" sqref="A1:B2 C1:C1048576 I1:XFD1048576 E1:F1048576 D1:D2"/>
    <x:dataValidation showInputMessage="1" showErrorMessage="1" sqref="G1:H2"/>
  </x:dataValidations>
  <x:pageMargins left="0.7" right="0.7" top="0.75" bottom="0.75" header="0.3" footer="0.3"/>
</x:worksheet>
</file>

<file path=xl/worksheets/sheet33.xml><?xml version="1.0" encoding="utf-8"?>
<x:worksheet xmlns:x="http://schemas.openxmlformats.org/spreadsheetml/2006/main">
  <x:sheetPr>
    <x:tabColor theme="2" tint="-0.24998"/>
  </x:sheetPr>
  <x:sheetFormatPr baseColWidth="10" defaultColWidth="8.5" defaultRowHeight="15"/>
  <x:cols>
    <x:col min="1" max="1" width="8.5" customWidth="1"/>
    <x:col min="2" max="2" width="13.83203125" customWidth="1"/>
    <x:col min="3" max="4" width="10.5" customWidth="1"/>
    <x:col min="5" max="5" width="19.5" customWidth="1"/>
    <x:col min="6" max="6" width="10.5" customWidth="1"/>
    <x:col min="7" max="11" width="12.5" customWidth="1"/>
    <x:col min="12" max="12" width="38.1640625" customWidth="1"/>
    <x:col min="13" max="15" width="8.5" customWidth="1"/>
  </x:cols>
  <x:sheetData>
    <x:row r="1" ht="22" customHeight="1">
      <x:c r="A1" s="149" t="s">
        <x:v>295</x:v>
      </x:c>
      <x:c r="B1" s="150"/>
      <x:c r="C1" s="150"/>
      <x:c r="D1" s="150"/>
      <x:c r="E1" s="150"/>
      <x:c r="F1" s="150"/>
      <x:c r="G1" s="150"/>
      <x:c r="H1" s="150"/>
      <x:c r="I1" s="150"/>
      <x:c r="J1" s="150"/>
      <x:c r="K1" s="150"/>
      <x:c r="L1" s="150"/>
    </x:row>
    <x:row r="2" ht="72.75" customHeight="1">
      <x:c r="A2" s="27" t="s">
        <x:v>2</x:v>
      </x:c>
      <x:c r="B2" s="27" t="s">
        <x:v>20</x:v>
      </x:c>
      <x:c r="C2" s="26" t="s">
        <x:v>296</x:v>
      </x:c>
      <x:c r="D2" s="27" t="s">
        <x:v>248</x:v>
      </x:c>
      <x:c r="E2" s="27" t="s">
        <x:v>300</x:v>
      </x:c>
      <x:c r="F2" s="27" t="s">
        <x:v>301</x:v>
      </x:c>
      <x:c r="G2" s="27" t="s">
        <x:v>302</x:v>
      </x:c>
      <x:c r="H2" s="27" t="s">
        <x:v>8</x:v>
      </x:c>
      <x:c r="I2" s="27" t="s">
        <x:v>252</x:v>
      </x:c>
      <x:c r="J2" s="27" t="s">
        <x:v>253</x:v>
      </x:c>
      <x:c r="K2" s="27" t="s">
        <x:v>254</x:v>
      </x:c>
      <x:c r="L2" s="27" t="s">
        <x:v>249</x:v>
      </x:c>
    </x:row>
    <x:row r="3" ht="29.25" customHeight="1">
      <x:c r="A3" s="33" t="str">
        <x:v>&lt;END&gt;</x:v>
      </x:c>
      <x:c r="B3" s="33"/>
      <x:c r="C3" s="33"/>
      <x:c r="D3" s="33"/>
      <x:c r="E3" s="33"/>
      <x:c r="F3" s="33"/>
      <x:c r="G3" s="33"/>
      <x:c r="H3" s="33"/>
      <x:c r="I3" s="33"/>
      <x:c r="J3" s="33"/>
      <x:c r="K3" s="33"/>
      <x:c r="L3" s="33"/>
    </x:row>
    <x:row r="4" ht="16">
      <x:c r="A4" s="54"/>
      <x:c r="B4" s="54"/>
      <x:c r="C4" s="54"/>
      <x:c r="D4" s="54"/>
      <x:c r="E4" s="54"/>
      <x:c r="F4" s="54"/>
      <x:c r="G4" s="54"/>
      <x:c r="H4" s="54"/>
      <x:c r="I4" s="54"/>
      <x:c r="J4" s="54"/>
      <x:c r="K4" s="54"/>
      <x:c r="L4" s="54"/>
    </x:row>
    <x:row r="5" ht="32">
      <x:c r="A5" s="54"/>
      <x:c r="B5" s="54"/>
      <x:c r="C5" s="54"/>
      <x:c r="D5" s="54"/>
      <x:c r="E5" s="54"/>
      <x:c r="F5" s="54"/>
      <x:c r="G5" s="54"/>
      <x:c r="H5" s="54"/>
      <x:c r="I5" s="54"/>
      <x:c r="J5" s="54"/>
      <x:c r="K5" s="54"/>
      <x:c r="L5" s="54"/>
    </x:row>
    <x:row r="6" ht="16">
      <x:c r="A6" s="54"/>
      <x:c r="B6" s="54"/>
      <x:c r="C6" s="54"/>
      <x:c r="D6" s="54"/>
      <x:c r="E6" s="54"/>
      <x:c r="F6" s="54"/>
      <x:c r="G6" s="54"/>
      <x:c r="H6" s="54"/>
      <x:c r="I6" s="54"/>
      <x:c r="J6" s="54"/>
      <x:c r="K6" s="54"/>
      <x:c r="L6" s="54"/>
    </x:row>
  </x:sheetData>
  <x:mergeCells>
    <x:mergeCell ref="A1:L1"/>
  </x:mergeCells>
  <x:dataValidations count="1">
    <x:dataValidation allowBlank="1" prompt="Select an OCI Region." sqref="C1:XFD1048576 A1:B2"/>
  </x:dataValidations>
  <x:pageMargins left="0.7" right="0.7" top="0.75" bottom="0.75" header="0.3" footer="0.3"/>
</x:worksheet>
</file>

<file path=xl/worksheets/sheet34.xml><?xml version="1.0" encoding="utf-8"?>
<x:worksheet xmlns:x="http://schemas.openxmlformats.org/spreadsheetml/2006/main">
  <x:sheetPr>
    <x:tabColor theme="8" tint="0.59999"/>
  </x:sheetPr>
  <x:sheetFormatPr baseColWidth="10" defaultColWidth="8.83203125" defaultRowHeight="15"/>
  <x:cols>
    <x:col min="2" max="2" width="13.5" customWidth="1"/>
    <x:col min="4" max="4" width="12" customWidth="1"/>
    <x:col min="5" max="5" width="12.6640625" customWidth="1"/>
    <x:col min="7" max="7" width="13.83203125" customWidth="1"/>
    <x:col min="8" max="8" width="17.83203125" customWidth="1"/>
    <x:col min="9" max="9" width="14.33203125" customWidth="1"/>
    <x:col min="10" max="10" width="8.83203125" customWidth="1"/>
    <x:col min="11" max="11" width="11.1640625" customWidth="1"/>
    <x:col min="12" max="12" width="17.1640625" customWidth="1"/>
    <x:col min="13" max="13" width="11" customWidth="1"/>
    <x:col min="14" max="14" width="10.83203125" customWidth="1"/>
    <x:col min="15" max="15" width="14.1640625" customWidth="1"/>
    <x:col min="16" max="16" width="17.83203125" customWidth="1"/>
    <x:col min="18" max="18" width="12" customWidth="1"/>
    <x:col min="20" max="20" width="12" customWidth="1"/>
  </x:cols>
  <x:sheetData>
    <x:row r="1" ht="216" customHeight="1">
      <x:c r="A1" s="145" t="s">
        <x:v>303</x:v>
      </x:c>
      <x:c r="B1" s="145"/>
      <x:c r="C1" s="145"/>
      <x:c r="D1" s="145"/>
      <x:c r="E1" s="145"/>
      <x:c r="F1" s="145"/>
      <x:c r="G1" s="145"/>
      <x:c r="H1" s="145"/>
      <x:c r="I1" s="145"/>
      <x:c r="J1" s="145"/>
      <x:c r="K1" s="145"/>
      <x:c r="L1" s="145"/>
      <x:c r="M1" s="145"/>
      <x:c r="N1" s="145"/>
      <x:c r="O1" s="145"/>
      <x:c r="P1" s="145"/>
      <x:c r="Q1" s="145"/>
      <x:c r="R1" s="145"/>
      <x:c r="S1" s="145"/>
      <x:c r="T1" s="145"/>
    </x:row>
    <x:row r="2" ht="53" customHeight="1">
      <x:c r="A2" s="16" t="s">
        <x:v>2</x:v>
      </x:c>
      <x:c r="B2" s="16" t="s">
        <x:v>20</x:v>
      </x:c>
      <x:c r="C2" s="50" t="s">
        <x:v>304</x:v>
      </x:c>
      <x:c r="D2" s="50" t="s">
        <x:v>305</x:v>
      </x:c>
      <x:c r="E2" s="16" t="s">
        <x:v>144</x:v>
      </x:c>
      <x:c r="F2" s="16" t="s">
        <x:v>306</x:v>
      </x:c>
      <x:c r="G2" s="16" t="s">
        <x:v>307</x:v>
      </x:c>
      <x:c r="H2" s="49" t="s">
        <x:v>308</x:v>
      </x:c>
      <x:c r="I2" s="92" t="s">
        <x:v>309</x:v>
      </x:c>
      <x:c r="J2" s="16" t="s">
        <x:v>310</x:v>
      </x:c>
      <x:c r="K2" s="16" t="s">
        <x:v>311</x:v>
      </x:c>
      <x:c r="L2" s="16" t="s">
        <x:v>312</x:v>
      </x:c>
      <x:c r="M2" s="16" t="s">
        <x:v>313</x:v>
      </x:c>
      <x:c r="N2" s="16" t="s">
        <x:v>314</x:v>
      </x:c>
      <x:c r="O2" s="16" t="s">
        <x:v>315</x:v>
      </x:c>
      <x:c r="P2" s="50" t="s">
        <x:v>316</x:v>
      </x:c>
      <x:c r="Q2" s="49" t="s">
        <x:v>317</x:v>
      </x:c>
      <x:c r="R2" s="49" t="s">
        <x:v>318</x:v>
      </x:c>
      <x:c r="S2" s="49" t="s">
        <x:v>91</x:v>
      </x:c>
      <x:c r="T2" s="16" t="s">
        <x:v>6</x:v>
      </x:c>
    </x:row>
    <x:row r="3">
      <x:c r="A3" s="33" t="str">
        <x:v>&lt;END&gt;</x:v>
      </x:c>
      <x:c r="B3" s="33"/>
      <x:c r="C3" s="33"/>
      <x:c r="D3" s="33"/>
      <x:c r="E3" s="33"/>
      <x:c r="F3" s="33"/>
      <x:c r="G3" s="33"/>
      <x:c r="H3" s="33"/>
      <x:c r="I3" s="33"/>
      <x:c r="J3" s="33"/>
      <x:c r="K3" s="33"/>
      <x:c r="L3" s="33"/>
      <x:c r="M3" s="33"/>
      <x:c r="N3" s="33"/>
      <x:c r="O3" s="33"/>
      <x:c r="P3" s="33"/>
      <x:c r="Q3" s="33"/>
      <x:c r="R3" s="33"/>
      <x:c r="S3" s="33"/>
      <x:c r="T3" s="33"/>
    </x:row>
    <x:row r="4" ht="32">
      <x:c r="A4" s="53"/>
      <x:c r="B4" s="53"/>
      <x:c r="C4" s="53"/>
      <x:c r="D4" s="53"/>
      <x:c r="E4" s="54"/>
      <x:c r="F4" s="53"/>
      <x:c r="G4" s="53"/>
      <x:c r="H4" s="53"/>
      <x:c r="I4" s="89"/>
      <x:c r="J4" s="53"/>
      <x:c r="K4" s="53"/>
      <x:c r="L4" s="53"/>
      <x:c r="M4" s="54"/>
      <x:c r="N4" s="53"/>
      <x:c r="O4" s="54"/>
      <x:c r="P4" s="53"/>
      <x:c r="Q4" s="53"/>
      <x:c r="R4" s="53"/>
      <x:c r="S4" s="53"/>
      <x:c r="T4" s="53"/>
    </x:row>
    <x:row r="5" ht="77" customHeight="1">
      <x:c r="A5" s="54"/>
      <x:c r="B5" s="53"/>
      <x:c r="C5" s="54"/>
      <x:c r="D5" s="54"/>
      <x:c r="E5" s="54"/>
      <x:c r="F5" s="54"/>
      <x:c r="G5" s="54"/>
      <x:c r="H5" s="54"/>
      <x:c r="I5" s="131"/>
      <x:c r="J5" s="54"/>
      <x:c r="K5" s="54"/>
      <x:c r="L5" s="54"/>
      <x:c r="M5" s="54"/>
      <x:c r="N5" s="54"/>
      <x:c r="O5" s="54"/>
      <x:c r="P5" s="54"/>
      <x:c r="Q5" s="54"/>
      <x:c r="R5" s="54"/>
      <x:c r="S5" s="54"/>
      <x:c r="T5" s="54"/>
    </x:row>
    <x:row r="17"/>
    <x:row r="18"/>
    <x:row r="19"/>
    <x:row r="20"/>
    <x:row r="21"/>
    <x:row r="22"/>
    <x:row r="23"/>
    <x:row r="24"/>
    <x:row r="25"/>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sheetData>
  <x:mergeCells>
    <x:mergeCell ref="A1:T1"/>
  </x:mergeCells>
  <x:dataValidations count="1">
    <x:dataValidation allowBlank="1" sqref="O6:O1048576 G4 E3 A1:A2 U1:XFD2 B2:T2 H3 F6:F1048576 I6:J1048576 L4:M4 S3:XFD1048576 I3:J4 F3:F4 O3:R3 C3:C4 C6:C1048576 C5:D5 F5:G5 I5:M5"/>
  </x:dataValidations>
  <x:pageMargins left="0.7" right="0.7" top="0.75" bottom="0.75" header="0.3" footer="0.3"/>
</x:worksheet>
</file>

<file path=xl/worksheets/sheet35.xml><?xml version="1.0" encoding="utf-8"?>
<x:worksheet xmlns:x="http://schemas.openxmlformats.org/spreadsheetml/2006/main">
  <x:sheetPr>
    <x:tabColor theme="8" tint="0.59999"/>
  </x:sheetPr>
  <x:sheetFormatPr baseColWidth="10" defaultColWidth="20.5" defaultRowHeight="15"/>
  <x:cols>
    <x:col min="1" max="1" width="10.1640625" customWidth="1"/>
    <x:col min="2" max="2" width="14" customWidth="1"/>
    <x:col min="3" max="3" width="13.5" customWidth="1"/>
    <x:col min="4" max="4" width="15.5" customWidth="1"/>
    <x:col min="5" max="5" width="15.5" customWidth="1"/>
    <x:col min="6" max="6" width="14.1640625" customWidth="1"/>
    <x:col min="7" max="8" width="11.5" customWidth="1"/>
    <x:col min="9" max="9" width="27.5" customWidth="1"/>
    <x:col min="10" max="11" width="13" customWidth="1"/>
    <x:col min="12" max="12" width="16.5" customWidth="1"/>
    <x:col min="13" max="13" width="14.33203125" customWidth="1"/>
    <x:col min="16" max="16" width="20.5" style="3" customWidth="0"/>
    <x:col min="20" max="20" width="23" customWidth="1"/>
    <x:col min="24" max="24" width="23.1640625" customWidth="1"/>
    <x:col min="25" max="25" width="23.1640625" customWidth="1"/>
    <x:col min="26" max="26" width="14.83203125" customWidth="1"/>
    <x:col min="28" max="28" width="23.1640625" customWidth="1"/>
  </x:cols>
  <x:sheetData>
    <x:row r="1" s="1" customFormat="1" ht="135.75" customHeight="1">
      <x:c r="A1" s="149" t="s">
        <x:v>319</x:v>
      </x:c>
      <x:c r="B1" s="150"/>
      <x:c r="C1" s="150"/>
      <x:c r="D1" s="150"/>
      <x:c r="E1" s="150"/>
      <x:c r="F1" s="150"/>
      <x:c r="G1" s="150"/>
      <x:c r="H1" s="150"/>
      <x:c r="I1" s="150"/>
      <x:c r="J1" s="150"/>
      <x:c r="K1" s="150"/>
      <x:c r="L1" s="150"/>
      <x:c r="M1" s="150"/>
      <x:c r="N1" s="150"/>
      <x:c r="O1" s="150"/>
      <x:c r="P1" s="150"/>
      <x:c r="Q1" s="150"/>
      <x:c r="R1" s="150"/>
      <x:c r="S1" s="150"/>
      <x:c r="T1" s="150"/>
      <x:c r="U1" s="150"/>
      <x:c r="V1" s="150"/>
      <x:c r="W1" s="150"/>
      <x:c r="X1" s="150"/>
      <x:c r="Y1" s="150"/>
      <x:c r="Z1" s="150"/>
      <x:c r="AA1" s="151"/>
    </x:row>
    <x:row r="2" s="48" customFormat="1" ht="48">
      <x:c r="A2" s="49" t="s">
        <x:v>2</x:v>
      </x:c>
      <x:c r="B2" s="49" t="s">
        <x:v>20</x:v>
      </x:c>
      <x:c r="C2" s="49" t="s">
        <x:v>139</x:v>
      </x:c>
      <x:c r="D2" s="16" t="s">
        <x:v>144</x:v>
      </x:c>
      <x:c r="E2" s="50" t="s">
        <x:v>320</x:v>
      </x:c>
      <x:c r="F2" s="49" t="s">
        <x:v>140</x:v>
      </x:c>
      <x:c r="G2" s="49" t="s">
        <x:v>321</x:v>
      </x:c>
      <x:c r="H2" s="49" t="s">
        <x:v>322</x:v>
      </x:c>
      <x:c r="I2" s="49" t="s">
        <x:v>308</x:v>
      </x:c>
      <x:c r="J2" s="49" t="s">
        <x:v>323</x:v>
      </x:c>
      <x:c r="K2" s="65" t="s">
        <x:v>324</x:v>
      </x:c>
      <x:c r="L2" s="49" t="s">
        <x:v>325</x:v>
      </x:c>
      <x:c r="M2" s="50" t="s">
        <x:v>316</x:v>
      </x:c>
      <x:c r="N2" s="49" t="s">
        <x:v>326</x:v>
      </x:c>
      <x:c r="O2" s="49" t="s">
        <x:v>307</x:v>
      </x:c>
      <x:c r="P2" s="49" t="s">
        <x:v>315</x:v>
      </x:c>
      <x:c r="Q2" s="49" t="s">
        <x:v>327</x:v>
      </x:c>
      <x:c r="R2" s="49" t="s">
        <x:v>328</x:v>
      </x:c>
      <x:c r="S2" s="49" t="s">
        <x:v>329</x:v>
      </x:c>
      <x:c r="T2" s="49" t="s">
        <x:v>330</x:v>
      </x:c>
      <x:c r="U2" s="49" t="s">
        <x:v>168</x:v>
      </x:c>
      <x:c r="V2" s="49" t="s">
        <x:v>317</x:v>
      </x:c>
      <x:c r="W2" s="49" t="s">
        <x:v>318</x:v>
      </x:c>
      <x:c r="X2" s="49" t="s">
        <x:v>331</x:v>
      </x:c>
      <x:c r="Y2" s="49" t="s">
        <x:v>332</x:v>
      </x:c>
      <x:c r="Z2" s="49" t="s">
        <x:v>91</x:v>
      </x:c>
      <x:c r="AA2" s="49" t="s">
        <x:v>6</x:v>
      </x:c>
    </x:row>
    <x:row r="3">
      <x:c r="A3" s="33" t="str">
        <x:v>&lt;END&gt;</x:v>
      </x:c>
      <x:c r="B3" s="33"/>
      <x:c r="C3" s="24"/>
      <x:c r="D3" s="32"/>
      <x:c r="E3" s="33"/>
      <x:c r="F3" s="33"/>
      <x:c r="G3" s="43"/>
      <x:c r="H3" s="33"/>
      <x:c r="I3" s="33"/>
      <x:c r="J3" s="33"/>
      <x:c r="K3" s="43"/>
      <x:c r="L3" s="33"/>
      <x:c r="M3" s="33"/>
      <x:c r="N3" s="33"/>
      <x:c r="O3" s="33"/>
      <x:c r="P3" s="38"/>
      <x:c r="Q3" s="33"/>
      <x:c r="R3" s="33"/>
      <x:c r="S3" s="33"/>
      <x:c r="T3" s="33"/>
      <x:c r="U3" s="33"/>
      <x:c r="V3" s="33"/>
      <x:c r="W3" s="33"/>
      <x:c r="X3" s="33"/>
      <x:c r="Y3" s="33"/>
      <x:c r="Z3" s="33"/>
      <x:c r="AA3" s="33"/>
    </x:row>
    <x:row r="4" ht="32">
      <x:c r="A4" s="85"/>
      <x:c r="B4" s="85"/>
      <x:c r="C4" s="85"/>
      <x:c r="D4" s="54"/>
      <x:c r="E4" s="89"/>
      <x:c r="F4" s="90"/>
      <x:c r="G4" s="90"/>
      <x:c r="H4" s="90"/>
      <x:c r="I4" s="90"/>
      <x:c r="J4" s="90"/>
      <x:c r="K4" s="90"/>
      <x:c r="L4" s="90"/>
      <x:c r="M4" s="90"/>
      <x:c r="N4" s="90"/>
      <x:c r="O4" s="90"/>
      <x:c r="P4" s="91"/>
      <x:c r="Q4" s="90"/>
      <x:c r="R4" s="90"/>
      <x:c r="S4" s="90"/>
      <x:c r="T4" s="90"/>
      <x:c r="U4" s="90"/>
      <x:c r="V4" s="53"/>
      <x:c r="W4" s="53"/>
      <x:c r="X4" s="53"/>
      <x:c r="Y4" s="53"/>
      <x:c r="Z4" s="53"/>
      <x:c r="AA4" s="53"/>
    </x:row>
    <x:row r="5" ht="32">
      <x:c r="A5" s="53"/>
      <x:c r="B5" s="85"/>
      <x:c r="C5" s="85"/>
      <x:c r="D5" s="54"/>
      <x:c r="E5" s="89"/>
      <x:c r="F5" s="90"/>
      <x:c r="G5" s="90"/>
      <x:c r="H5" s="90"/>
      <x:c r="I5" s="90"/>
      <x:c r="J5" s="90"/>
      <x:c r="K5" s="90"/>
      <x:c r="L5" s="90"/>
      <x:c r="M5" s="90"/>
      <x:c r="N5" s="90"/>
      <x:c r="O5" s="90"/>
      <x:c r="P5" s="91"/>
      <x:c r="Q5" s="90"/>
      <x:c r="R5" s="90"/>
      <x:c r="S5" s="90"/>
      <x:c r="T5" s="90"/>
      <x:c r="U5" s="90"/>
      <x:c r="V5" s="53"/>
      <x:c r="W5" s="53"/>
      <x:c r="X5" s="53"/>
      <x:c r="Y5" s="53"/>
      <x:c r="Z5" s="53"/>
      <x:c r="AA5" s="53"/>
    </x:row>
    <x:row r="6">
      <x:c r="D6" s="1"/>
    </x:row>
    <x:row r="7">
      <x:c r="D7" s="1"/>
    </x:row>
    <x:row r="8">
      <x:c r="D8" s="1"/>
    </x:row>
    <x:row r="9">
      <x:c r="D9" s="1"/>
    </x:row>
    <x:row r="10">
      <x:c r="D10" s="1"/>
    </x:row>
    <x:row r="11">
      <x:c r="D11" s="1"/>
    </x:row>
    <x:row r="12">
      <x:c r="D12" s="1"/>
    </x:row>
    <x:row r="13">
      <x:c r="D13" s="1"/>
    </x:row>
    <x:row r="14">
      <x:c r="D14" s="1"/>
    </x:row>
    <x:row r="15">
      <x:c r="D15" s="1"/>
    </x:row>
    <x:row r="16">
      <x:c r="D16" s="1"/>
    </x:row>
    <x:row r="17">
      <x:c r="D17" s="1"/>
    </x:row>
    <x:row r="18">
      <x:c r="D18" s="1"/>
    </x:row>
    <x:row r="19">
      <x:c r="D19" s="1"/>
    </x:row>
    <x:row r="20">
      <x:c r="D20" s="1"/>
    </x:row>
    <x:row r="21">
      <x:c r="D21" s="1"/>
    </x:row>
    <x:row r="22">
      <x:c r="D22" s="1"/>
    </x:row>
    <x:row r="23">
      <x:c r="D23" s="1"/>
    </x:row>
    <x:row r="24">
      <x:c r="D24" s="1"/>
    </x:row>
    <x:row r="25">
      <x:c r="D25" s="1"/>
    </x:row>
    <x:row r="26">
      <x:c r="D26" s="1"/>
    </x:row>
    <x:row r="27">
      <x:c r="D27" s="1"/>
    </x:row>
    <x:row r="28">
      <x:c r="D28" s="1"/>
    </x:row>
    <x:row r="29">
      <x:c r="D29" s="1"/>
    </x:row>
    <x:row r="30">
      <x:c r="D30" s="1"/>
    </x:row>
    <x:row r="31">
      <x:c r="D31" s="1"/>
    </x:row>
    <x:row r="32">
      <x:c r="D32" s="1"/>
    </x:row>
    <x:row r="33">
      <x:c r="D33" s="1"/>
    </x:row>
    <x:row r="34">
      <x:c r="D34" s="1"/>
    </x:row>
    <x:row r="35">
      <x:c r="D35" s="1"/>
    </x:row>
    <x:row r="36">
      <x:c r="D36" s="1"/>
    </x:row>
    <x:row r="37">
      <x:c r="D37" s="1"/>
    </x:row>
    <x:row r="38">
      <x:c r="D38" s="1"/>
    </x:row>
    <x:row r="39">
      <x:c r="D39" s="1"/>
    </x:row>
    <x:row r="40">
      <x:c r="D40" s="1"/>
    </x:row>
    <x:row r="41">
      <x:c r="D41" s="1"/>
    </x:row>
    <x:row r="42">
      <x:c r="D42" s="1"/>
    </x:row>
    <x:row r="43">
      <x:c r="D43" s="1"/>
    </x:row>
    <x:row r="44">
      <x:c r="D44" s="1"/>
    </x:row>
    <x:row r="45">
      <x:c r="D45" s="1"/>
    </x:row>
    <x:row r="46">
      <x:c r="D46" s="1"/>
    </x:row>
    <x:row r="47">
      <x:c r="D47" s="1"/>
    </x:row>
    <x:row r="48">
      <x:c r="D48" s="1"/>
    </x:row>
    <x:row r="49">
      <x:c r="D49" s="1"/>
    </x:row>
    <x:row r="50">
      <x:c r="D50" s="1"/>
    </x:row>
    <x:row r="51">
      <x:c r="D51" s="1"/>
    </x:row>
    <x:row r="52">
      <x:c r="D52" s="1"/>
    </x:row>
    <x:row r="53">
      <x:c r="D53" s="1"/>
    </x:row>
    <x:row r="54">
      <x:c r="D54" s="1"/>
    </x:row>
    <x:row r="55">
      <x:c r="D55" s="1"/>
    </x:row>
    <x:row r="56">
      <x:c r="D56" s="1"/>
    </x:row>
    <x:row r="57">
      <x:c r="D57" s="1"/>
    </x:row>
    <x:row r="58">
      <x:c r="D58" s="1"/>
    </x:row>
    <x:row r="59">
      <x:c r="D59" s="1"/>
    </x:row>
    <x:row r="60">
      <x:c r="D60" s="1"/>
    </x:row>
    <x:row r="61">
      <x:c r="D61" s="1"/>
    </x:row>
    <x:row r="62">
      <x:c r="D62" s="1"/>
    </x:row>
    <x:row r="63">
      <x:c r="D63" s="1"/>
    </x:row>
    <x:row r="64">
      <x:c r="D64" s="1"/>
    </x:row>
    <x:row r="65">
      <x:c r="D65" s="1"/>
    </x:row>
    <x:row r="66">
      <x:c r="D66" s="1"/>
    </x:row>
    <x:row r="67">
      <x:c r="D67" s="1"/>
    </x:row>
    <x:row r="68">
      <x:c r="D68" s="1"/>
    </x:row>
    <x:row r="69">
      <x:c r="D69" s="1"/>
    </x:row>
    <x:row r="70">
      <x:c r="D70" s="1"/>
    </x:row>
    <x:row r="71">
      <x:c r="D71" s="1"/>
    </x:row>
    <x:row r="72">
      <x:c r="D72" s="1"/>
    </x:row>
    <x:row r="73">
      <x:c r="D73" s="1"/>
    </x:row>
    <x:row r="74">
      <x:c r="D74" s="1"/>
    </x:row>
    <x:row r="75">
      <x:c r="D75" s="1"/>
    </x:row>
    <x:row r="76">
      <x:c r="D76" s="1"/>
    </x:row>
    <x:row r="77">
      <x:c r="D77" s="1"/>
    </x:row>
    <x:row r="78">
      <x:c r="D78" s="1"/>
    </x:row>
    <x:row r="79">
      <x:c r="D79" s="1"/>
    </x:row>
    <x:row r="80">
      <x:c r="D80" s="1"/>
    </x:row>
    <x:row r="81">
      <x:c r="D81" s="1"/>
    </x:row>
    <x:row r="82">
      <x:c r="D82" s="1"/>
    </x:row>
    <x:row r="83">
      <x:c r="D83" s="1"/>
    </x:row>
    <x:row r="84">
      <x:c r="D84" s="1"/>
    </x:row>
    <x:row r="85">
      <x:c r="D85" s="1"/>
    </x:row>
    <x:row r="86">
      <x:c r="D86" s="1"/>
    </x:row>
    <x:row r="87">
      <x:c r="D87" s="1"/>
    </x:row>
    <x:row r="88">
      <x:c r="D88" s="1"/>
    </x:row>
    <x:row r="89">
      <x:c r="D89" s="1"/>
    </x:row>
    <x:row r="90">
      <x:c r="D90" s="1"/>
    </x:row>
    <x:row r="91">
      <x:c r="D91" s="1"/>
    </x:row>
    <x:row r="92">
      <x:c r="D92" s="1"/>
    </x:row>
    <x:row r="93">
      <x:c r="D93" s="1"/>
    </x:row>
    <x:row r="94">
      <x:c r="D94" s="1"/>
    </x:row>
    <x:row r="95">
      <x:c r="D95" s="1"/>
    </x:row>
    <x:row r="96">
      <x:c r="D96" s="1"/>
    </x:row>
    <x:row r="97">
      <x:c r="D97" s="1"/>
    </x:row>
    <x:row r="98">
      <x:c r="D98" s="1"/>
    </x:row>
    <x:row r="99">
      <x:c r="D99" s="1"/>
    </x:row>
    <x:row r="100">
      <x:c r="D100" s="1"/>
    </x:row>
    <x:row r="101">
      <x:c r="D101" s="1"/>
    </x:row>
    <x:row r="102">
      <x:c r="D102" s="1"/>
    </x:row>
    <x:row r="103">
      <x:c r="D103" s="1"/>
    </x:row>
    <x:row r="104">
      <x:c r="D104" s="1"/>
    </x:row>
    <x:row r="105">
      <x:c r="D105" s="1"/>
    </x:row>
    <x:row r="106">
      <x:c r="D106" s="1"/>
    </x:row>
    <x:row r="107">
      <x:c r="D107" s="1"/>
    </x:row>
    <x:row r="108">
      <x:c r="D108" s="1"/>
    </x:row>
    <x:row r="109">
      <x:c r="D109" s="1"/>
    </x:row>
    <x:row r="110">
      <x:c r="D110" s="1"/>
    </x:row>
    <x:row r="111">
      <x:c r="D111" s="1"/>
    </x:row>
    <x:row r="112">
      <x:c r="D112" s="1"/>
    </x:row>
    <x:row r="113">
      <x:c r="D113" s="1"/>
    </x:row>
    <x:row r="114">
      <x:c r="D114" s="1"/>
    </x:row>
    <x:row r="115">
      <x:c r="D115" s="1"/>
    </x:row>
    <x:row r="116">
      <x:c r="D116" s="1"/>
    </x:row>
    <x:row r="117">
      <x:c r="D117" s="1"/>
    </x:row>
    <x:row r="118">
      <x:c r="D118" s="1"/>
    </x:row>
    <x:row r="119">
      <x:c r="D119" s="1"/>
    </x:row>
    <x:row r="120">
      <x:c r="D120" s="1"/>
    </x:row>
    <x:row r="121">
      <x:c r="D121" s="1"/>
    </x:row>
    <x:row r="122">
      <x:c r="D122" s="1"/>
    </x:row>
    <x:row r="123">
      <x:c r="D123" s="1"/>
    </x:row>
    <x:row r="124">
      <x:c r="D124" s="1"/>
    </x:row>
    <x:row r="125">
      <x:c r="D125" s="1"/>
    </x:row>
    <x:row r="126">
      <x:c r="D126" s="1"/>
    </x:row>
    <x:row r="127">
      <x:c r="D127" s="1"/>
    </x:row>
    <x:row r="128">
      <x:c r="D128" s="1"/>
    </x:row>
    <x:row r="129">
      <x:c r="D129" s="1"/>
    </x:row>
    <x:row r="130">
      <x:c r="D130" s="1"/>
    </x:row>
    <x:row r="131">
      <x:c r="D131" s="1"/>
    </x:row>
    <x:row r="132">
      <x:c r="D132" s="1"/>
    </x:row>
    <x:row r="133">
      <x:c r="D133" s="1"/>
    </x:row>
    <x:row r="134">
      <x:c r="D134" s="1"/>
    </x:row>
    <x:row r="135">
      <x:c r="D135" s="1"/>
    </x:row>
    <x:row r="136">
      <x:c r="D136" s="1"/>
    </x:row>
    <x:row r="137">
      <x:c r="D137" s="1"/>
    </x:row>
    <x:row r="138">
      <x:c r="D138" s="1"/>
    </x:row>
    <x:row r="139">
      <x:c r="D139" s="1"/>
    </x:row>
    <x:row r="140">
      <x:c r="D140" s="1"/>
    </x:row>
    <x:row r="141">
      <x:c r="D141" s="1"/>
    </x:row>
    <x:row r="142">
      <x:c r="D142" s="1"/>
    </x:row>
    <x:row r="143">
      <x:c r="D143" s="1"/>
    </x:row>
    <x:row r="144">
      <x:c r="D144" s="1"/>
    </x:row>
    <x:row r="145">
      <x:c r="D145" s="1"/>
    </x:row>
    <x:row r="146">
      <x:c r="D146" s="1"/>
    </x:row>
    <x:row r="147">
      <x:c r="D147" s="1"/>
    </x:row>
    <x:row r="148">
      <x:c r="D148" s="1"/>
    </x:row>
    <x:row r="149">
      <x:c r="D149" s="1"/>
    </x:row>
    <x:row r="150">
      <x:c r="D150" s="1"/>
    </x:row>
    <x:row r="151">
      <x:c r="D151" s="1"/>
    </x:row>
    <x:row r="152">
      <x:c r="D152" s="1"/>
    </x:row>
    <x:row r="153">
      <x:c r="D153" s="1"/>
    </x:row>
    <x:row r="154">
      <x:c r="D154" s="1"/>
    </x:row>
    <x:row r="155">
      <x:c r="D155" s="1"/>
    </x:row>
    <x:row r="156">
      <x:c r="D156" s="1"/>
    </x:row>
    <x:row r="157">
      <x:c r="D157" s="1"/>
    </x:row>
    <x:row r="158">
      <x:c r="D158" s="1"/>
    </x:row>
    <x:row r="159">
      <x:c r="D159" s="1"/>
    </x:row>
    <x:row r="160">
      <x:c r="D160" s="1"/>
    </x:row>
    <x:row r="161">
      <x:c r="D161" s="1"/>
    </x:row>
    <x:row r="162">
      <x:c r="D162" s="1"/>
    </x:row>
    <x:row r="163">
      <x:c r="D163" s="1"/>
    </x:row>
    <x:row r="164">
      <x:c r="D164" s="1"/>
    </x:row>
    <x:row r="165">
      <x:c r="D165" s="1"/>
    </x:row>
    <x:row r="166">
      <x:c r="D166" s="1"/>
    </x:row>
    <x:row r="167">
      <x:c r="D167" s="1"/>
    </x:row>
    <x:row r="168">
      <x:c r="D168" s="1"/>
    </x:row>
    <x:row r="169">
      <x:c r="D169" s="1"/>
    </x:row>
    <x:row r="170">
      <x:c r="D170" s="1"/>
    </x:row>
    <x:row r="171">
      <x:c r="D171" s="1"/>
    </x:row>
    <x:row r="172">
      <x:c r="D172" s="1"/>
    </x:row>
    <x:row r="173">
      <x:c r="D173" s="1"/>
    </x:row>
    <x:row r="174">
      <x:c r="D174" s="1"/>
    </x:row>
    <x:row r="175">
      <x:c r="D175" s="1"/>
    </x:row>
    <x:row r="176">
      <x:c r="D176" s="1"/>
    </x:row>
    <x:row r="177">
      <x:c r="D177" s="1"/>
    </x:row>
    <x:row r="178">
      <x:c r="D178" s="1"/>
    </x:row>
    <x:row r="179">
      <x:c r="D179" s="1"/>
    </x:row>
    <x:row r="180">
      <x:c r="D180" s="1"/>
    </x:row>
    <x:row r="181">
      <x:c r="D181" s="1"/>
    </x:row>
    <x:row r="182">
      <x:c r="D182" s="1"/>
    </x:row>
    <x:row r="183">
      <x:c r="D183" s="1"/>
    </x:row>
    <x:row r="184">
      <x:c r="D184" s="1"/>
    </x:row>
    <x:row r="185">
      <x:c r="D185" s="1"/>
    </x:row>
    <x:row r="186">
      <x:c r="D186" s="1"/>
    </x:row>
    <x:row r="187">
      <x:c r="D187" s="1"/>
    </x:row>
    <x:row r="188">
      <x:c r="D188" s="1"/>
    </x:row>
    <x:row r="189">
      <x:c r="D189" s="1"/>
    </x:row>
    <x:row r="190">
      <x:c r="D190" s="1"/>
    </x:row>
    <x:row r="191">
      <x:c r="D191" s="1"/>
    </x:row>
    <x:row r="192">
      <x:c r="D192" s="1"/>
    </x:row>
    <x:row r="193">
      <x:c r="D193" s="1"/>
    </x:row>
    <x:row r="194">
      <x:c r="D194" s="1"/>
    </x:row>
    <x:row r="195">
      <x:c r="D195" s="1"/>
    </x:row>
    <x:row r="196">
      <x:c r="D196" s="1"/>
    </x:row>
    <x:row r="197">
      <x:c r="D197" s="1"/>
    </x:row>
    <x:row r="198">
      <x:c r="D198" s="1"/>
    </x:row>
    <x:row r="199">
      <x:c r="D199" s="1"/>
    </x:row>
    <x:row r="200">
      <x:c r="D200" s="1"/>
    </x:row>
    <x:row r="201">
      <x:c r="D201" s="1"/>
    </x:row>
    <x:row r="202">
      <x:c r="D202" s="1"/>
    </x:row>
    <x:row r="203">
      <x:c r="D203" s="1"/>
    </x:row>
    <x:row r="204">
      <x:c r="D204" s="1"/>
    </x:row>
    <x:row r="205">
      <x:c r="D205" s="1"/>
    </x:row>
    <x:row r="206">
      <x:c r="D206" s="1"/>
    </x:row>
    <x:row r="207">
      <x:c r="D207" s="1"/>
    </x:row>
    <x:row r="208">
      <x:c r="D208" s="1"/>
    </x:row>
    <x:row r="209">
      <x:c r="D209" s="1"/>
    </x:row>
    <x:row r="210">
      <x:c r="D210" s="1"/>
    </x:row>
    <x:row r="211">
      <x:c r="D211" s="1"/>
    </x:row>
    <x:row r="212">
      <x:c r="D212" s="1"/>
    </x:row>
    <x:row r="213">
      <x:c r="D213" s="1"/>
    </x:row>
    <x:row r="214">
      <x:c r="D214" s="1"/>
    </x:row>
    <x:row r="215">
      <x:c r="D215" s="1"/>
    </x:row>
    <x:row r="216">
      <x:c r="D216" s="1"/>
    </x:row>
    <x:row r="217">
      <x:c r="D217" s="1"/>
    </x:row>
    <x:row r="218">
      <x:c r="D218" s="1"/>
    </x:row>
    <x:row r="219">
      <x:c r="D219" s="1"/>
    </x:row>
    <x:row r="220">
      <x:c r="D220" s="1"/>
    </x:row>
    <x:row r="221">
      <x:c r="D221" s="1"/>
    </x:row>
    <x:row r="222">
      <x:c r="D222" s="1"/>
    </x:row>
    <x:row r="223">
      <x:c r="D223" s="1"/>
    </x:row>
    <x:row r="224">
      <x:c r="D224" s="1"/>
    </x:row>
    <x:row r="225">
      <x:c r="D225" s="1"/>
    </x:row>
    <x:row r="226">
      <x:c r="D226" s="1"/>
    </x:row>
    <x:row r="227">
      <x:c r="D227" s="1"/>
    </x:row>
    <x:row r="228">
      <x:c r="D228" s="1"/>
    </x:row>
    <x:row r="229">
      <x:c r="D229" s="1"/>
    </x:row>
    <x:row r="230">
      <x:c r="D230" s="1"/>
    </x:row>
    <x:row r="231">
      <x:c r="D231" s="1"/>
    </x:row>
    <x:row r="232">
      <x:c r="D232" s="1"/>
    </x:row>
    <x:row r="233">
      <x:c r="D233" s="1"/>
    </x:row>
    <x:row r="234">
      <x:c r="D234" s="1"/>
    </x:row>
    <x:row r="235">
      <x:c r="D235" s="1"/>
    </x:row>
    <x:row r="236">
      <x:c r="D236" s="1"/>
    </x:row>
    <x:row r="237">
      <x:c r="D237" s="1"/>
    </x:row>
    <x:row r="238">
      <x:c r="D238" s="1"/>
    </x:row>
    <x:row r="239">
      <x:c r="D239" s="1"/>
    </x:row>
    <x:row r="240">
      <x:c r="D240" s="1"/>
    </x:row>
    <x:row r="241">
      <x:c r="D241" s="1"/>
    </x:row>
    <x:row r="242">
      <x:c r="D242" s="1"/>
    </x:row>
    <x:row r="243">
      <x:c r="D243" s="1"/>
    </x:row>
    <x:row r="244">
      <x:c r="D244" s="1"/>
    </x:row>
    <x:row r="245">
      <x:c r="D245" s="1"/>
    </x:row>
    <x:row r="246">
      <x:c r="D246" s="1"/>
    </x:row>
    <x:row r="247">
      <x:c r="D247" s="1"/>
    </x:row>
    <x:row r="248">
      <x:c r="D248" s="1"/>
    </x:row>
    <x:row r="249">
      <x:c r="D249" s="1"/>
    </x:row>
    <x:row r="250">
      <x:c r="D250" s="1"/>
    </x:row>
    <x:row r="251">
      <x:c r="D251" s="1"/>
    </x:row>
    <x:row r="252">
      <x:c r="D252" s="1"/>
    </x:row>
    <x:row r="253">
      <x:c r="D253" s="1"/>
    </x:row>
    <x:row r="254">
      <x:c r="D254" s="1"/>
    </x:row>
    <x:row r="255">
      <x:c r="D255" s="1"/>
    </x:row>
    <x:row r="256">
      <x:c r="D256" s="1"/>
    </x:row>
    <x:row r="257">
      <x:c r="D257" s="1"/>
    </x:row>
    <x:row r="258">
      <x:c r="D258" s="1"/>
    </x:row>
    <x:row r="259">
      <x:c r="D259" s="1"/>
    </x:row>
    <x:row r="260">
      <x:c r="D260" s="1"/>
    </x:row>
    <x:row r="261">
      <x:c r="D261" s="1"/>
    </x:row>
    <x:row r="262">
      <x:c r="D262" s="1"/>
    </x:row>
    <x:row r="263">
      <x:c r="D263" s="1"/>
    </x:row>
    <x:row r="264">
      <x:c r="D264" s="1"/>
    </x:row>
    <x:row r="265">
      <x:c r="D265" s="1"/>
    </x:row>
    <x:row r="266">
      <x:c r="D266" s="1"/>
    </x:row>
    <x:row r="267">
      <x:c r="D267" s="1"/>
    </x:row>
    <x:row r="268">
      <x:c r="D268" s="1"/>
    </x:row>
    <x:row r="269">
      <x:c r="D269" s="1"/>
    </x:row>
    <x:row r="270">
      <x:c r="D270" s="1"/>
    </x:row>
    <x:row r="271">
      <x:c r="D271" s="1"/>
    </x:row>
    <x:row r="272">
      <x:c r="D272" s="1"/>
    </x:row>
    <x:row r="273">
      <x:c r="D273" s="1"/>
    </x:row>
    <x:row r="274">
      <x:c r="D274" s="1"/>
    </x:row>
    <x:row r="275">
      <x:c r="D275" s="1"/>
    </x:row>
    <x:row r="276">
      <x:c r="D276" s="1"/>
    </x:row>
    <x:row r="277">
      <x:c r="D277" s="1"/>
    </x:row>
    <x:row r="278">
      <x:c r="D278" s="1"/>
    </x:row>
    <x:row r="279">
      <x:c r="D279" s="1"/>
    </x:row>
    <x:row r="280">
      <x:c r="D280" s="1"/>
    </x:row>
    <x:row r="281">
      <x:c r="D281" s="1"/>
    </x:row>
    <x:row r="282">
      <x:c r="D282" s="1"/>
    </x:row>
    <x:row r="283">
      <x:c r="D283" s="1"/>
    </x:row>
    <x:row r="284">
      <x:c r="D284" s="1"/>
    </x:row>
    <x:row r="285">
      <x:c r="D285" s="1"/>
    </x:row>
    <x:row r="286">
      <x:c r="D286" s="1"/>
    </x:row>
    <x:row r="287">
      <x:c r="D287" s="1"/>
    </x:row>
    <x:row r="288">
      <x:c r="D288" s="1"/>
    </x:row>
    <x:row r="289">
      <x:c r="D289" s="1"/>
    </x:row>
    <x:row r="290">
      <x:c r="D290" s="1"/>
    </x:row>
    <x:row r="291">
      <x:c r="D291" s="1"/>
    </x:row>
    <x:row r="292">
      <x:c r="D292" s="1"/>
    </x:row>
    <x:row r="293">
      <x:c r="D293" s="1"/>
    </x:row>
    <x:row r="294">
      <x:c r="D294" s="1"/>
    </x:row>
    <x:row r="295">
      <x:c r="D295" s="1"/>
    </x:row>
    <x:row r="296">
      <x:c r="D296" s="1"/>
    </x:row>
    <x:row r="297">
      <x:c r="D297" s="1"/>
    </x:row>
    <x:row r="298">
      <x:c r="D298" s="1"/>
    </x:row>
    <x:row r="299">
      <x:c r="D299" s="1"/>
    </x:row>
    <x:row r="300">
      <x:c r="D300" s="1"/>
    </x:row>
    <x:row r="301">
      <x:c r="D301" s="1"/>
    </x:row>
    <x:row r="302">
      <x:c r="D302" s="1"/>
    </x:row>
    <x:row r="303">
      <x:c r="D303" s="1"/>
    </x:row>
    <x:row r="304">
      <x:c r="D304" s="1"/>
    </x:row>
    <x:row r="305">
      <x:c r="D305" s="1"/>
    </x:row>
    <x:row r="306">
      <x:c r="D306" s="1"/>
    </x:row>
    <x:row r="307">
      <x:c r="D307" s="1"/>
    </x:row>
    <x:row r="308">
      <x:c r="D308" s="1"/>
    </x:row>
    <x:row r="309">
      <x:c r="D309" s="1"/>
    </x:row>
    <x:row r="310">
      <x:c r="D310" s="1"/>
    </x:row>
    <x:row r="311">
      <x:c r="D311" s="1"/>
    </x:row>
    <x:row r="312">
      <x:c r="D312" s="1"/>
    </x:row>
    <x:row r="313">
      <x:c r="D313" s="1"/>
    </x:row>
    <x:row r="314">
      <x:c r="D314" s="1"/>
    </x:row>
    <x:row r="315">
      <x:c r="D315" s="1"/>
    </x:row>
    <x:row r="316">
      <x:c r="D316" s="1"/>
    </x:row>
    <x:row r="317">
      <x:c r="D317" s="1"/>
    </x:row>
    <x:row r="318">
      <x:c r="D318" s="1"/>
    </x:row>
    <x:row r="319">
      <x:c r="D319" s="1"/>
    </x:row>
    <x:row r="320">
      <x:c r="D320" s="1"/>
    </x:row>
    <x:row r="321">
      <x:c r="D321" s="1"/>
    </x:row>
    <x:row r="322">
      <x:c r="D322" s="1"/>
    </x:row>
    <x:row r="323">
      <x:c r="D323" s="1"/>
    </x:row>
    <x:row r="324">
      <x:c r="D324" s="1"/>
    </x:row>
    <x:row r="325">
      <x:c r="D325" s="1"/>
    </x:row>
    <x:row r="326">
      <x:c r="D326" s="1"/>
    </x:row>
    <x:row r="327">
      <x:c r="D327" s="1"/>
    </x:row>
    <x:row r="328">
      <x:c r="D328" s="1"/>
    </x:row>
    <x:row r="329">
      <x:c r="D329" s="1"/>
    </x:row>
    <x:row r="330">
      <x:c r="D330" s="1"/>
    </x:row>
    <x:row r="331">
      <x:c r="D331" s="1"/>
    </x:row>
    <x:row r="332">
      <x:c r="D332" s="1"/>
    </x:row>
    <x:row r="333">
      <x:c r="D333" s="1"/>
    </x:row>
    <x:row r="334">
      <x:c r="D334" s="1"/>
    </x:row>
    <x:row r="335">
      <x:c r="D335" s="1"/>
    </x:row>
    <x:row r="336">
      <x:c r="D336" s="1"/>
    </x:row>
    <x:row r="337">
      <x:c r="D337" s="1"/>
    </x:row>
    <x:row r="338">
      <x:c r="D338" s="1"/>
    </x:row>
    <x:row r="339">
      <x:c r="D339" s="1"/>
    </x:row>
    <x:row r="340">
      <x:c r="D340" s="1"/>
    </x:row>
    <x:row r="341">
      <x:c r="D341" s="1"/>
    </x:row>
    <x:row r="342">
      <x:c r="D342" s="1"/>
    </x:row>
    <x:row r="343">
      <x:c r="D343" s="1"/>
    </x:row>
    <x:row r="344">
      <x:c r="D344" s="1"/>
    </x:row>
    <x:row r="345">
      <x:c r="D345" s="1"/>
    </x:row>
    <x:row r="346">
      <x:c r="D346" s="1"/>
    </x:row>
    <x:row r="347">
      <x:c r="D347" s="1"/>
    </x:row>
    <x:row r="348">
      <x:c r="D348" s="1"/>
    </x:row>
    <x:row r="349">
      <x:c r="D349" s="1"/>
    </x:row>
    <x:row r="350">
      <x:c r="D350" s="1"/>
    </x:row>
    <x:row r="351">
      <x:c r="D351" s="1"/>
    </x:row>
    <x:row r="352">
      <x:c r="D352" s="1"/>
    </x:row>
    <x:row r="353">
      <x:c r="D353" s="1"/>
    </x:row>
    <x:row r="354">
      <x:c r="D354" s="1"/>
    </x:row>
    <x:row r="355">
      <x:c r="D355" s="1"/>
    </x:row>
    <x:row r="356">
      <x:c r="D356" s="1"/>
    </x:row>
    <x:row r="357">
      <x:c r="D357" s="1"/>
    </x:row>
    <x:row r="358">
      <x:c r="D358" s="1"/>
    </x:row>
    <x:row r="359">
      <x:c r="D359" s="1"/>
    </x:row>
    <x:row r="360">
      <x:c r="D360" s="1"/>
    </x:row>
    <x:row r="361">
      <x:c r="D361" s="1"/>
    </x:row>
    <x:row r="362">
      <x:c r="D362" s="1"/>
    </x:row>
    <x:row r="363">
      <x:c r="D363" s="1"/>
    </x:row>
    <x:row r="364">
      <x:c r="D364" s="1"/>
    </x:row>
    <x:row r="365">
      <x:c r="D365" s="1"/>
    </x:row>
    <x:row r="366">
      <x:c r="D366" s="1"/>
    </x:row>
    <x:row r="367">
      <x:c r="D367" s="1"/>
    </x:row>
    <x:row r="368">
      <x:c r="D368" s="1"/>
    </x:row>
    <x:row r="369">
      <x:c r="D369" s="1"/>
    </x:row>
    <x:row r="370">
      <x:c r="D370" s="1"/>
    </x:row>
    <x:row r="371">
      <x:c r="D371" s="1"/>
    </x:row>
    <x:row r="372">
      <x:c r="D372" s="1"/>
    </x:row>
    <x:row r="373">
      <x:c r="D373" s="1"/>
    </x:row>
    <x:row r="374">
      <x:c r="D374" s="1"/>
    </x:row>
    <x:row r="375">
      <x:c r="D375" s="1"/>
    </x:row>
    <x:row r="376">
      <x:c r="D376" s="1"/>
    </x:row>
    <x:row r="377">
      <x:c r="D377" s="1"/>
    </x:row>
    <x:row r="378">
      <x:c r="D378" s="1"/>
    </x:row>
    <x:row r="379">
      <x:c r="D379" s="1"/>
    </x:row>
    <x:row r="380">
      <x:c r="D380" s="1"/>
    </x:row>
    <x:row r="381">
      <x:c r="D381" s="1"/>
    </x:row>
    <x:row r="382">
      <x:c r="D382" s="1"/>
    </x:row>
    <x:row r="383">
      <x:c r="D383" s="1"/>
    </x:row>
    <x:row r="384">
      <x:c r="D384" s="1"/>
    </x:row>
    <x:row r="385">
      <x:c r="D385" s="1"/>
    </x:row>
    <x:row r="386">
      <x:c r="D386" s="1"/>
    </x:row>
    <x:row r="387">
      <x:c r="D387" s="1"/>
    </x:row>
    <x:row r="388">
      <x:c r="D388" s="1"/>
    </x:row>
    <x:row r="389">
      <x:c r="D389" s="1"/>
    </x:row>
    <x:row r="390">
      <x:c r="D390" s="1"/>
    </x:row>
    <x:row r="391">
      <x:c r="D391" s="1"/>
    </x:row>
    <x:row r="392">
      <x:c r="D392" s="1"/>
    </x:row>
    <x:row r="393">
      <x:c r="D393" s="1"/>
    </x:row>
    <x:row r="394">
      <x:c r="D394" s="1"/>
    </x:row>
    <x:row r="395">
      <x:c r="D395" s="1"/>
    </x:row>
    <x:row r="396">
      <x:c r="D396" s="1"/>
    </x:row>
    <x:row r="397">
      <x:c r="D397" s="1"/>
    </x:row>
    <x:row r="398">
      <x:c r="D398" s="1"/>
    </x:row>
    <x:row r="399">
      <x:c r="D399" s="1"/>
    </x:row>
    <x:row r="400">
      <x:c r="D400" s="1"/>
    </x:row>
    <x:row r="401">
      <x:c r="D401" s="1"/>
    </x:row>
    <x:row r="402">
      <x:c r="D402" s="1"/>
    </x:row>
    <x:row r="403">
      <x:c r="D403" s="1"/>
    </x:row>
    <x:row r="404">
      <x:c r="D404" s="1"/>
    </x:row>
    <x:row r="405">
      <x:c r="D405" s="1"/>
    </x:row>
    <x:row r="406">
      <x:c r="D406" s="1"/>
    </x:row>
    <x:row r="407">
      <x:c r="D407" s="1"/>
    </x:row>
    <x:row r="408">
      <x:c r="D408" s="1"/>
    </x:row>
    <x:row r="409">
      <x:c r="D409" s="1"/>
    </x:row>
    <x:row r="410">
      <x:c r="D410" s="1"/>
    </x:row>
    <x:row r="411">
      <x:c r="D411" s="1"/>
    </x:row>
    <x:row r="412">
      <x:c r="D412" s="1"/>
    </x:row>
    <x:row r="413">
      <x:c r="D413" s="1"/>
    </x:row>
    <x:row r="414">
      <x:c r="D414" s="1"/>
    </x:row>
    <x:row r="415">
      <x:c r="D415" s="1"/>
    </x:row>
    <x:row r="416">
      <x:c r="D416" s="1"/>
    </x:row>
    <x:row r="417">
      <x:c r="D417" s="1"/>
    </x:row>
    <x:row r="418">
      <x:c r="D418" s="1"/>
    </x:row>
    <x:row r="419">
      <x:c r="D419" s="1"/>
    </x:row>
    <x:row r="420">
      <x:c r="D420" s="1"/>
    </x:row>
    <x:row r="421">
      <x:c r="D421" s="1"/>
    </x:row>
    <x:row r="422">
      <x:c r="D422" s="1"/>
    </x:row>
    <x:row r="423">
      <x:c r="D423" s="1"/>
    </x:row>
    <x:row r="424">
      <x:c r="D424" s="1"/>
    </x:row>
    <x:row r="425">
      <x:c r="D425" s="1"/>
    </x:row>
    <x:row r="426">
      <x:c r="D426" s="1"/>
    </x:row>
    <x:row r="427">
      <x:c r="D427" s="1"/>
    </x:row>
    <x:row r="428">
      <x:c r="D428" s="1"/>
    </x:row>
    <x:row r="429">
      <x:c r="D429" s="1"/>
    </x:row>
    <x:row r="430">
      <x:c r="D430" s="1"/>
    </x:row>
    <x:row r="431">
      <x:c r="D431" s="1"/>
    </x:row>
    <x:row r="432">
      <x:c r="D432" s="1"/>
    </x:row>
    <x:row r="433">
      <x:c r="D433" s="1"/>
    </x:row>
    <x:row r="434">
      <x:c r="D434" s="1"/>
    </x:row>
    <x:row r="435">
      <x:c r="D435" s="1"/>
    </x:row>
    <x:row r="436">
      <x:c r="D436" s="1"/>
    </x:row>
    <x:row r="437">
      <x:c r="D437" s="1"/>
    </x:row>
    <x:row r="438">
      <x:c r="D438" s="1"/>
    </x:row>
    <x:row r="439">
      <x:c r="D439" s="1"/>
    </x:row>
    <x:row r="440">
      <x:c r="D440" s="1"/>
    </x:row>
    <x:row r="441">
      <x:c r="D441" s="1"/>
    </x:row>
    <x:row r="442">
      <x:c r="D442" s="1"/>
    </x:row>
    <x:row r="443">
      <x:c r="D443" s="1"/>
    </x:row>
    <x:row r="444">
      <x:c r="D444" s="1"/>
    </x:row>
    <x:row r="445">
      <x:c r="D445" s="1"/>
    </x:row>
    <x:row r="446">
      <x:c r="D446" s="1"/>
    </x:row>
    <x:row r="447">
      <x:c r="D447" s="1"/>
    </x:row>
    <x:row r="448">
      <x:c r="D448" s="1"/>
    </x:row>
    <x:row r="449">
      <x:c r="D449" s="1"/>
    </x:row>
    <x:row r="450">
      <x:c r="D450" s="1"/>
    </x:row>
    <x:row r="451">
      <x:c r="D451" s="1"/>
    </x:row>
    <x:row r="452">
      <x:c r="D452" s="1"/>
    </x:row>
    <x:row r="453">
      <x:c r="D453" s="1"/>
    </x:row>
    <x:row r="454">
      <x:c r="D454" s="1"/>
    </x:row>
    <x:row r="455">
      <x:c r="D455" s="1"/>
    </x:row>
    <x:row r="456">
      <x:c r="D456" s="1"/>
    </x:row>
    <x:row r="457">
      <x:c r="D457" s="1"/>
    </x:row>
    <x:row r="458">
      <x:c r="D458" s="1"/>
    </x:row>
    <x:row r="459">
      <x:c r="D459" s="1"/>
    </x:row>
    <x:row r="460">
      <x:c r="D460" s="1"/>
    </x:row>
    <x:row r="461">
      <x:c r="D461" s="1"/>
    </x:row>
    <x:row r="462">
      <x:c r="D462" s="1"/>
    </x:row>
    <x:row r="463">
      <x:c r="D463" s="1"/>
    </x:row>
    <x:row r="464">
      <x:c r="D464" s="1"/>
    </x:row>
    <x:row r="465">
      <x:c r="D465" s="1"/>
    </x:row>
    <x:row r="466">
      <x:c r="D466" s="1"/>
    </x:row>
    <x:row r="467">
      <x:c r="D467" s="1"/>
    </x:row>
    <x:row r="468">
      <x:c r="D468" s="1"/>
    </x:row>
    <x:row r="469">
      <x:c r="D469" s="1"/>
    </x:row>
    <x:row r="470">
      <x:c r="D470" s="1"/>
    </x:row>
    <x:row r="471">
      <x:c r="D471" s="1"/>
    </x:row>
    <x:row r="472">
      <x:c r="D472" s="1"/>
    </x:row>
    <x:row r="473">
      <x:c r="D473" s="1"/>
    </x:row>
    <x:row r="474">
      <x:c r="D474" s="1"/>
    </x:row>
    <x:row r="475">
      <x:c r="D475" s="1"/>
    </x:row>
    <x:row r="476">
      <x:c r="D476" s="1"/>
    </x:row>
    <x:row r="477">
      <x:c r="D477" s="1"/>
    </x:row>
    <x:row r="478">
      <x:c r="D478" s="1"/>
    </x:row>
    <x:row r="479">
      <x:c r="D479" s="1"/>
    </x:row>
    <x:row r="480">
      <x:c r="D480" s="1"/>
    </x:row>
    <x:row r="481">
      <x:c r="D481" s="1"/>
    </x:row>
    <x:row r="482">
      <x:c r="D482" s="1"/>
    </x:row>
    <x:row r="483">
      <x:c r="D483" s="1"/>
    </x:row>
    <x:row r="484">
      <x:c r="D484" s="1"/>
    </x:row>
    <x:row r="485">
      <x:c r="D485" s="1"/>
    </x:row>
    <x:row r="486">
      <x:c r="D486" s="1"/>
    </x:row>
    <x:row r="487">
      <x:c r="D487" s="1"/>
    </x:row>
    <x:row r="488">
      <x:c r="D488" s="1"/>
    </x:row>
    <x:row r="489">
      <x:c r="D489" s="1"/>
    </x:row>
    <x:row r="490">
      <x:c r="D490" s="1"/>
    </x:row>
    <x:row r="491">
      <x:c r="D491" s="1"/>
    </x:row>
    <x:row r="492">
      <x:c r="D492" s="1"/>
    </x:row>
    <x:row r="493">
      <x:c r="D493" s="1"/>
    </x:row>
    <x:row r="494">
      <x:c r="D494" s="1"/>
    </x:row>
    <x:row r="495">
      <x:c r="D495" s="1"/>
    </x:row>
    <x:row r="496">
      <x:c r="D496" s="1"/>
    </x:row>
    <x:row r="497">
      <x:c r="D497" s="1"/>
    </x:row>
    <x:row r="498">
      <x:c r="D498" s="1"/>
    </x:row>
    <x:row r="499">
      <x:c r="D499" s="1"/>
    </x:row>
    <x:row r="500">
      <x:c r="D500" s="1"/>
    </x:row>
    <x:row r="501">
      <x:c r="D501" s="1"/>
    </x:row>
    <x:row r="502">
      <x:c r="D502" s="1"/>
    </x:row>
    <x:row r="503">
      <x:c r="D503" s="1"/>
    </x:row>
    <x:row r="504">
      <x:c r="D504" s="1"/>
    </x:row>
    <x:row r="505">
      <x:c r="D505" s="1"/>
    </x:row>
    <x:row r="506">
      <x:c r="D506" s="1"/>
    </x:row>
    <x:row r="507">
      <x:c r="D507" s="1"/>
    </x:row>
    <x:row r="508">
      <x:c r="D508" s="1"/>
    </x:row>
    <x:row r="509">
      <x:c r="D509" s="1"/>
    </x:row>
    <x:row r="510">
      <x:c r="D510" s="1"/>
    </x:row>
    <x:row r="511">
      <x:c r="D511" s="1"/>
    </x:row>
    <x:row r="512">
      <x:c r="D512" s="1"/>
    </x:row>
    <x:row r="513">
      <x:c r="D513" s="1"/>
    </x:row>
    <x:row r="514">
      <x:c r="D514" s="1"/>
    </x:row>
    <x:row r="515">
      <x:c r="D515" s="1"/>
    </x:row>
    <x:row r="516">
      <x:c r="D516" s="1"/>
    </x:row>
    <x:row r="517">
      <x:c r="D517" s="1"/>
    </x:row>
    <x:row r="518">
      <x:c r="D518" s="1"/>
    </x:row>
    <x:row r="519">
      <x:c r="D519" s="1"/>
    </x:row>
    <x:row r="520">
      <x:c r="D520" s="1"/>
    </x:row>
    <x:row r="521">
      <x:c r="D521" s="1"/>
    </x:row>
    <x:row r="522">
      <x:c r="D522" s="1"/>
    </x:row>
    <x:row r="523">
      <x:c r="D523" s="1"/>
    </x:row>
    <x:row r="524">
      <x:c r="D524" s="1"/>
    </x:row>
    <x:row r="525">
      <x:c r="D525" s="1"/>
    </x:row>
    <x:row r="526">
      <x:c r="D526" s="1"/>
    </x:row>
    <x:row r="527">
      <x:c r="D527" s="1"/>
    </x:row>
    <x:row r="528">
      <x:c r="D528" s="1"/>
    </x:row>
    <x:row r="529">
      <x:c r="D529" s="1"/>
    </x:row>
    <x:row r="530">
      <x:c r="D530" s="1"/>
    </x:row>
    <x:row r="531">
      <x:c r="D531" s="1"/>
    </x:row>
    <x:row r="532">
      <x:c r="D532" s="1"/>
    </x:row>
    <x:row r="533">
      <x:c r="D533" s="1"/>
    </x:row>
    <x:row r="534">
      <x:c r="D534" s="1"/>
    </x:row>
    <x:row r="535">
      <x:c r="D535" s="1"/>
    </x:row>
    <x:row r="536">
      <x:c r="D536" s="1"/>
    </x:row>
    <x:row r="537">
      <x:c r="D537" s="1"/>
    </x:row>
    <x:row r="538">
      <x:c r="D538" s="1"/>
    </x:row>
    <x:row r="539">
      <x:c r="D539" s="1"/>
    </x:row>
    <x:row r="540">
      <x:c r="D540" s="1"/>
    </x:row>
    <x:row r="541">
      <x:c r="D541" s="1"/>
    </x:row>
    <x:row r="542">
      <x:c r="D542" s="1"/>
    </x:row>
    <x:row r="543">
      <x:c r="D543" s="1"/>
    </x:row>
    <x:row r="544">
      <x:c r="D544" s="1"/>
    </x:row>
    <x:row r="545">
      <x:c r="D545" s="1"/>
    </x:row>
    <x:row r="546">
      <x:c r="D546" s="1"/>
    </x:row>
    <x:row r="547">
      <x:c r="D547" s="1"/>
    </x:row>
    <x:row r="548">
      <x:c r="D548" s="1"/>
    </x:row>
    <x:row r="549">
      <x:c r="D549" s="1"/>
    </x:row>
    <x:row r="550">
      <x:c r="D550" s="1"/>
    </x:row>
    <x:row r="551">
      <x:c r="D551" s="1"/>
    </x:row>
    <x:row r="552">
      <x:c r="D552" s="1"/>
    </x:row>
    <x:row r="553">
      <x:c r="D553" s="1"/>
    </x:row>
    <x:row r="554">
      <x:c r="D554" s="1"/>
    </x:row>
    <x:row r="555">
      <x:c r="D555" s="1"/>
    </x:row>
    <x:row r="556">
      <x:c r="D556" s="1"/>
    </x:row>
    <x:row r="557">
      <x:c r="D557" s="1"/>
    </x:row>
    <x:row r="558">
      <x:c r="D558" s="1"/>
    </x:row>
    <x:row r="559">
      <x:c r="D559" s="1"/>
    </x:row>
    <x:row r="560">
      <x:c r="D560" s="1"/>
    </x:row>
    <x:row r="561">
      <x:c r="D561" s="1"/>
    </x:row>
    <x:row r="562">
      <x:c r="D562" s="1"/>
    </x:row>
    <x:row r="563">
      <x:c r="D563" s="1"/>
    </x:row>
    <x:row r="564">
      <x:c r="D564" s="1"/>
    </x:row>
    <x:row r="565">
      <x:c r="D565" s="1"/>
    </x:row>
    <x:row r="566">
      <x:c r="D566" s="1"/>
    </x:row>
    <x:row r="567">
      <x:c r="D567" s="1"/>
    </x:row>
    <x:row r="568">
      <x:c r="D568" s="1"/>
    </x:row>
    <x:row r="569">
      <x:c r="D569" s="1"/>
    </x:row>
    <x:row r="570">
      <x:c r="D570" s="1"/>
    </x:row>
    <x:row r="571">
      <x:c r="D571" s="1"/>
    </x:row>
    <x:row r="572">
      <x:c r="D572" s="1"/>
    </x:row>
    <x:row r="573">
      <x:c r="D573" s="1"/>
    </x:row>
    <x:row r="574">
      <x:c r="D574" s="1"/>
    </x:row>
    <x:row r="575">
      <x:c r="D575" s="1"/>
    </x:row>
    <x:row r="576">
      <x:c r="D576" s="1"/>
    </x:row>
    <x:row r="577">
      <x:c r="D577" s="1"/>
    </x:row>
    <x:row r="578">
      <x:c r="D578" s="1"/>
    </x:row>
    <x:row r="579">
      <x:c r="D579" s="1"/>
    </x:row>
    <x:row r="580">
      <x:c r="D580" s="1"/>
    </x:row>
    <x:row r="581">
      <x:c r="D581" s="1"/>
    </x:row>
    <x:row r="582">
      <x:c r="D582" s="1"/>
    </x:row>
    <x:row r="583">
      <x:c r="D583" s="1"/>
    </x:row>
    <x:row r="584">
      <x:c r="D584" s="1"/>
    </x:row>
    <x:row r="585">
      <x:c r="D585" s="1"/>
    </x:row>
    <x:row r="586">
      <x:c r="D586" s="1"/>
    </x:row>
    <x:row r="587">
      <x:c r="D587" s="1"/>
    </x:row>
    <x:row r="588">
      <x:c r="D588" s="1"/>
    </x:row>
    <x:row r="589">
      <x:c r="D589" s="1"/>
    </x:row>
    <x:row r="590">
      <x:c r="D590" s="1"/>
    </x:row>
    <x:row r="591">
      <x:c r="D591" s="1"/>
    </x:row>
    <x:row r="592">
      <x:c r="D592" s="1"/>
    </x:row>
    <x:row r="593">
      <x:c r="D593" s="1"/>
    </x:row>
    <x:row r="594">
      <x:c r="D594" s="1"/>
    </x:row>
    <x:row r="595">
      <x:c r="D595" s="1"/>
    </x:row>
    <x:row r="596">
      <x:c r="D596" s="1"/>
    </x:row>
    <x:row r="597">
      <x:c r="D597" s="1"/>
    </x:row>
    <x:row r="598">
      <x:c r="D598" s="1"/>
    </x:row>
    <x:row r="599">
      <x:c r="D599" s="1"/>
    </x:row>
    <x:row r="600">
      <x:c r="D600" s="1"/>
    </x:row>
    <x:row r="601">
      <x:c r="D601" s="1"/>
    </x:row>
    <x:row r="602">
      <x:c r="D602" s="1"/>
    </x:row>
    <x:row r="603">
      <x:c r="D603" s="1"/>
    </x:row>
    <x:row r="604">
      <x:c r="D604" s="1"/>
    </x:row>
    <x:row r="605">
      <x:c r="D605" s="1"/>
    </x:row>
    <x:row r="606">
      <x:c r="D606" s="1"/>
    </x:row>
    <x:row r="607">
      <x:c r="D607" s="1"/>
    </x:row>
    <x:row r="608">
      <x:c r="D608" s="1"/>
    </x:row>
    <x:row r="609">
      <x:c r="D609" s="1"/>
    </x:row>
    <x:row r="610">
      <x:c r="D610" s="1"/>
    </x:row>
    <x:row r="611">
      <x:c r="D611" s="1"/>
    </x:row>
    <x:row r="612">
      <x:c r="D612" s="1"/>
    </x:row>
    <x:row r="613">
      <x:c r="D613" s="1"/>
    </x:row>
    <x:row r="614">
      <x:c r="D614" s="1"/>
    </x:row>
    <x:row r="615">
      <x:c r="D615" s="1"/>
    </x:row>
    <x:row r="616">
      <x:c r="D616" s="1"/>
    </x:row>
    <x:row r="617">
      <x:c r="D617" s="1"/>
    </x:row>
    <x:row r="618">
      <x:c r="D618" s="1"/>
    </x:row>
    <x:row r="619">
      <x:c r="D619" s="1"/>
    </x:row>
    <x:row r="620">
      <x:c r="D620" s="1"/>
    </x:row>
    <x:row r="621">
      <x:c r="D621" s="1"/>
    </x:row>
    <x:row r="622">
      <x:c r="D622" s="1"/>
    </x:row>
    <x:row r="623">
      <x:c r="D623" s="1"/>
    </x:row>
    <x:row r="624">
      <x:c r="D624" s="1"/>
    </x:row>
    <x:row r="625">
      <x:c r="D625" s="1"/>
    </x:row>
    <x:row r="626">
      <x:c r="D626" s="1"/>
    </x:row>
    <x:row r="627">
      <x:c r="D627" s="1"/>
    </x:row>
    <x:row r="628">
      <x:c r="D628" s="1"/>
    </x:row>
    <x:row r="629">
      <x:c r="D629" s="1"/>
    </x:row>
    <x:row r="630">
      <x:c r="D630" s="1"/>
    </x:row>
    <x:row r="631">
      <x:c r="D631" s="1"/>
    </x:row>
    <x:row r="632">
      <x:c r="D632" s="1"/>
    </x:row>
    <x:row r="633">
      <x:c r="D633" s="1"/>
    </x:row>
    <x:row r="634">
      <x:c r="D634" s="1"/>
    </x:row>
    <x:row r="635">
      <x:c r="D635" s="1"/>
    </x:row>
    <x:row r="636">
      <x:c r="D636" s="1"/>
    </x:row>
    <x:row r="637">
      <x:c r="D637" s="1"/>
    </x:row>
    <x:row r="638">
      <x:c r="D638" s="1"/>
    </x:row>
    <x:row r="639">
      <x:c r="D639" s="1"/>
    </x:row>
    <x:row r="640">
      <x:c r="D640" s="1"/>
    </x:row>
    <x:row r="641">
      <x:c r="D641" s="1"/>
    </x:row>
    <x:row r="642">
      <x:c r="D642" s="1"/>
    </x:row>
    <x:row r="643">
      <x:c r="D643" s="1"/>
    </x:row>
    <x:row r="644">
      <x:c r="D644" s="1"/>
    </x:row>
    <x:row r="645">
      <x:c r="D645" s="1"/>
    </x:row>
    <x:row r="646">
      <x:c r="D646" s="1"/>
    </x:row>
    <x:row r="647">
      <x:c r="D647" s="1"/>
    </x:row>
    <x:row r="648">
      <x:c r="D648" s="1"/>
    </x:row>
    <x:row r="649">
      <x:c r="D649" s="1"/>
    </x:row>
    <x:row r="650">
      <x:c r="D650" s="1"/>
    </x:row>
    <x:row r="651">
      <x:c r="D651" s="1"/>
    </x:row>
    <x:row r="652">
      <x:c r="D652" s="1"/>
    </x:row>
    <x:row r="653">
      <x:c r="D653" s="1"/>
    </x:row>
    <x:row r="654">
      <x:c r="D654" s="1"/>
    </x:row>
    <x:row r="655">
      <x:c r="D655" s="1"/>
    </x:row>
    <x:row r="656">
      <x:c r="D656" s="1"/>
    </x:row>
    <x:row r="657">
      <x:c r="D657" s="1"/>
    </x:row>
    <x:row r="658">
      <x:c r="D658" s="1"/>
    </x:row>
    <x:row r="659">
      <x:c r="D659" s="1"/>
    </x:row>
    <x:row r="660">
      <x:c r="D660" s="1"/>
    </x:row>
    <x:row r="661">
      <x:c r="D661" s="1"/>
    </x:row>
    <x:row r="662">
      <x:c r="D662" s="1"/>
    </x:row>
    <x:row r="663">
      <x:c r="D663" s="1"/>
    </x:row>
    <x:row r="664">
      <x:c r="D664" s="1"/>
    </x:row>
    <x:row r="665">
      <x:c r="D665" s="1"/>
    </x:row>
    <x:row r="666">
      <x:c r="D666" s="1"/>
    </x:row>
    <x:row r="667">
      <x:c r="D667" s="1"/>
    </x:row>
    <x:row r="668">
      <x:c r="D668" s="1"/>
    </x:row>
    <x:row r="669">
      <x:c r="D669" s="1"/>
    </x:row>
    <x:row r="670">
      <x:c r="D670" s="1"/>
    </x:row>
    <x:row r="671">
      <x:c r="D671" s="1"/>
    </x:row>
    <x:row r="672">
      <x:c r="D672" s="1"/>
    </x:row>
    <x:row r="673">
      <x:c r="D673" s="1"/>
    </x:row>
    <x:row r="674">
      <x:c r="D674" s="1"/>
    </x:row>
    <x:row r="675">
      <x:c r="D675" s="1"/>
    </x:row>
    <x:row r="676">
      <x:c r="D676" s="1"/>
    </x:row>
    <x:row r="677">
      <x:c r="D677" s="1"/>
    </x:row>
    <x:row r="678">
      <x:c r="D678" s="1"/>
    </x:row>
    <x:row r="679">
      <x:c r="D679" s="1"/>
    </x:row>
    <x:row r="680">
      <x:c r="D680" s="1"/>
    </x:row>
    <x:row r="681">
      <x:c r="D681" s="1"/>
    </x:row>
    <x:row r="682">
      <x:c r="D682" s="1"/>
    </x:row>
    <x:row r="683">
      <x:c r="D683" s="1"/>
    </x:row>
    <x:row r="684">
      <x:c r="D684" s="1"/>
    </x:row>
    <x:row r="685">
      <x:c r="D685" s="1"/>
    </x:row>
    <x:row r="686">
      <x:c r="D686" s="1"/>
    </x:row>
    <x:row r="687">
      <x:c r="D687" s="1"/>
    </x:row>
    <x:row r="688">
      <x:c r="D688" s="1"/>
    </x:row>
    <x:row r="689">
      <x:c r="D689" s="1"/>
    </x:row>
    <x:row r="690">
      <x:c r="D690" s="1"/>
    </x:row>
    <x:row r="691">
      <x:c r="D691" s="1"/>
    </x:row>
    <x:row r="692">
      <x:c r="D692" s="1"/>
    </x:row>
    <x:row r="693">
      <x:c r="D693" s="1"/>
    </x:row>
    <x:row r="694">
      <x:c r="D694" s="1"/>
    </x:row>
    <x:row r="695">
      <x:c r="D695" s="1"/>
    </x:row>
    <x:row r="696">
      <x:c r="D696" s="1"/>
    </x:row>
    <x:row r="697">
      <x:c r="D697" s="1"/>
    </x:row>
    <x:row r="698">
      <x:c r="D698" s="1"/>
    </x:row>
    <x:row r="699">
      <x:c r="D699" s="1"/>
    </x:row>
    <x:row r="700">
      <x:c r="D700" s="1"/>
    </x:row>
    <x:row r="701">
      <x:c r="D701" s="1"/>
    </x:row>
    <x:row r="702">
      <x:c r="D702" s="1"/>
    </x:row>
    <x:row r="703">
      <x:c r="D703" s="1"/>
    </x:row>
    <x:row r="704">
      <x:c r="D704" s="1"/>
    </x:row>
    <x:row r="705">
      <x:c r="D705" s="1"/>
    </x:row>
    <x:row r="706">
      <x:c r="D706" s="1"/>
    </x:row>
    <x:row r="707">
      <x:c r="D707" s="1"/>
    </x:row>
    <x:row r="708">
      <x:c r="D708" s="1"/>
    </x:row>
    <x:row r="709">
      <x:c r="D709" s="1"/>
    </x:row>
    <x:row r="710">
      <x:c r="D710" s="1"/>
    </x:row>
    <x:row r="711">
      <x:c r="D711" s="1"/>
    </x:row>
    <x:row r="712">
      <x:c r="D712" s="1"/>
    </x:row>
    <x:row r="713">
      <x:c r="D713" s="1"/>
    </x:row>
    <x:row r="714">
      <x:c r="D714" s="1"/>
    </x:row>
    <x:row r="715">
      <x:c r="D715" s="1"/>
    </x:row>
    <x:row r="716">
      <x:c r="D716" s="1"/>
    </x:row>
    <x:row r="717">
      <x:c r="D717" s="1"/>
    </x:row>
    <x:row r="718">
      <x:c r="D718" s="1"/>
    </x:row>
    <x:row r="719">
      <x:c r="D719" s="1"/>
    </x:row>
    <x:row r="720">
      <x:c r="D720" s="1"/>
    </x:row>
    <x:row r="721">
      <x:c r="D721" s="1"/>
    </x:row>
    <x:row r="722">
      <x:c r="D722" s="1"/>
    </x:row>
    <x:row r="723">
      <x:c r="D723" s="1"/>
    </x:row>
    <x:row r="724">
      <x:c r="D724" s="1"/>
    </x:row>
    <x:row r="725">
      <x:c r="D725" s="1"/>
    </x:row>
    <x:row r="726">
      <x:c r="D726" s="1"/>
    </x:row>
    <x:row r="727">
      <x:c r="D727" s="1"/>
    </x:row>
    <x:row r="728">
      <x:c r="D728" s="1"/>
    </x:row>
    <x:row r="729">
      <x:c r="D729" s="1"/>
    </x:row>
    <x:row r="730">
      <x:c r="D730" s="1"/>
    </x:row>
    <x:row r="731">
      <x:c r="D731" s="1"/>
    </x:row>
    <x:row r="732">
      <x:c r="D732" s="1"/>
    </x:row>
    <x:row r="733">
      <x:c r="D733" s="1"/>
    </x:row>
    <x:row r="734">
      <x:c r="D734" s="1"/>
    </x:row>
    <x:row r="735">
      <x:c r="D735" s="1"/>
    </x:row>
    <x:row r="736">
      <x:c r="D736" s="1"/>
    </x:row>
    <x:row r="737">
      <x:c r="D737" s="1"/>
    </x:row>
    <x:row r="738">
      <x:c r="D738" s="1"/>
    </x:row>
    <x:row r="739">
      <x:c r="D739" s="1"/>
    </x:row>
    <x:row r="740">
      <x:c r="D740" s="1"/>
    </x:row>
    <x:row r="741">
      <x:c r="D741" s="1"/>
    </x:row>
    <x:row r="742">
      <x:c r="D742" s="1"/>
    </x:row>
    <x:row r="743">
      <x:c r="D743" s="1"/>
    </x:row>
    <x:row r="744">
      <x:c r="D744" s="1"/>
    </x:row>
    <x:row r="745">
      <x:c r="D745" s="1"/>
    </x:row>
    <x:row r="746">
      <x:c r="D746" s="1"/>
    </x:row>
    <x:row r="747">
      <x:c r="D747" s="1"/>
    </x:row>
    <x:row r="748">
      <x:c r="D748" s="1"/>
    </x:row>
    <x:row r="749">
      <x:c r="D749" s="1"/>
    </x:row>
    <x:row r="750">
      <x:c r="D750" s="1"/>
    </x:row>
    <x:row r="751">
      <x:c r="D751" s="1"/>
    </x:row>
    <x:row r="752">
      <x:c r="D752" s="1"/>
    </x:row>
    <x:row r="753">
      <x:c r="D753" s="1"/>
    </x:row>
    <x:row r="754">
      <x:c r="D754" s="1"/>
    </x:row>
    <x:row r="755">
      <x:c r="D755" s="1"/>
    </x:row>
    <x:row r="756">
      <x:c r="D756" s="1"/>
    </x:row>
    <x:row r="757">
      <x:c r="D757" s="1"/>
    </x:row>
    <x:row r="758">
      <x:c r="D758" s="1"/>
    </x:row>
    <x:row r="759">
      <x:c r="D759" s="1"/>
    </x:row>
    <x:row r="760">
      <x:c r="D760" s="1"/>
    </x:row>
    <x:row r="761">
      <x:c r="D761" s="1"/>
    </x:row>
    <x:row r="762">
      <x:c r="D762" s="1"/>
    </x:row>
    <x:row r="763">
      <x:c r="D763" s="1"/>
    </x:row>
    <x:row r="764">
      <x:c r="D764" s="1"/>
    </x:row>
    <x:row r="765">
      <x:c r="D765" s="1"/>
    </x:row>
    <x:row r="766">
      <x:c r="D766" s="1"/>
    </x:row>
    <x:row r="767">
      <x:c r="D767" s="1"/>
    </x:row>
    <x:row r="768">
      <x:c r="D768" s="1"/>
    </x:row>
    <x:row r="769">
      <x:c r="D769" s="1"/>
    </x:row>
    <x:row r="770">
      <x:c r="D770" s="1"/>
    </x:row>
    <x:row r="771">
      <x:c r="D771" s="1"/>
    </x:row>
    <x:row r="772">
      <x:c r="D772" s="1"/>
    </x:row>
    <x:row r="773">
      <x:c r="D773" s="1"/>
    </x:row>
    <x:row r="774">
      <x:c r="D774" s="1"/>
    </x:row>
    <x:row r="775">
      <x:c r="D775" s="1"/>
    </x:row>
    <x:row r="776">
      <x:c r="D776" s="1"/>
    </x:row>
    <x:row r="777">
      <x:c r="D777" s="1"/>
    </x:row>
    <x:row r="778">
      <x:c r="D778" s="1"/>
    </x:row>
    <x:row r="779">
      <x:c r="D779" s="1"/>
    </x:row>
    <x:row r="780">
      <x:c r="D780" s="1"/>
    </x:row>
    <x:row r="781">
      <x:c r="D781" s="1"/>
    </x:row>
    <x:row r="782">
      <x:c r="D782" s="1"/>
    </x:row>
    <x:row r="783">
      <x:c r="D783" s="1"/>
    </x:row>
    <x:row r="784">
      <x:c r="D784" s="1"/>
    </x:row>
    <x:row r="785">
      <x:c r="D785" s="1"/>
    </x:row>
    <x:row r="786">
      <x:c r="D786" s="1"/>
    </x:row>
    <x:row r="787">
      <x:c r="D787" s="1"/>
    </x:row>
    <x:row r="788">
      <x:c r="D788" s="1"/>
    </x:row>
    <x:row r="789">
      <x:c r="D789" s="1"/>
    </x:row>
    <x:row r="790">
      <x:c r="D790" s="1"/>
    </x:row>
    <x:row r="791">
      <x:c r="D791" s="1"/>
    </x:row>
    <x:row r="792">
      <x:c r="D792" s="1"/>
    </x:row>
    <x:row r="793">
      <x:c r="D793" s="1"/>
    </x:row>
    <x:row r="794">
      <x:c r="D794" s="1"/>
    </x:row>
    <x:row r="795">
      <x:c r="D795" s="1"/>
    </x:row>
    <x:row r="796">
      <x:c r="D796" s="1"/>
    </x:row>
    <x:row r="797">
      <x:c r="D797" s="1"/>
    </x:row>
    <x:row r="798">
      <x:c r="D798" s="1"/>
    </x:row>
    <x:row r="799">
      <x:c r="D799" s="1"/>
    </x:row>
    <x:row r="800">
      <x:c r="D800" s="1"/>
    </x:row>
    <x:row r="801">
      <x:c r="D801" s="1"/>
    </x:row>
    <x:row r="802">
      <x:c r="D802" s="1"/>
    </x:row>
    <x:row r="803">
      <x:c r="D803" s="1"/>
    </x:row>
    <x:row r="804">
      <x:c r="D804" s="1"/>
    </x:row>
    <x:row r="805">
      <x:c r="D805" s="1"/>
    </x:row>
    <x:row r="806">
      <x:c r="D806" s="1"/>
    </x:row>
    <x:row r="807">
      <x:c r="D807" s="1"/>
    </x:row>
    <x:row r="808">
      <x:c r="D808" s="1"/>
    </x:row>
    <x:row r="809">
      <x:c r="D809" s="1"/>
    </x:row>
    <x:row r="810">
      <x:c r="D810" s="1"/>
    </x:row>
    <x:row r="811">
      <x:c r="D811" s="1"/>
    </x:row>
    <x:row r="812">
      <x:c r="D812" s="1"/>
    </x:row>
    <x:row r="813">
      <x:c r="D813" s="1"/>
    </x:row>
    <x:row r="814">
      <x:c r="D814" s="1"/>
    </x:row>
    <x:row r="815">
      <x:c r="D815" s="1"/>
    </x:row>
    <x:row r="816">
      <x:c r="D816" s="1"/>
    </x:row>
    <x:row r="817">
      <x:c r="D817" s="1"/>
    </x:row>
    <x:row r="818">
      <x:c r="D818" s="1"/>
    </x:row>
    <x:row r="819">
      <x:c r="D819" s="1"/>
    </x:row>
    <x:row r="820">
      <x:c r="D820" s="1"/>
    </x:row>
    <x:row r="821">
      <x:c r="D821" s="1"/>
    </x:row>
    <x:row r="822">
      <x:c r="D822" s="1"/>
    </x:row>
    <x:row r="823">
      <x:c r="D823" s="1"/>
    </x:row>
    <x:row r="824">
      <x:c r="D824" s="1"/>
    </x:row>
    <x:row r="825">
      <x:c r="D825" s="1"/>
    </x:row>
    <x:row r="826">
      <x:c r="D826" s="1"/>
    </x:row>
    <x:row r="827">
      <x:c r="D827" s="1"/>
    </x:row>
    <x:row r="828">
      <x:c r="D828" s="1"/>
    </x:row>
    <x:row r="829">
      <x:c r="D829" s="1"/>
    </x:row>
    <x:row r="830">
      <x:c r="D830" s="1"/>
    </x:row>
    <x:row r="831">
      <x:c r="D831" s="1"/>
    </x:row>
    <x:row r="832">
      <x:c r="D832" s="1"/>
    </x:row>
    <x:row r="833">
      <x:c r="D833" s="1"/>
    </x:row>
    <x:row r="834">
      <x:c r="D834" s="1"/>
    </x:row>
    <x:row r="835">
      <x:c r="D835" s="1"/>
    </x:row>
    <x:row r="836">
      <x:c r="D836" s="1"/>
    </x:row>
    <x:row r="837">
      <x:c r="D837" s="1"/>
    </x:row>
    <x:row r="838">
      <x:c r="D838" s="1"/>
    </x:row>
    <x:row r="839">
      <x:c r="D839" s="1"/>
    </x:row>
    <x:row r="840">
      <x:c r="D840" s="1"/>
    </x:row>
    <x:row r="841">
      <x:c r="D841" s="1"/>
    </x:row>
    <x:row r="842">
      <x:c r="D842" s="1"/>
    </x:row>
    <x:row r="843">
      <x:c r="D843" s="1"/>
    </x:row>
    <x:row r="844">
      <x:c r="D844" s="1"/>
    </x:row>
    <x:row r="845">
      <x:c r="D845" s="1"/>
    </x:row>
    <x:row r="846">
      <x:c r="D846" s="1"/>
    </x:row>
    <x:row r="847">
      <x:c r="D847" s="1"/>
    </x:row>
    <x:row r="848">
      <x:c r="D848" s="1"/>
    </x:row>
    <x:row r="849">
      <x:c r="D849" s="1"/>
    </x:row>
    <x:row r="850">
      <x:c r="D850" s="1"/>
    </x:row>
    <x:row r="851">
      <x:c r="D851" s="1"/>
    </x:row>
    <x:row r="852">
      <x:c r="D852" s="1"/>
    </x:row>
    <x:row r="853">
      <x:c r="D853" s="1"/>
    </x:row>
    <x:row r="854">
      <x:c r="D854" s="1"/>
    </x:row>
    <x:row r="855">
      <x:c r="D855" s="1"/>
    </x:row>
    <x:row r="856">
      <x:c r="D856" s="1"/>
    </x:row>
    <x:row r="857">
      <x:c r="D857" s="1"/>
    </x:row>
    <x:row r="858">
      <x:c r="D858" s="1"/>
    </x:row>
    <x:row r="859">
      <x:c r="D859" s="1"/>
    </x:row>
    <x:row r="860">
      <x:c r="D860" s="1"/>
    </x:row>
    <x:row r="861">
      <x:c r="D861" s="1"/>
    </x:row>
    <x:row r="862">
      <x:c r="D862" s="1"/>
    </x:row>
    <x:row r="863">
      <x:c r="D863" s="1"/>
    </x:row>
    <x:row r="864">
      <x:c r="D864" s="1"/>
    </x:row>
    <x:row r="865">
      <x:c r="D865" s="1"/>
    </x:row>
    <x:row r="866">
      <x:c r="D866" s="1"/>
    </x:row>
    <x:row r="867">
      <x:c r="D867" s="1"/>
    </x:row>
    <x:row r="868">
      <x:c r="D868" s="1"/>
    </x:row>
    <x:row r="869">
      <x:c r="D869" s="1"/>
    </x:row>
    <x:row r="870">
      <x:c r="D870" s="1"/>
    </x:row>
    <x:row r="871">
      <x:c r="D871" s="1"/>
    </x:row>
    <x:row r="872">
      <x:c r="D872" s="1"/>
    </x:row>
    <x:row r="873">
      <x:c r="D873" s="1"/>
    </x:row>
    <x:row r="874">
      <x:c r="D874" s="1"/>
    </x:row>
    <x:row r="875">
      <x:c r="D875" s="1"/>
    </x:row>
    <x:row r="876">
      <x:c r="D876" s="1"/>
    </x:row>
    <x:row r="877">
      <x:c r="D877" s="1"/>
    </x:row>
    <x:row r="878">
      <x:c r="D878" s="1"/>
    </x:row>
    <x:row r="879">
      <x:c r="D879" s="1"/>
    </x:row>
    <x:row r="880">
      <x:c r="D880" s="1"/>
    </x:row>
    <x:row r="881">
      <x:c r="D881" s="1"/>
    </x:row>
    <x:row r="882">
      <x:c r="D882" s="1"/>
    </x:row>
    <x:row r="883">
      <x:c r="D883" s="1"/>
    </x:row>
    <x:row r="884">
      <x:c r="D884" s="1"/>
    </x:row>
    <x:row r="885">
      <x:c r="D885" s="1"/>
    </x:row>
    <x:row r="886">
      <x:c r="D886" s="1"/>
    </x:row>
    <x:row r="887">
      <x:c r="D887" s="1"/>
    </x:row>
    <x:row r="888">
      <x:c r="D888" s="1"/>
    </x:row>
    <x:row r="889">
      <x:c r="D889" s="1"/>
    </x:row>
    <x:row r="890">
      <x:c r="D890" s="1"/>
    </x:row>
    <x:row r="891">
      <x:c r="D891" s="1"/>
    </x:row>
    <x:row r="892">
      <x:c r="D892" s="1"/>
    </x:row>
    <x:row r="893">
      <x:c r="D893" s="1"/>
    </x:row>
    <x:row r="894">
      <x:c r="D894" s="1"/>
    </x:row>
    <x:row r="895">
      <x:c r="D895" s="1"/>
    </x:row>
    <x:row r="896">
      <x:c r="D896" s="1"/>
    </x:row>
    <x:row r="897">
      <x:c r="D897" s="1"/>
    </x:row>
    <x:row r="898">
      <x:c r="D898" s="1"/>
    </x:row>
    <x:row r="899">
      <x:c r="D899" s="1"/>
    </x:row>
    <x:row r="900">
      <x:c r="D900" s="1"/>
    </x:row>
    <x:row r="901">
      <x:c r="D901" s="1"/>
    </x:row>
    <x:row r="902">
      <x:c r="D902" s="1"/>
    </x:row>
    <x:row r="903">
      <x:c r="D903" s="1"/>
    </x:row>
    <x:row r="904">
      <x:c r="D904" s="1"/>
    </x:row>
    <x:row r="905">
      <x:c r="D905" s="1"/>
    </x:row>
    <x:row r="906">
      <x:c r="D906" s="1"/>
    </x:row>
    <x:row r="907">
      <x:c r="D907" s="1"/>
    </x:row>
    <x:row r="908">
      <x:c r="D908" s="1"/>
    </x:row>
    <x:row r="909">
      <x:c r="D909" s="1"/>
    </x:row>
    <x:row r="910">
      <x:c r="D910" s="1"/>
    </x:row>
    <x:row r="911">
      <x:c r="D911" s="1"/>
    </x:row>
    <x:row r="912">
      <x:c r="D912" s="1"/>
    </x:row>
    <x:row r="913">
      <x:c r="D913" s="1"/>
    </x:row>
    <x:row r="914">
      <x:c r="D914" s="1"/>
    </x:row>
    <x:row r="915">
      <x:c r="D915" s="1"/>
    </x:row>
    <x:row r="916">
      <x:c r="D916" s="1"/>
    </x:row>
    <x:row r="917">
      <x:c r="D917" s="1"/>
    </x:row>
    <x:row r="918">
      <x:c r="D918" s="1"/>
    </x:row>
    <x:row r="919">
      <x:c r="D919" s="1"/>
    </x:row>
    <x:row r="920">
      <x:c r="D920" s="1"/>
    </x:row>
    <x:row r="921">
      <x:c r="D921" s="1"/>
    </x:row>
    <x:row r="922">
      <x:c r="D922" s="1"/>
    </x:row>
    <x:row r="923">
      <x:c r="D923" s="1"/>
    </x:row>
    <x:row r="924">
      <x:c r="D924" s="1"/>
    </x:row>
    <x:row r="925">
      <x:c r="D925" s="1"/>
    </x:row>
    <x:row r="926">
      <x:c r="D926" s="1"/>
    </x:row>
    <x:row r="927">
      <x:c r="D927" s="1"/>
    </x:row>
    <x:row r="928">
      <x:c r="D928" s="1"/>
    </x:row>
    <x:row r="929">
      <x:c r="D929" s="1"/>
    </x:row>
    <x:row r="930">
      <x:c r="D930" s="1"/>
    </x:row>
    <x:row r="931">
      <x:c r="D931" s="1"/>
    </x:row>
    <x:row r="932">
      <x:c r="D932" s="1"/>
    </x:row>
    <x:row r="933">
      <x:c r="D933" s="1"/>
    </x:row>
    <x:row r="934">
      <x:c r="D934" s="1"/>
    </x:row>
    <x:row r="935">
      <x:c r="D935" s="1"/>
    </x:row>
    <x:row r="936">
      <x:c r="D936" s="1"/>
    </x:row>
    <x:row r="937">
      <x:c r="D937" s="1"/>
    </x:row>
    <x:row r="938">
      <x:c r="D938" s="1"/>
    </x:row>
    <x:row r="939">
      <x:c r="D939" s="1"/>
    </x:row>
    <x:row r="940">
      <x:c r="D940" s="1"/>
    </x:row>
    <x:row r="941">
      <x:c r="D941" s="1"/>
    </x:row>
    <x:row r="942">
      <x:c r="D942" s="1"/>
    </x:row>
    <x:row r="943">
      <x:c r="D943" s="1"/>
    </x:row>
    <x:row r="944">
      <x:c r="D944" s="1"/>
    </x:row>
    <x:row r="945">
      <x:c r="D945" s="1"/>
    </x:row>
    <x:row r="946">
      <x:c r="D946" s="1"/>
    </x:row>
    <x:row r="947">
      <x:c r="D947" s="1"/>
    </x:row>
    <x:row r="948">
      <x:c r="D948" s="1"/>
    </x:row>
    <x:row r="949">
      <x:c r="D949" s="1"/>
    </x:row>
    <x:row r="950">
      <x:c r="D950" s="1"/>
    </x:row>
    <x:row r="951">
      <x:c r="D951" s="1"/>
    </x:row>
    <x:row r="952">
      <x:c r="D952" s="1"/>
    </x:row>
    <x:row r="953">
      <x:c r="D953" s="1"/>
    </x:row>
    <x:row r="954">
      <x:c r="D954" s="1"/>
    </x:row>
    <x:row r="955">
      <x:c r="D955" s="1"/>
    </x:row>
    <x:row r="956">
      <x:c r="D956" s="1"/>
    </x:row>
    <x:row r="957">
      <x:c r="D957" s="1"/>
    </x:row>
    <x:row r="958">
      <x:c r="D958" s="1"/>
    </x:row>
    <x:row r="959">
      <x:c r="D959" s="1"/>
    </x:row>
    <x:row r="960">
      <x:c r="D960" s="1"/>
    </x:row>
    <x:row r="961">
      <x:c r="D961" s="1"/>
    </x:row>
    <x:row r="962">
      <x:c r="D962" s="1"/>
    </x:row>
    <x:row r="963">
      <x:c r="D963" s="1"/>
    </x:row>
    <x:row r="964">
      <x:c r="D964" s="1"/>
    </x:row>
    <x:row r="965">
      <x:c r="D965" s="1"/>
    </x:row>
    <x:row r="966">
      <x:c r="D966" s="1"/>
    </x:row>
    <x:row r="967">
      <x:c r="D967" s="1"/>
    </x:row>
    <x:row r="968">
      <x:c r="D968" s="1"/>
    </x:row>
    <x:row r="969">
      <x:c r="D969" s="1"/>
    </x:row>
    <x:row r="970">
      <x:c r="D970" s="1"/>
    </x:row>
    <x:row r="971">
      <x:c r="D971" s="1"/>
    </x:row>
    <x:row r="972">
      <x:c r="D972" s="1"/>
    </x:row>
    <x:row r="973">
      <x:c r="D973" s="1"/>
    </x:row>
    <x:row r="974">
      <x:c r="D974" s="1"/>
    </x:row>
    <x:row r="975">
      <x:c r="D975" s="1"/>
    </x:row>
    <x:row r="976">
      <x:c r="D976" s="1"/>
    </x:row>
    <x:row r="977">
      <x:c r="D977" s="1"/>
    </x:row>
    <x:row r="978">
      <x:c r="D978" s="1"/>
    </x:row>
    <x:row r="979">
      <x:c r="D979" s="1"/>
    </x:row>
    <x:row r="980">
      <x:c r="D980" s="1"/>
    </x:row>
    <x:row r="981">
      <x:c r="D981" s="1"/>
    </x:row>
    <x:row r="982">
      <x:c r="D982" s="1"/>
    </x:row>
    <x:row r="983">
      <x:c r="D983" s="1"/>
    </x:row>
    <x:row r="984">
      <x:c r="D984" s="1"/>
    </x:row>
    <x:row r="985">
      <x:c r="D985" s="1"/>
    </x:row>
    <x:row r="986">
      <x:c r="D986" s="1"/>
    </x:row>
    <x:row r="987">
      <x:c r="D987" s="1"/>
    </x:row>
    <x:row r="988">
      <x:c r="D988" s="1"/>
    </x:row>
    <x:row r="989">
      <x:c r="D989" s="1"/>
    </x:row>
    <x:row r="990">
      <x:c r="D990" s="1"/>
    </x:row>
    <x:row r="991">
      <x:c r="D991" s="1"/>
    </x:row>
    <x:row r="992">
      <x:c r="D992" s="1"/>
    </x:row>
    <x:row r="993">
      <x:c r="D993" s="1"/>
    </x:row>
    <x:row r="994">
      <x:c r="D994" s="1"/>
    </x:row>
    <x:row r="995">
      <x:c r="D995" s="1"/>
    </x:row>
    <x:row r="996">
      <x:c r="D996" s="1"/>
    </x:row>
    <x:row r="997">
      <x:c r="D997" s="1"/>
    </x:row>
  </x:sheetData>
  <x:mergeCells>
    <x:mergeCell ref="A1:AA1"/>
  </x:mergeCells>
  <x:dataValidations count="1">
    <x:dataValidation allowBlank="1" sqref="F1:G2 H1:H1048576 I1:I2 J1:J1048576 K1:M2 N1:O1048576 P1:P2 Q1:R1048576 S1:S2 T1:U1048576 V1:W2 E1:E1048576 X1:XFD1048576 A1:D2"/>
  </x:dataValidations>
  <x:pageMargins left="0.7" right="0.7" top="0.75" bottom="0.75" header="0.3" footer="0.3"/>
</x:worksheet>
</file>

<file path=xl/worksheets/sheet36.xml><?xml version="1.0" encoding="utf-8"?>
<x:worksheet xmlns:x="http://schemas.openxmlformats.org/spreadsheetml/2006/main">
  <x:sheetPr>
    <x:tabColor theme="8" tint="0.59999"/>
  </x:sheetPr>
  <x:sheetFormatPr baseColWidth="10" defaultColWidth="8.6640625" defaultRowHeight="15"/>
  <x:cols>
    <x:col min="1" max="1" width="7.5" customWidth="1"/>
    <x:col min="2" max="2" width="10.6640625" customWidth="1"/>
    <x:col min="3" max="3" width="12.83203125" customWidth="1"/>
    <x:col min="4" max="4" width="16.1640625" customWidth="1"/>
    <x:col min="5" max="5" width="16.6640625" customWidth="1"/>
    <x:col min="8" max="9" width="8.5" customWidth="0"/>
    <x:col min="10" max="10" width="17.33203125" customWidth="1"/>
  </x:cols>
  <x:sheetData>
    <x:row r="1" ht="119.25" customHeight="1">
      <x:c r="A1" s="149" t="s">
        <x:v>333</x:v>
      </x:c>
      <x:c r="B1" s="150"/>
      <x:c r="C1" s="150"/>
      <x:c r="D1" s="150"/>
      <x:c r="E1" s="150"/>
      <x:c r="F1" s="150"/>
      <x:c r="G1" s="150"/>
      <x:c r="H1" s="150"/>
      <x:c r="I1" s="150"/>
      <x:c r="J1" s="150"/>
    </x:row>
    <x:row r="2" ht="48">
      <x:c r="A2" s="65" t="s">
        <x:v>2</x:v>
      </x:c>
      <x:c r="B2" s="65" t="s">
        <x:v>20</x:v>
      </x:c>
      <x:c r="C2" s="50" t="s">
        <x:v>334</x:v>
      </x:c>
      <x:c r="D2" s="65" t="s">
        <x:v>139</x:v>
      </x:c>
      <x:c r="E2" s="65" t="s">
        <x:v>140</x:v>
      </x:c>
      <x:c r="F2" s="65" t="s">
        <x:v>335</x:v>
      </x:c>
      <x:c r="G2" s="65" t="s">
        <x:v>336</x:v>
      </x:c>
      <x:c r="H2" s="65" t="s">
        <x:v>337</x:v>
      </x:c>
      <x:c r="I2" s="65" t="s">
        <x:v>338</x:v>
      </x:c>
      <x:c r="J2" s="68" t="s">
        <x:v>6</x:v>
      </x:c>
    </x:row>
    <x:row r="3">
      <x:c r="A3" s="73" t="str">
        <x:v>&lt;END&gt;</x:v>
      </x:c>
      <x:c r="B3" s="73"/>
      <x:c r="C3" s="33"/>
      <x:c r="D3" s="73"/>
      <x:c r="E3" s="43"/>
      <x:c r="F3" s="33"/>
      <x:c r="G3" s="33"/>
      <x:c r="J3" s="33"/>
    </x:row>
    <x:row r="4">
      <x:c r="A4" s="53"/>
      <x:c r="B4" s="53"/>
      <x:c r="C4" s="90"/>
      <x:c r="D4" s="53"/>
      <x:c r="E4" s="90"/>
      <x:c r="F4" s="54"/>
      <x:c r="G4" s="53"/>
      <x:c r="H4" s="53"/>
      <x:c r="I4" s="53"/>
      <x:c r="J4" s="54"/>
    </x:row>
    <x:row r="5">
      <x:c r="E5" s="69"/>
    </x:row>
    <x:row r="6">
      <x:c r="E6" s="69"/>
    </x:row>
    <x:row r="7">
      <x:c r="E7" s="69"/>
    </x:row>
    <x:row r="8">
      <x:c r="E8" s="69"/>
    </x:row>
    <x:row r="9">
      <x:c r="E9" s="69"/>
    </x:row>
    <x:row r="10">
      <x:c r="E10" s="69"/>
    </x:row>
    <x:row r="11">
      <x:c r="E11" s="69"/>
    </x:row>
    <x:row r="12">
      <x:c r="E12" s="69"/>
    </x:row>
    <x:row r="13">
      <x:c r="E13" s="69"/>
    </x:row>
    <x:row r="14">
      <x:c r="E14" s="69"/>
    </x:row>
    <x:row r="15">
      <x:c r="E15" s="69"/>
    </x:row>
    <x:row r="16">
      <x:c r="E16" s="69"/>
    </x:row>
    <x:row r="17">
      <x:c r="E17" s="69"/>
    </x:row>
    <x:row r="18">
      <x:c r="E18" s="69"/>
    </x:row>
    <x:row r="19">
      <x:c r="E19" s="69"/>
    </x:row>
    <x:row r="20">
      <x:c r="E20" s="69"/>
    </x:row>
    <x:row r="21">
      <x:c r="E21" s="69"/>
    </x:row>
    <x:row r="22">
      <x:c r="E22" s="69"/>
    </x:row>
    <x:row r="23">
      <x:c r="E23" s="69"/>
    </x:row>
    <x:row r="24">
      <x:c r="E24" s="69"/>
    </x:row>
    <x:row r="25">
      <x:c r="E25" s="69"/>
    </x:row>
    <x:row r="26">
      <x:c r="E26" s="69"/>
    </x:row>
    <x:row r="27">
      <x:c r="E27" s="69"/>
    </x:row>
    <x:row r="28">
      <x:c r="E28" s="69"/>
    </x:row>
    <x:row r="29">
      <x:c r="E29" s="69"/>
    </x:row>
    <x:row r="30">
      <x:c r="E30" s="69"/>
    </x:row>
    <x:row r="31">
      <x:c r="E31" s="69"/>
    </x:row>
    <x:row r="32">
      <x:c r="E32" s="69"/>
    </x:row>
    <x:row r="33">
      <x:c r="E33" s="69"/>
    </x:row>
    <x:row r="34">
      <x:c r="E34" s="69"/>
    </x:row>
    <x:row r="35">
      <x:c r="E35" s="69"/>
    </x:row>
    <x:row r="36">
      <x:c r="E36" s="69"/>
    </x:row>
    <x:row r="37">
      <x:c r="E37" s="69"/>
    </x:row>
    <x:row r="38">
      <x:c r="E38" s="69"/>
    </x:row>
    <x:row r="39">
      <x:c r="E39" s="69"/>
    </x:row>
    <x:row r="40">
      <x:c r="E40" s="69"/>
    </x:row>
    <x:row r="41">
      <x:c r="E41" s="69"/>
    </x:row>
    <x:row r="42">
      <x:c r="E42" s="69"/>
    </x:row>
    <x:row r="43">
      <x:c r="E43" s="69"/>
    </x:row>
    <x:row r="44">
      <x:c r="E44" s="69"/>
    </x:row>
    <x:row r="45">
      <x:c r="E45" s="69"/>
    </x:row>
    <x:row r="46">
      <x:c r="E46" s="69"/>
    </x:row>
    <x:row r="47">
      <x:c r="E47" s="69"/>
    </x:row>
    <x:row r="48">
      <x:c r="E48" s="69"/>
    </x:row>
    <x:row r="49">
      <x:c r="E49" s="69"/>
    </x:row>
    <x:row r="50">
      <x:c r="E50" s="69"/>
    </x:row>
    <x:row r="51">
      <x:c r="E51" s="69"/>
    </x:row>
    <x:row r="52">
      <x:c r="E52" s="69"/>
    </x:row>
    <x:row r="53">
      <x:c r="E53" s="69"/>
    </x:row>
    <x:row r="54">
      <x:c r="E54" s="69"/>
    </x:row>
    <x:row r="55">
      <x:c r="E55" s="69"/>
    </x:row>
    <x:row r="56">
      <x:c r="E56" s="69"/>
    </x:row>
    <x:row r="57">
      <x:c r="E57" s="69"/>
    </x:row>
    <x:row r="58">
      <x:c r="E58" s="69"/>
    </x:row>
    <x:row r="59">
      <x:c r="E59" s="69"/>
    </x:row>
    <x:row r="60">
      <x:c r="E60" s="69"/>
    </x:row>
    <x:row r="61">
      <x:c r="E61" s="69"/>
    </x:row>
    <x:row r="62">
      <x:c r="E62" s="69"/>
    </x:row>
    <x:row r="63">
      <x:c r="E63" s="69"/>
    </x:row>
    <x:row r="64">
      <x:c r="E64" s="69"/>
    </x:row>
    <x:row r="65">
      <x:c r="E65" s="69"/>
    </x:row>
    <x:row r="66">
      <x:c r="E66" s="69"/>
    </x:row>
    <x:row r="67">
      <x:c r="E67" s="69"/>
    </x:row>
    <x:row r="68">
      <x:c r="E68" s="69"/>
    </x:row>
    <x:row r="69">
      <x:c r="E69" s="69"/>
    </x:row>
    <x:row r="70">
      <x:c r="E70" s="69"/>
    </x:row>
    <x:row r="71">
      <x:c r="E71" s="69"/>
    </x:row>
    <x:row r="72">
      <x:c r="E72" s="69"/>
    </x:row>
    <x:row r="73">
      <x:c r="E73" s="69"/>
    </x:row>
    <x:row r="74">
      <x:c r="E74" s="69"/>
    </x:row>
    <x:row r="75">
      <x:c r="E75" s="69"/>
    </x:row>
    <x:row r="76">
      <x:c r="E76" s="69"/>
    </x:row>
    <x:row r="77">
      <x:c r="E77" s="69"/>
    </x:row>
    <x:row r="78">
      <x:c r="E78" s="69"/>
    </x:row>
    <x:row r="79">
      <x:c r="E79" s="69"/>
    </x:row>
    <x:row r="80">
      <x:c r="E80" s="69"/>
    </x:row>
    <x:row r="81">
      <x:c r="E81" s="69"/>
    </x:row>
    <x:row r="82">
      <x:c r="E82" s="69"/>
    </x:row>
    <x:row r="83">
      <x:c r="E83" s="69"/>
    </x:row>
    <x:row r="84">
      <x:c r="E84" s="69"/>
    </x:row>
    <x:row r="85">
      <x:c r="E85" s="69"/>
    </x:row>
    <x:row r="86">
      <x:c r="E86" s="69"/>
    </x:row>
    <x:row r="87">
      <x:c r="E87" s="69"/>
    </x:row>
    <x:row r="88">
      <x:c r="E88" s="69"/>
    </x:row>
    <x:row r="89">
      <x:c r="E89" s="69"/>
    </x:row>
    <x:row r="90">
      <x:c r="E90" s="69"/>
    </x:row>
    <x:row r="91">
      <x:c r="E91" s="69"/>
    </x:row>
    <x:row r="92">
      <x:c r="E92" s="69"/>
    </x:row>
    <x:row r="93">
      <x:c r="E93" s="69"/>
    </x:row>
    <x:row r="94">
      <x:c r="E94" s="69"/>
    </x:row>
    <x:row r="95">
      <x:c r="E95" s="69"/>
    </x:row>
    <x:row r="96">
      <x:c r="E96" s="69"/>
    </x:row>
    <x:row r="97">
      <x:c r="E97" s="69"/>
    </x:row>
    <x:row r="98">
      <x:c r="E98" s="69"/>
    </x:row>
    <x:row r="99">
      <x:c r="E99" s="69"/>
    </x:row>
    <x:row r="100">
      <x:c r="E100" s="69"/>
    </x:row>
    <x:row r="101">
      <x:c r="E101" s="69"/>
    </x:row>
    <x:row r="102">
      <x:c r="E102" s="69"/>
    </x:row>
    <x:row r="103">
      <x:c r="E103" s="69"/>
    </x:row>
    <x:row r="104">
      <x:c r="E104" s="69"/>
    </x:row>
    <x:row r="105">
      <x:c r="E105" s="69"/>
    </x:row>
    <x:row r="106">
      <x:c r="E106" s="69"/>
    </x:row>
    <x:row r="107">
      <x:c r="E107" s="69"/>
    </x:row>
    <x:row r="108">
      <x:c r="E108" s="69"/>
    </x:row>
    <x:row r="109">
      <x:c r="E109" s="69"/>
    </x:row>
    <x:row r="110">
      <x:c r="E110" s="69"/>
    </x:row>
    <x:row r="111">
      <x:c r="E111" s="69"/>
    </x:row>
    <x:row r="112">
      <x:c r="E112" s="69"/>
    </x:row>
    <x:row r="113">
      <x:c r="E113" s="69"/>
    </x:row>
    <x:row r="114">
      <x:c r="E114" s="69"/>
    </x:row>
    <x:row r="115">
      <x:c r="E115" s="69"/>
    </x:row>
    <x:row r="116">
      <x:c r="E116" s="69"/>
    </x:row>
    <x:row r="117">
      <x:c r="E117" s="69"/>
    </x:row>
    <x:row r="118">
      <x:c r="E118" s="69"/>
    </x:row>
    <x:row r="119">
      <x:c r="E119" s="69"/>
    </x:row>
    <x:row r="120">
      <x:c r="E120" s="69"/>
    </x:row>
    <x:row r="121">
      <x:c r="E121" s="69"/>
    </x:row>
    <x:row r="122">
      <x:c r="E122" s="69"/>
    </x:row>
    <x:row r="123">
      <x:c r="E123" s="69"/>
    </x:row>
    <x:row r="124">
      <x:c r="E124" s="69"/>
    </x:row>
    <x:row r="125">
      <x:c r="E125" s="69"/>
    </x:row>
    <x:row r="126">
      <x:c r="E126" s="69"/>
    </x:row>
    <x:row r="127">
      <x:c r="E127" s="69"/>
    </x:row>
    <x:row r="128">
      <x:c r="E128" s="69"/>
    </x:row>
    <x:row r="129">
      <x:c r="E129" s="69"/>
    </x:row>
    <x:row r="130">
      <x:c r="E130" s="69"/>
    </x:row>
    <x:row r="131">
      <x:c r="E131" s="69"/>
    </x:row>
    <x:row r="132">
      <x:c r="E132" s="69"/>
    </x:row>
    <x:row r="133">
      <x:c r="E133" s="69"/>
    </x:row>
    <x:row r="134">
      <x:c r="E134" s="69"/>
    </x:row>
    <x:row r="135">
      <x:c r="E135" s="69"/>
    </x:row>
    <x:row r="136">
      <x:c r="E136" s="69"/>
    </x:row>
    <x:row r="137">
      <x:c r="E137" s="69"/>
    </x:row>
    <x:row r="138">
      <x:c r="E138" s="69"/>
    </x:row>
    <x:row r="139">
      <x:c r="E139" s="69"/>
    </x:row>
    <x:row r="140">
      <x:c r="E140" s="69"/>
    </x:row>
    <x:row r="141">
      <x:c r="E141" s="69"/>
    </x:row>
    <x:row r="142">
      <x:c r="E142" s="69"/>
    </x:row>
    <x:row r="143">
      <x:c r="E143" s="69"/>
    </x:row>
    <x:row r="144">
      <x:c r="E144" s="69"/>
    </x:row>
    <x:row r="145">
      <x:c r="E145" s="69"/>
    </x:row>
    <x:row r="146">
      <x:c r="E146" s="69"/>
    </x:row>
    <x:row r="147">
      <x:c r="E147" s="69"/>
    </x:row>
    <x:row r="148">
      <x:c r="E148" s="69"/>
    </x:row>
    <x:row r="149">
      <x:c r="E149" s="69"/>
    </x:row>
    <x:row r="150">
      <x:c r="E150" s="69"/>
    </x:row>
    <x:row r="151">
      <x:c r="E151" s="69"/>
    </x:row>
    <x:row r="152">
      <x:c r="E152" s="69"/>
    </x:row>
    <x:row r="153">
      <x:c r="E153" s="69"/>
    </x:row>
    <x:row r="154">
      <x:c r="E154" s="69"/>
    </x:row>
    <x:row r="155">
      <x:c r="E155" s="69"/>
    </x:row>
    <x:row r="156">
      <x:c r="E156" s="69"/>
    </x:row>
    <x:row r="157">
      <x:c r="E157" s="69"/>
    </x:row>
    <x:row r="158">
      <x:c r="E158" s="69"/>
    </x:row>
    <x:row r="159">
      <x:c r="E159" s="69"/>
    </x:row>
    <x:row r="160">
      <x:c r="E160" s="69"/>
    </x:row>
    <x:row r="161">
      <x:c r="E161" s="69"/>
    </x:row>
    <x:row r="162">
      <x:c r="E162" s="69"/>
    </x:row>
    <x:row r="163">
      <x:c r="E163" s="69"/>
    </x:row>
    <x:row r="164">
      <x:c r="E164" s="69"/>
    </x:row>
    <x:row r="165">
      <x:c r="E165" s="69"/>
    </x:row>
    <x:row r="166">
      <x:c r="E166" s="69"/>
    </x:row>
    <x:row r="167">
      <x:c r="E167" s="69"/>
    </x:row>
    <x:row r="168">
      <x:c r="E168" s="69"/>
    </x:row>
    <x:row r="169">
      <x:c r="E169" s="69"/>
    </x:row>
    <x:row r="170">
      <x:c r="E170" s="69"/>
    </x:row>
    <x:row r="171">
      <x:c r="E171" s="69"/>
    </x:row>
    <x:row r="172">
      <x:c r="E172" s="69"/>
    </x:row>
    <x:row r="173">
      <x:c r="E173" s="69"/>
    </x:row>
    <x:row r="174">
      <x:c r="E174" s="69"/>
    </x:row>
    <x:row r="175">
      <x:c r="E175" s="69"/>
    </x:row>
    <x:row r="176">
      <x:c r="E176" s="69"/>
    </x:row>
    <x:row r="177">
      <x:c r="E177" s="69"/>
    </x:row>
    <x:row r="178">
      <x:c r="E178" s="69"/>
    </x:row>
    <x:row r="179">
      <x:c r="E179" s="69"/>
    </x:row>
    <x:row r="180">
      <x:c r="E180" s="69"/>
    </x:row>
    <x:row r="181">
      <x:c r="E181" s="69"/>
    </x:row>
    <x:row r="182">
      <x:c r="E182" s="69"/>
    </x:row>
    <x:row r="183">
      <x:c r="E183" s="69"/>
    </x:row>
    <x:row r="184">
      <x:c r="E184" s="69"/>
    </x:row>
    <x:row r="185">
      <x:c r="E185" s="69"/>
    </x:row>
    <x:row r="186">
      <x:c r="E186" s="69"/>
    </x:row>
    <x:row r="187">
      <x:c r="E187" s="69"/>
    </x:row>
    <x:row r="188">
      <x:c r="E188" s="69"/>
    </x:row>
    <x:row r="189">
      <x:c r="E189" s="69"/>
    </x:row>
    <x:row r="190">
      <x:c r="E190" s="69"/>
    </x:row>
    <x:row r="191">
      <x:c r="E191" s="69"/>
    </x:row>
    <x:row r="192">
      <x:c r="E192" s="69"/>
    </x:row>
    <x:row r="193">
      <x:c r="E193" s="69"/>
    </x:row>
    <x:row r="194">
      <x:c r="E194" s="69"/>
    </x:row>
    <x:row r="195">
      <x:c r="E195" s="69"/>
    </x:row>
    <x:row r="196">
      <x:c r="E196" s="69"/>
    </x:row>
    <x:row r="197">
      <x:c r="E197" s="69"/>
    </x:row>
    <x:row r="198">
      <x:c r="E198" s="69"/>
    </x:row>
    <x:row r="199">
      <x:c r="E199" s="69"/>
    </x:row>
    <x:row r="200">
      <x:c r="E200" s="69"/>
    </x:row>
    <x:row r="201">
      <x:c r="E201" s="69"/>
    </x:row>
    <x:row r="202">
      <x:c r="E202" s="69"/>
    </x:row>
    <x:row r="203">
      <x:c r="E203" s="69"/>
    </x:row>
    <x:row r="204">
      <x:c r="E204" s="69"/>
    </x:row>
    <x:row r="205">
      <x:c r="E205" s="69"/>
    </x:row>
    <x:row r="206">
      <x:c r="E206" s="69"/>
    </x:row>
    <x:row r="207">
      <x:c r="E207" s="69"/>
    </x:row>
    <x:row r="208">
      <x:c r="E208" s="69"/>
    </x:row>
    <x:row r="209">
      <x:c r="E209" s="69"/>
    </x:row>
    <x:row r="210">
      <x:c r="E210" s="69"/>
    </x:row>
    <x:row r="211">
      <x:c r="E211" s="69"/>
    </x:row>
    <x:row r="212">
      <x:c r="E212" s="69"/>
    </x:row>
    <x:row r="213">
      <x:c r="E213" s="69"/>
    </x:row>
    <x:row r="214">
      <x:c r="E214" s="69"/>
    </x:row>
    <x:row r="215">
      <x:c r="E215" s="69"/>
    </x:row>
    <x:row r="216">
      <x:c r="E216" s="69"/>
    </x:row>
    <x:row r="217">
      <x:c r="E217" s="69"/>
    </x:row>
    <x:row r="218">
      <x:c r="E218" s="69"/>
    </x:row>
    <x:row r="219">
      <x:c r="E219" s="69"/>
    </x:row>
    <x:row r="220">
      <x:c r="E220" s="69"/>
    </x:row>
    <x:row r="221">
      <x:c r="E221" s="69"/>
    </x:row>
    <x:row r="222">
      <x:c r="E222" s="69"/>
    </x:row>
    <x:row r="223">
      <x:c r="E223" s="69"/>
    </x:row>
    <x:row r="224">
      <x:c r="E224" s="69"/>
    </x:row>
    <x:row r="225">
      <x:c r="E225" s="69"/>
    </x:row>
    <x:row r="226">
      <x:c r="E226" s="69"/>
    </x:row>
    <x:row r="227">
      <x:c r="E227" s="69"/>
    </x:row>
    <x:row r="228">
      <x:c r="E228" s="69"/>
    </x:row>
    <x:row r="229">
      <x:c r="E229" s="69"/>
    </x:row>
    <x:row r="230">
      <x:c r="E230" s="69"/>
    </x:row>
    <x:row r="231">
      <x:c r="E231" s="69"/>
    </x:row>
    <x:row r="232">
      <x:c r="E232" s="69"/>
    </x:row>
    <x:row r="233">
      <x:c r="E233" s="69"/>
    </x:row>
    <x:row r="234">
      <x:c r="E234" s="69"/>
    </x:row>
    <x:row r="235">
      <x:c r="E235" s="69"/>
    </x:row>
    <x:row r="236">
      <x:c r="E236" s="69"/>
    </x:row>
    <x:row r="237">
      <x:c r="E237" s="69"/>
    </x:row>
    <x:row r="238">
      <x:c r="E238" s="69"/>
    </x:row>
    <x:row r="239">
      <x:c r="E239" s="69"/>
    </x:row>
    <x:row r="240">
      <x:c r="E240" s="69"/>
    </x:row>
    <x:row r="241">
      <x:c r="E241" s="69"/>
    </x:row>
    <x:row r="242">
      <x:c r="E242" s="69"/>
    </x:row>
    <x:row r="243">
      <x:c r="E243" s="69"/>
    </x:row>
    <x:row r="244">
      <x:c r="E244" s="69"/>
    </x:row>
    <x:row r="245">
      <x:c r="E245" s="69"/>
    </x:row>
    <x:row r="246">
      <x:c r="E246" s="69"/>
    </x:row>
    <x:row r="247">
      <x:c r="E247" s="69"/>
    </x:row>
    <x:row r="248">
      <x:c r="E248" s="69"/>
    </x:row>
    <x:row r="249">
      <x:c r="E249" s="69"/>
    </x:row>
    <x:row r="250">
      <x:c r="E250" s="69"/>
    </x:row>
    <x:row r="251">
      <x:c r="E251" s="69"/>
    </x:row>
    <x:row r="252">
      <x:c r="E252" s="69"/>
    </x:row>
    <x:row r="253">
      <x:c r="E253" s="69"/>
    </x:row>
    <x:row r="254">
      <x:c r="E254" s="69"/>
    </x:row>
    <x:row r="255">
      <x:c r="E255" s="69"/>
    </x:row>
    <x:row r="256">
      <x:c r="E256" s="69"/>
    </x:row>
    <x:row r="257">
      <x:c r="E257" s="69"/>
    </x:row>
    <x:row r="258">
      <x:c r="E258" s="69"/>
    </x:row>
    <x:row r="259">
      <x:c r="E259" s="69"/>
    </x:row>
    <x:row r="260">
      <x:c r="E260" s="69"/>
    </x:row>
    <x:row r="261">
      <x:c r="E261" s="69"/>
    </x:row>
    <x:row r="262">
      <x:c r="E262" s="69"/>
    </x:row>
    <x:row r="263">
      <x:c r="E263" s="69"/>
    </x:row>
    <x:row r="264">
      <x:c r="E264" s="69"/>
    </x:row>
    <x:row r="265">
      <x:c r="E265" s="69"/>
    </x:row>
    <x:row r="266">
      <x:c r="E266" s="69"/>
    </x:row>
    <x:row r="267">
      <x:c r="E267" s="69"/>
    </x:row>
    <x:row r="268">
      <x:c r="E268" s="69"/>
    </x:row>
    <x:row r="269">
      <x:c r="E269" s="69"/>
    </x:row>
    <x:row r="270">
      <x:c r="E270" s="69"/>
    </x:row>
    <x:row r="271">
      <x:c r="E271" s="69"/>
    </x:row>
    <x:row r="272">
      <x:c r="E272" s="69"/>
    </x:row>
    <x:row r="273">
      <x:c r="E273" s="69"/>
    </x:row>
    <x:row r="274">
      <x:c r="E274" s="69"/>
    </x:row>
    <x:row r="275">
      <x:c r="E275" s="69"/>
    </x:row>
    <x:row r="276">
      <x:c r="E276" s="69"/>
    </x:row>
    <x:row r="277">
      <x:c r="E277" s="69"/>
    </x:row>
    <x:row r="278">
      <x:c r="E278" s="69"/>
    </x:row>
    <x:row r="279">
      <x:c r="E279" s="69"/>
    </x:row>
    <x:row r="280">
      <x:c r="E280" s="69"/>
    </x:row>
    <x:row r="281">
      <x:c r="E281" s="69"/>
    </x:row>
    <x:row r="282">
      <x:c r="E282" s="69"/>
    </x:row>
    <x:row r="283">
      <x:c r="E283" s="69"/>
    </x:row>
    <x:row r="284">
      <x:c r="E284" s="69"/>
    </x:row>
    <x:row r="285">
      <x:c r="E285" s="69"/>
    </x:row>
    <x:row r="286">
      <x:c r="E286" s="69"/>
    </x:row>
    <x:row r="287">
      <x:c r="E287" s="69"/>
    </x:row>
    <x:row r="288">
      <x:c r="E288" s="69"/>
    </x:row>
    <x:row r="289">
      <x:c r="E289" s="69"/>
    </x:row>
    <x:row r="290">
      <x:c r="E290" s="69"/>
    </x:row>
    <x:row r="291">
      <x:c r="E291" s="69"/>
    </x:row>
    <x:row r="292">
      <x:c r="E292" s="69"/>
    </x:row>
    <x:row r="293">
      <x:c r="E293" s="69"/>
    </x:row>
    <x:row r="294">
      <x:c r="E294" s="69"/>
    </x:row>
    <x:row r="295">
      <x:c r="E295" s="69"/>
    </x:row>
    <x:row r="296">
      <x:c r="E296" s="69"/>
    </x:row>
    <x:row r="297">
      <x:c r="E297" s="69"/>
    </x:row>
    <x:row r="298">
      <x:c r="E298" s="69"/>
    </x:row>
    <x:row r="299">
      <x:c r="E299" s="69"/>
    </x:row>
    <x:row r="300">
      <x:c r="E300" s="69"/>
    </x:row>
    <x:row r="301">
      <x:c r="E301" s="69"/>
    </x:row>
    <x:row r="302">
      <x:c r="E302" s="69"/>
    </x:row>
    <x:row r="303">
      <x:c r="E303" s="69"/>
    </x:row>
    <x:row r="304">
      <x:c r="E304" s="69"/>
    </x:row>
    <x:row r="305">
      <x:c r="E305" s="69"/>
    </x:row>
    <x:row r="306">
      <x:c r="E306" s="69"/>
    </x:row>
    <x:row r="307">
      <x:c r="E307" s="69"/>
    </x:row>
    <x:row r="308">
      <x:c r="E308" s="69"/>
    </x:row>
    <x:row r="309">
      <x:c r="E309" s="69"/>
    </x:row>
    <x:row r="310">
      <x:c r="E310" s="69"/>
    </x:row>
    <x:row r="311">
      <x:c r="E311" s="69"/>
    </x:row>
    <x:row r="312">
      <x:c r="E312" s="69"/>
    </x:row>
    <x:row r="313">
      <x:c r="E313" s="69"/>
    </x:row>
    <x:row r="314">
      <x:c r="E314" s="69"/>
    </x:row>
    <x:row r="315">
      <x:c r="E315" s="69"/>
    </x:row>
    <x:row r="316">
      <x:c r="E316" s="69"/>
    </x:row>
    <x:row r="317">
      <x:c r="E317" s="69"/>
    </x:row>
    <x:row r="318">
      <x:c r="E318" s="69"/>
    </x:row>
    <x:row r="319">
      <x:c r="E319" s="69"/>
    </x:row>
    <x:row r="320">
      <x:c r="E320" s="69"/>
    </x:row>
    <x:row r="321">
      <x:c r="E321" s="69"/>
    </x:row>
    <x:row r="322">
      <x:c r="E322" s="69"/>
    </x:row>
    <x:row r="323">
      <x:c r="E323" s="69"/>
    </x:row>
    <x:row r="324">
      <x:c r="E324" s="69"/>
    </x:row>
    <x:row r="325">
      <x:c r="E325" s="69"/>
    </x:row>
    <x:row r="326">
      <x:c r="E326" s="69"/>
    </x:row>
    <x:row r="327">
      <x:c r="E327" s="69"/>
    </x:row>
    <x:row r="328">
      <x:c r="E328" s="69"/>
    </x:row>
    <x:row r="329">
      <x:c r="E329" s="69"/>
    </x:row>
    <x:row r="330">
      <x:c r="E330" s="69"/>
    </x:row>
    <x:row r="331">
      <x:c r="E331" s="69"/>
    </x:row>
    <x:row r="332">
      <x:c r="E332" s="69"/>
    </x:row>
    <x:row r="333">
      <x:c r="E333" s="69"/>
    </x:row>
    <x:row r="334">
      <x:c r="E334" s="69"/>
    </x:row>
    <x:row r="335">
      <x:c r="E335" s="69"/>
    </x:row>
    <x:row r="336">
      <x:c r="E336" s="69"/>
    </x:row>
    <x:row r="337">
      <x:c r="E337" s="69"/>
    </x:row>
    <x:row r="338">
      <x:c r="E338" s="69"/>
    </x:row>
    <x:row r="339">
      <x:c r="E339" s="69"/>
    </x:row>
    <x:row r="340">
      <x:c r="E340" s="69"/>
    </x:row>
    <x:row r="341">
      <x:c r="E341" s="69"/>
    </x:row>
    <x:row r="342">
      <x:c r="E342" s="69"/>
    </x:row>
    <x:row r="343">
      <x:c r="E343" s="69"/>
    </x:row>
    <x:row r="344">
      <x:c r="E344" s="69"/>
    </x:row>
    <x:row r="345">
      <x:c r="E345" s="69"/>
    </x:row>
    <x:row r="346">
      <x:c r="E346" s="69"/>
    </x:row>
    <x:row r="347">
      <x:c r="E347" s="69"/>
    </x:row>
    <x:row r="348">
      <x:c r="E348" s="69"/>
    </x:row>
    <x:row r="349">
      <x:c r="E349" s="69"/>
    </x:row>
    <x:row r="350">
      <x:c r="E350" s="69"/>
    </x:row>
    <x:row r="351">
      <x:c r="E351" s="69"/>
    </x:row>
    <x:row r="352">
      <x:c r="E352" s="69"/>
    </x:row>
    <x:row r="353">
      <x:c r="E353" s="69"/>
    </x:row>
    <x:row r="354">
      <x:c r="E354" s="69"/>
    </x:row>
    <x:row r="355">
      <x:c r="E355" s="69"/>
    </x:row>
    <x:row r="356">
      <x:c r="E356" s="69"/>
    </x:row>
    <x:row r="357">
      <x:c r="E357" s="69"/>
    </x:row>
    <x:row r="358">
      <x:c r="E358" s="69"/>
    </x:row>
    <x:row r="359">
      <x:c r="E359" s="69"/>
    </x:row>
    <x:row r="360">
      <x:c r="E360" s="69"/>
    </x:row>
    <x:row r="361">
      <x:c r="E361" s="69"/>
    </x:row>
    <x:row r="362">
      <x:c r="E362" s="69"/>
    </x:row>
    <x:row r="363">
      <x:c r="E363" s="69"/>
    </x:row>
    <x:row r="364">
      <x:c r="E364" s="69"/>
    </x:row>
    <x:row r="365">
      <x:c r="E365" s="69"/>
    </x:row>
    <x:row r="366">
      <x:c r="E366" s="69"/>
    </x:row>
    <x:row r="367">
      <x:c r="E367" s="69"/>
    </x:row>
    <x:row r="368">
      <x:c r="E368" s="69"/>
    </x:row>
    <x:row r="369">
      <x:c r="E369" s="69"/>
    </x:row>
    <x:row r="370">
      <x:c r="E370" s="69"/>
    </x:row>
    <x:row r="371">
      <x:c r="E371" s="69"/>
    </x:row>
    <x:row r="372">
      <x:c r="E372" s="69"/>
    </x:row>
    <x:row r="373">
      <x:c r="E373" s="69"/>
    </x:row>
    <x:row r="374">
      <x:c r="E374" s="69"/>
    </x:row>
    <x:row r="375">
      <x:c r="E375" s="69"/>
    </x:row>
    <x:row r="376">
      <x:c r="E376" s="69"/>
    </x:row>
    <x:row r="377">
      <x:c r="E377" s="69"/>
    </x:row>
    <x:row r="378">
      <x:c r="E378" s="69"/>
    </x:row>
    <x:row r="379">
      <x:c r="E379" s="69"/>
    </x:row>
    <x:row r="380">
      <x:c r="E380" s="69"/>
    </x:row>
    <x:row r="381">
      <x:c r="E381" s="69"/>
    </x:row>
    <x:row r="382">
      <x:c r="E382" s="69"/>
    </x:row>
    <x:row r="383">
      <x:c r="E383" s="69"/>
    </x:row>
    <x:row r="384">
      <x:c r="E384" s="69"/>
    </x:row>
    <x:row r="385">
      <x:c r="E385" s="69"/>
    </x:row>
    <x:row r="386">
      <x:c r="E386" s="69"/>
    </x:row>
    <x:row r="387">
      <x:c r="E387" s="69"/>
    </x:row>
    <x:row r="388">
      <x:c r="E388" s="69"/>
    </x:row>
    <x:row r="389">
      <x:c r="E389" s="69"/>
    </x:row>
    <x:row r="390">
      <x:c r="E390" s="69"/>
    </x:row>
    <x:row r="391">
      <x:c r="E391" s="69"/>
    </x:row>
    <x:row r="392">
      <x:c r="E392" s="69"/>
    </x:row>
    <x:row r="393">
      <x:c r="E393" s="69"/>
    </x:row>
    <x:row r="394">
      <x:c r="E394" s="69"/>
    </x:row>
    <x:row r="395">
      <x:c r="E395" s="69"/>
    </x:row>
    <x:row r="396">
      <x:c r="E396" s="69"/>
    </x:row>
    <x:row r="397">
      <x:c r="E397" s="69"/>
    </x:row>
    <x:row r="398">
      <x:c r="E398" s="69"/>
    </x:row>
    <x:row r="399">
      <x:c r="E399" s="69"/>
    </x:row>
    <x:row r="400">
      <x:c r="E400" s="69"/>
    </x:row>
    <x:row r="401">
      <x:c r="E401" s="69"/>
    </x:row>
    <x:row r="402">
      <x:c r="E402" s="69"/>
    </x:row>
    <x:row r="403">
      <x:c r="E403" s="69"/>
    </x:row>
    <x:row r="404">
      <x:c r="E404" s="69"/>
    </x:row>
    <x:row r="405">
      <x:c r="E405" s="69"/>
    </x:row>
    <x:row r="406">
      <x:c r="E406" s="69"/>
    </x:row>
    <x:row r="407">
      <x:c r="E407" s="69"/>
    </x:row>
    <x:row r="408">
      <x:c r="E408" s="69"/>
    </x:row>
    <x:row r="409">
      <x:c r="E409" s="69"/>
    </x:row>
    <x:row r="410">
      <x:c r="E410" s="69"/>
    </x:row>
    <x:row r="411">
      <x:c r="E411" s="69"/>
    </x:row>
    <x:row r="412">
      <x:c r="E412" s="69"/>
    </x:row>
    <x:row r="413">
      <x:c r="E413" s="69"/>
    </x:row>
    <x:row r="414">
      <x:c r="E414" s="69"/>
    </x:row>
    <x:row r="415">
      <x:c r="E415" s="69"/>
    </x:row>
    <x:row r="416">
      <x:c r="E416" s="69"/>
    </x:row>
    <x:row r="417">
      <x:c r="E417" s="69"/>
    </x:row>
    <x:row r="418">
      <x:c r="E418" s="69"/>
    </x:row>
    <x:row r="419">
      <x:c r="E419" s="69"/>
    </x:row>
    <x:row r="420">
      <x:c r="E420" s="69"/>
    </x:row>
    <x:row r="421">
      <x:c r="E421" s="69"/>
    </x:row>
    <x:row r="422">
      <x:c r="E422" s="69"/>
    </x:row>
    <x:row r="423">
      <x:c r="E423" s="69"/>
    </x:row>
    <x:row r="424">
      <x:c r="E424" s="69"/>
    </x:row>
    <x:row r="425">
      <x:c r="E425" s="69"/>
    </x:row>
    <x:row r="426">
      <x:c r="E426" s="69"/>
    </x:row>
    <x:row r="427">
      <x:c r="E427" s="69"/>
    </x:row>
    <x:row r="428">
      <x:c r="E428" s="69"/>
    </x:row>
    <x:row r="429">
      <x:c r="E429" s="69"/>
    </x:row>
    <x:row r="430">
      <x:c r="E430" s="69"/>
    </x:row>
    <x:row r="431">
      <x:c r="E431" s="69"/>
    </x:row>
    <x:row r="432">
      <x:c r="E432" s="69"/>
    </x:row>
    <x:row r="433">
      <x:c r="E433" s="69"/>
    </x:row>
    <x:row r="434">
      <x:c r="E434" s="69"/>
    </x:row>
    <x:row r="435">
      <x:c r="E435" s="69"/>
    </x:row>
    <x:row r="436">
      <x:c r="E436" s="69"/>
    </x:row>
    <x:row r="437">
      <x:c r="E437" s="69"/>
    </x:row>
    <x:row r="438">
      <x:c r="E438" s="69"/>
    </x:row>
    <x:row r="439">
      <x:c r="E439" s="69"/>
    </x:row>
    <x:row r="440">
      <x:c r="E440" s="69"/>
    </x:row>
    <x:row r="441">
      <x:c r="E441" s="69"/>
    </x:row>
    <x:row r="442">
      <x:c r="E442" s="69"/>
    </x:row>
    <x:row r="443">
      <x:c r="E443" s="69"/>
    </x:row>
    <x:row r="444">
      <x:c r="E444" s="69"/>
    </x:row>
    <x:row r="445">
      <x:c r="E445" s="69"/>
    </x:row>
    <x:row r="446">
      <x:c r="E446" s="69"/>
    </x:row>
    <x:row r="447">
      <x:c r="E447" s="69"/>
    </x:row>
    <x:row r="448">
      <x:c r="E448" s="69"/>
    </x:row>
    <x:row r="449">
      <x:c r="E449" s="69"/>
    </x:row>
    <x:row r="450">
      <x:c r="E450" s="69"/>
    </x:row>
    <x:row r="451">
      <x:c r="E451" s="69"/>
    </x:row>
    <x:row r="452">
      <x:c r="E452" s="69"/>
    </x:row>
    <x:row r="453">
      <x:c r="E453" s="69"/>
    </x:row>
    <x:row r="454">
      <x:c r="E454" s="69"/>
    </x:row>
    <x:row r="455">
      <x:c r="E455" s="69"/>
    </x:row>
    <x:row r="456">
      <x:c r="E456" s="69"/>
    </x:row>
    <x:row r="457">
      <x:c r="E457" s="69"/>
    </x:row>
    <x:row r="458">
      <x:c r="E458" s="69"/>
    </x:row>
    <x:row r="459">
      <x:c r="E459" s="69"/>
    </x:row>
    <x:row r="460">
      <x:c r="E460" s="69"/>
    </x:row>
    <x:row r="461">
      <x:c r="E461" s="69"/>
    </x:row>
    <x:row r="462">
      <x:c r="E462" s="69"/>
    </x:row>
    <x:row r="463">
      <x:c r="E463" s="69"/>
    </x:row>
    <x:row r="464">
      <x:c r="E464" s="69"/>
    </x:row>
    <x:row r="465">
      <x:c r="E465" s="69"/>
    </x:row>
    <x:row r="466">
      <x:c r="E466" s="69"/>
    </x:row>
    <x:row r="467">
      <x:c r="E467" s="69"/>
    </x:row>
    <x:row r="468">
      <x:c r="E468" s="69"/>
    </x:row>
    <x:row r="469">
      <x:c r="E469" s="69"/>
    </x:row>
    <x:row r="470">
      <x:c r="E470" s="69"/>
    </x:row>
    <x:row r="471">
      <x:c r="E471" s="69"/>
    </x:row>
    <x:row r="472">
      <x:c r="E472" s="69"/>
    </x:row>
    <x:row r="473">
      <x:c r="E473" s="69"/>
    </x:row>
    <x:row r="474">
      <x:c r="E474" s="69"/>
    </x:row>
    <x:row r="475">
      <x:c r="E475" s="69"/>
    </x:row>
    <x:row r="476">
      <x:c r="E476" s="69"/>
    </x:row>
    <x:row r="477">
      <x:c r="E477" s="69"/>
    </x:row>
    <x:row r="478">
      <x:c r="E478" s="69"/>
    </x:row>
    <x:row r="479">
      <x:c r="E479" s="69"/>
    </x:row>
    <x:row r="480">
      <x:c r="E480" s="69"/>
    </x:row>
    <x:row r="481">
      <x:c r="E481" s="69"/>
    </x:row>
    <x:row r="482">
      <x:c r="E482" s="69"/>
    </x:row>
    <x:row r="483">
      <x:c r="E483" s="69"/>
    </x:row>
    <x:row r="484">
      <x:c r="E484" s="69"/>
    </x:row>
    <x:row r="485">
      <x:c r="E485" s="69"/>
    </x:row>
    <x:row r="486">
      <x:c r="E486" s="69"/>
    </x:row>
    <x:row r="487">
      <x:c r="E487" s="69"/>
    </x:row>
    <x:row r="488">
      <x:c r="E488" s="69"/>
    </x:row>
    <x:row r="489">
      <x:c r="E489" s="69"/>
    </x:row>
    <x:row r="490">
      <x:c r="E490" s="69"/>
    </x:row>
    <x:row r="491">
      <x:c r="E491" s="69"/>
    </x:row>
    <x:row r="492">
      <x:c r="E492" s="69"/>
    </x:row>
    <x:row r="493">
      <x:c r="E493" s="69"/>
    </x:row>
    <x:row r="494">
      <x:c r="E494" s="69"/>
    </x:row>
    <x:row r="495">
      <x:c r="E495" s="69"/>
    </x:row>
    <x:row r="496">
      <x:c r="E496" s="69"/>
    </x:row>
    <x:row r="497">
      <x:c r="E497" s="69"/>
    </x:row>
    <x:row r="498">
      <x:c r="E498" s="69"/>
    </x:row>
    <x:row r="499">
      <x:c r="E499" s="69"/>
    </x:row>
    <x:row r="500">
      <x:c r="E500" s="69"/>
    </x:row>
    <x:row r="501">
      <x:c r="E501" s="69"/>
    </x:row>
    <x:row r="502">
      <x:c r="E502" s="69"/>
    </x:row>
    <x:row r="503">
      <x:c r="E503" s="69"/>
    </x:row>
    <x:row r="504">
      <x:c r="E504" s="69"/>
    </x:row>
    <x:row r="505">
      <x:c r="E505" s="69"/>
    </x:row>
    <x:row r="506">
      <x:c r="E506" s="69"/>
    </x:row>
    <x:row r="507">
      <x:c r="E507" s="69"/>
    </x:row>
    <x:row r="508">
      <x:c r="E508" s="69"/>
    </x:row>
    <x:row r="509">
      <x:c r="E509" s="69"/>
    </x:row>
    <x:row r="510">
      <x:c r="E510" s="69"/>
    </x:row>
    <x:row r="511">
      <x:c r="E511" s="69"/>
    </x:row>
    <x:row r="512">
      <x:c r="E512" s="69"/>
    </x:row>
    <x:row r="513">
      <x:c r="E513" s="69"/>
    </x:row>
    <x:row r="514">
      <x:c r="E514" s="69"/>
    </x:row>
    <x:row r="515">
      <x:c r="E515" s="69"/>
    </x:row>
    <x:row r="516">
      <x:c r="E516" s="69"/>
    </x:row>
    <x:row r="517">
      <x:c r="E517" s="69"/>
    </x:row>
    <x:row r="518">
      <x:c r="E518" s="69"/>
    </x:row>
    <x:row r="519">
      <x:c r="E519" s="69"/>
    </x:row>
    <x:row r="520">
      <x:c r="E520" s="69"/>
    </x:row>
    <x:row r="521">
      <x:c r="E521" s="69"/>
    </x:row>
    <x:row r="522">
      <x:c r="E522" s="69"/>
    </x:row>
    <x:row r="523">
      <x:c r="E523" s="69"/>
    </x:row>
    <x:row r="524">
      <x:c r="E524" s="69"/>
    </x:row>
    <x:row r="525">
      <x:c r="E525" s="69"/>
    </x:row>
    <x:row r="526">
      <x:c r="E526" s="69"/>
    </x:row>
    <x:row r="527">
      <x:c r="E527" s="69"/>
    </x:row>
    <x:row r="528">
      <x:c r="E528" s="69"/>
    </x:row>
    <x:row r="529">
      <x:c r="E529" s="69"/>
    </x:row>
    <x:row r="530">
      <x:c r="E530" s="69"/>
    </x:row>
    <x:row r="531">
      <x:c r="E531" s="69"/>
    </x:row>
    <x:row r="532">
      <x:c r="E532" s="69"/>
    </x:row>
    <x:row r="533">
      <x:c r="E533" s="69"/>
    </x:row>
    <x:row r="534">
      <x:c r="E534" s="69"/>
    </x:row>
    <x:row r="535">
      <x:c r="E535" s="69"/>
    </x:row>
    <x:row r="536">
      <x:c r="E536" s="69"/>
    </x:row>
    <x:row r="537">
      <x:c r="E537" s="69"/>
    </x:row>
    <x:row r="538">
      <x:c r="E538" s="69"/>
    </x:row>
    <x:row r="539">
      <x:c r="E539" s="69"/>
    </x:row>
    <x:row r="540">
      <x:c r="E540" s="69"/>
    </x:row>
    <x:row r="541">
      <x:c r="E541" s="69"/>
    </x:row>
    <x:row r="542">
      <x:c r="E542" s="69"/>
    </x:row>
    <x:row r="543">
      <x:c r="E543" s="69"/>
    </x:row>
    <x:row r="544">
      <x:c r="E544" s="69"/>
    </x:row>
    <x:row r="545">
      <x:c r="E545" s="69"/>
    </x:row>
    <x:row r="546">
      <x:c r="E546" s="69"/>
    </x:row>
    <x:row r="547">
      <x:c r="E547" s="69"/>
    </x:row>
    <x:row r="548">
      <x:c r="E548" s="69"/>
    </x:row>
    <x:row r="549">
      <x:c r="E549" s="69"/>
    </x:row>
    <x:row r="550">
      <x:c r="E550" s="69"/>
    </x:row>
    <x:row r="551">
      <x:c r="E551" s="69"/>
    </x:row>
    <x:row r="552">
      <x:c r="E552" s="69"/>
    </x:row>
    <x:row r="553">
      <x:c r="E553" s="69"/>
    </x:row>
    <x:row r="554">
      <x:c r="E554" s="69"/>
    </x:row>
    <x:row r="555">
      <x:c r="E555" s="69"/>
    </x:row>
    <x:row r="556">
      <x:c r="E556" s="69"/>
    </x:row>
    <x:row r="557">
      <x:c r="E557" s="69"/>
    </x:row>
    <x:row r="558">
      <x:c r="E558" s="69"/>
    </x:row>
    <x:row r="559">
      <x:c r="E559" s="69"/>
    </x:row>
    <x:row r="560">
      <x:c r="E560" s="69"/>
    </x:row>
    <x:row r="561">
      <x:c r="E561" s="69"/>
    </x:row>
    <x:row r="562">
      <x:c r="E562" s="69"/>
    </x:row>
    <x:row r="563">
      <x:c r="E563" s="69"/>
    </x:row>
    <x:row r="564">
      <x:c r="E564" s="69"/>
    </x:row>
    <x:row r="565">
      <x:c r="E565" s="69"/>
    </x:row>
    <x:row r="566">
      <x:c r="E566" s="69"/>
    </x:row>
    <x:row r="567">
      <x:c r="E567" s="69"/>
    </x:row>
    <x:row r="568">
      <x:c r="E568" s="69"/>
    </x:row>
    <x:row r="569">
      <x:c r="E569" s="69"/>
    </x:row>
    <x:row r="570">
      <x:c r="E570" s="69"/>
    </x:row>
    <x:row r="571">
      <x:c r="E571" s="69"/>
    </x:row>
    <x:row r="572">
      <x:c r="E572" s="69"/>
    </x:row>
    <x:row r="573">
      <x:c r="E573" s="69"/>
    </x:row>
    <x:row r="574">
      <x:c r="E574" s="69"/>
    </x:row>
    <x:row r="575">
      <x:c r="E575" s="69"/>
    </x:row>
    <x:row r="576">
      <x:c r="E576" s="69"/>
    </x:row>
    <x:row r="577">
      <x:c r="E577" s="69"/>
    </x:row>
    <x:row r="578">
      <x:c r="E578" s="69"/>
    </x:row>
    <x:row r="579">
      <x:c r="E579" s="69"/>
    </x:row>
    <x:row r="580">
      <x:c r="E580" s="69"/>
    </x:row>
    <x:row r="581">
      <x:c r="E581" s="69"/>
    </x:row>
    <x:row r="582">
      <x:c r="E582" s="69"/>
    </x:row>
    <x:row r="583">
      <x:c r="E583" s="69"/>
    </x:row>
    <x:row r="584">
      <x:c r="E584" s="69"/>
    </x:row>
    <x:row r="585">
      <x:c r="E585" s="69"/>
    </x:row>
    <x:row r="586">
      <x:c r="E586" s="69"/>
    </x:row>
    <x:row r="587">
      <x:c r="E587" s="69"/>
    </x:row>
    <x:row r="588">
      <x:c r="E588" s="69"/>
    </x:row>
    <x:row r="589">
      <x:c r="E589" s="69"/>
    </x:row>
    <x:row r="590">
      <x:c r="E590" s="69"/>
    </x:row>
    <x:row r="591">
      <x:c r="E591" s="69"/>
    </x:row>
    <x:row r="592">
      <x:c r="E592" s="69"/>
    </x:row>
    <x:row r="593">
      <x:c r="E593" s="69"/>
    </x:row>
    <x:row r="594">
      <x:c r="E594" s="69"/>
    </x:row>
    <x:row r="595">
      <x:c r="E595" s="69"/>
    </x:row>
    <x:row r="596">
      <x:c r="E596" s="69"/>
    </x:row>
    <x:row r="597">
      <x:c r="E597" s="69"/>
    </x:row>
    <x:row r="598">
      <x:c r="E598" s="69"/>
    </x:row>
    <x:row r="599">
      <x:c r="E599" s="69"/>
    </x:row>
    <x:row r="600">
      <x:c r="E600" s="69"/>
    </x:row>
    <x:row r="601">
      <x:c r="E601" s="69"/>
    </x:row>
    <x:row r="602">
      <x:c r="E602" s="69"/>
    </x:row>
    <x:row r="603">
      <x:c r="E603" s="69"/>
    </x:row>
    <x:row r="604">
      <x:c r="E604" s="69"/>
    </x:row>
    <x:row r="605">
      <x:c r="E605" s="69"/>
    </x:row>
    <x:row r="606">
      <x:c r="E606" s="69"/>
    </x:row>
    <x:row r="607">
      <x:c r="E607" s="69"/>
    </x:row>
    <x:row r="608">
      <x:c r="E608" s="69"/>
    </x:row>
    <x:row r="609">
      <x:c r="E609" s="69"/>
    </x:row>
    <x:row r="610">
      <x:c r="E610" s="69"/>
    </x:row>
    <x:row r="611">
      <x:c r="E611" s="69"/>
    </x:row>
    <x:row r="612">
      <x:c r="E612" s="69"/>
    </x:row>
    <x:row r="613">
      <x:c r="E613" s="69"/>
    </x:row>
    <x:row r="614">
      <x:c r="E614" s="69"/>
    </x:row>
    <x:row r="615">
      <x:c r="E615" s="69"/>
    </x:row>
    <x:row r="616">
      <x:c r="E616" s="69"/>
    </x:row>
    <x:row r="617">
      <x:c r="E617" s="69"/>
    </x:row>
    <x:row r="618">
      <x:c r="E618" s="69"/>
    </x:row>
    <x:row r="619">
      <x:c r="E619" s="69"/>
    </x:row>
    <x:row r="620">
      <x:c r="E620" s="69"/>
    </x:row>
    <x:row r="621">
      <x:c r="E621" s="69"/>
    </x:row>
    <x:row r="622">
      <x:c r="E622" s="69"/>
    </x:row>
    <x:row r="623">
      <x:c r="E623" s="69"/>
    </x:row>
    <x:row r="624">
      <x:c r="E624" s="69"/>
    </x:row>
    <x:row r="625">
      <x:c r="E625" s="69"/>
    </x:row>
    <x:row r="626">
      <x:c r="E626" s="69"/>
    </x:row>
    <x:row r="627">
      <x:c r="E627" s="69"/>
    </x:row>
    <x:row r="628">
      <x:c r="E628" s="69"/>
    </x:row>
    <x:row r="629">
      <x:c r="E629" s="69"/>
    </x:row>
    <x:row r="630">
      <x:c r="E630" s="69"/>
    </x:row>
    <x:row r="631">
      <x:c r="E631" s="69"/>
    </x:row>
    <x:row r="632">
      <x:c r="E632" s="69"/>
    </x:row>
    <x:row r="633">
      <x:c r="E633" s="69"/>
    </x:row>
    <x:row r="634">
      <x:c r="E634" s="69"/>
    </x:row>
    <x:row r="635">
      <x:c r="E635" s="69"/>
    </x:row>
    <x:row r="636">
      <x:c r="E636" s="69"/>
    </x:row>
    <x:row r="637">
      <x:c r="E637" s="69"/>
    </x:row>
    <x:row r="638">
      <x:c r="E638" s="69"/>
    </x:row>
    <x:row r="639">
      <x:c r="E639" s="69"/>
    </x:row>
    <x:row r="640">
      <x:c r="E640" s="69"/>
    </x:row>
    <x:row r="641">
      <x:c r="E641" s="69"/>
    </x:row>
    <x:row r="642">
      <x:c r="E642" s="69"/>
    </x:row>
    <x:row r="643">
      <x:c r="E643" s="69"/>
    </x:row>
    <x:row r="644">
      <x:c r="E644" s="69"/>
    </x:row>
    <x:row r="645">
      <x:c r="E645" s="69"/>
    </x:row>
    <x:row r="646">
      <x:c r="E646" s="69"/>
    </x:row>
    <x:row r="647">
      <x:c r="E647" s="69"/>
    </x:row>
    <x:row r="648">
      <x:c r="E648" s="69"/>
    </x:row>
    <x:row r="649">
      <x:c r="E649" s="69"/>
    </x:row>
    <x:row r="650">
      <x:c r="E650" s="69"/>
    </x:row>
    <x:row r="651">
      <x:c r="E651" s="69"/>
    </x:row>
    <x:row r="652">
      <x:c r="E652" s="69"/>
    </x:row>
    <x:row r="653">
      <x:c r="E653" s="69"/>
    </x:row>
    <x:row r="654">
      <x:c r="E654" s="69"/>
    </x:row>
    <x:row r="655">
      <x:c r="E655" s="69"/>
    </x:row>
    <x:row r="656">
      <x:c r="E656" s="69"/>
    </x:row>
    <x:row r="657">
      <x:c r="E657" s="69"/>
    </x:row>
    <x:row r="658">
      <x:c r="E658" s="69"/>
    </x:row>
    <x:row r="659">
      <x:c r="E659" s="69"/>
    </x:row>
    <x:row r="660">
      <x:c r="E660" s="69"/>
    </x:row>
    <x:row r="661">
      <x:c r="E661" s="69"/>
    </x:row>
    <x:row r="662">
      <x:c r="E662" s="69"/>
    </x:row>
    <x:row r="663">
      <x:c r="E663" s="69"/>
    </x:row>
    <x:row r="664">
      <x:c r="E664" s="69"/>
    </x:row>
    <x:row r="665">
      <x:c r="E665" s="69"/>
    </x:row>
    <x:row r="666">
      <x:c r="E666" s="69"/>
    </x:row>
    <x:row r="667">
      <x:c r="E667" s="69"/>
    </x:row>
    <x:row r="668">
      <x:c r="E668" s="69"/>
    </x:row>
    <x:row r="669">
      <x:c r="E669" s="69"/>
    </x:row>
    <x:row r="670">
      <x:c r="E670" s="69"/>
    </x:row>
    <x:row r="671">
      <x:c r="E671" s="69"/>
    </x:row>
    <x:row r="672">
      <x:c r="E672" s="69"/>
    </x:row>
    <x:row r="673">
      <x:c r="E673" s="69"/>
    </x:row>
    <x:row r="674">
      <x:c r="E674" s="69"/>
    </x:row>
    <x:row r="675">
      <x:c r="E675" s="69"/>
    </x:row>
    <x:row r="676">
      <x:c r="E676" s="69"/>
    </x:row>
    <x:row r="677">
      <x:c r="E677" s="69"/>
    </x:row>
    <x:row r="678">
      <x:c r="E678" s="69"/>
    </x:row>
    <x:row r="679">
      <x:c r="E679" s="69"/>
    </x:row>
    <x:row r="680">
      <x:c r="E680" s="69"/>
    </x:row>
    <x:row r="681">
      <x:c r="E681" s="69"/>
    </x:row>
    <x:row r="682">
      <x:c r="E682" s="69"/>
    </x:row>
    <x:row r="683">
      <x:c r="E683" s="69"/>
    </x:row>
    <x:row r="684">
      <x:c r="E684" s="69"/>
    </x:row>
    <x:row r="685">
      <x:c r="E685" s="69"/>
    </x:row>
    <x:row r="686">
      <x:c r="E686" s="69"/>
    </x:row>
    <x:row r="687">
      <x:c r="E687" s="69"/>
    </x:row>
    <x:row r="688">
      <x:c r="E688" s="69"/>
    </x:row>
    <x:row r="689">
      <x:c r="E689" s="69"/>
    </x:row>
    <x:row r="690">
      <x:c r="E690" s="69"/>
    </x:row>
    <x:row r="691">
      <x:c r="E691" s="69"/>
    </x:row>
    <x:row r="692">
      <x:c r="E692" s="69"/>
    </x:row>
    <x:row r="693">
      <x:c r="E693" s="69"/>
    </x:row>
    <x:row r="694">
      <x:c r="E694" s="69"/>
    </x:row>
    <x:row r="695">
      <x:c r="E695" s="69"/>
    </x:row>
    <x:row r="696">
      <x:c r="E696" s="69"/>
    </x:row>
    <x:row r="697">
      <x:c r="E697" s="69"/>
    </x:row>
    <x:row r="698">
      <x:c r="E698" s="69"/>
    </x:row>
    <x:row r="699">
      <x:c r="E699" s="69"/>
    </x:row>
    <x:row r="700">
      <x:c r="E700" s="69"/>
    </x:row>
    <x:row r="701">
      <x:c r="E701" s="69"/>
    </x:row>
    <x:row r="702">
      <x:c r="E702" s="69"/>
    </x:row>
    <x:row r="703">
      <x:c r="E703" s="69"/>
    </x:row>
    <x:row r="704">
      <x:c r="E704" s="69"/>
    </x:row>
    <x:row r="705">
      <x:c r="E705" s="69"/>
    </x:row>
    <x:row r="706">
      <x:c r="E706" s="69"/>
    </x:row>
    <x:row r="707">
      <x:c r="E707" s="69"/>
    </x:row>
    <x:row r="708">
      <x:c r="E708" s="69"/>
    </x:row>
    <x:row r="709">
      <x:c r="E709" s="69"/>
    </x:row>
    <x:row r="710">
      <x:c r="E710" s="69"/>
    </x:row>
    <x:row r="711">
      <x:c r="E711" s="69"/>
    </x:row>
    <x:row r="712">
      <x:c r="E712" s="69"/>
    </x:row>
    <x:row r="713">
      <x:c r="E713" s="69"/>
    </x:row>
    <x:row r="714">
      <x:c r="E714" s="69"/>
    </x:row>
    <x:row r="715">
      <x:c r="E715" s="69"/>
    </x:row>
    <x:row r="716">
      <x:c r="E716" s="69"/>
    </x:row>
    <x:row r="717">
      <x:c r="E717" s="69"/>
    </x:row>
    <x:row r="718">
      <x:c r="E718" s="69"/>
    </x:row>
    <x:row r="719">
      <x:c r="E719" s="69"/>
    </x:row>
    <x:row r="720">
      <x:c r="E720" s="69"/>
    </x:row>
    <x:row r="721">
      <x:c r="E721" s="69"/>
    </x:row>
    <x:row r="722">
      <x:c r="E722" s="69"/>
    </x:row>
    <x:row r="723">
      <x:c r="E723" s="69"/>
    </x:row>
    <x:row r="724">
      <x:c r="E724" s="69"/>
    </x:row>
    <x:row r="725">
      <x:c r="E725" s="69"/>
    </x:row>
    <x:row r="726">
      <x:c r="E726" s="69"/>
    </x:row>
    <x:row r="727">
      <x:c r="E727" s="69"/>
    </x:row>
    <x:row r="728">
      <x:c r="E728" s="69"/>
    </x:row>
    <x:row r="729">
      <x:c r="E729" s="69"/>
    </x:row>
    <x:row r="730">
      <x:c r="E730" s="69"/>
    </x:row>
    <x:row r="731">
      <x:c r="E731" s="69"/>
    </x:row>
    <x:row r="732">
      <x:c r="E732" s="69"/>
    </x:row>
    <x:row r="733">
      <x:c r="E733" s="69"/>
    </x:row>
    <x:row r="734">
      <x:c r="E734" s="69"/>
    </x:row>
    <x:row r="735">
      <x:c r="E735" s="69"/>
    </x:row>
    <x:row r="736">
      <x:c r="E736" s="69"/>
    </x:row>
    <x:row r="737">
      <x:c r="E737" s="69"/>
    </x:row>
    <x:row r="738">
      <x:c r="E738" s="69"/>
    </x:row>
    <x:row r="739">
      <x:c r="E739" s="69"/>
    </x:row>
    <x:row r="740">
      <x:c r="E740" s="69"/>
    </x:row>
    <x:row r="741">
      <x:c r="E741" s="69"/>
    </x:row>
    <x:row r="742">
      <x:c r="E742" s="69"/>
    </x:row>
    <x:row r="743">
      <x:c r="E743" s="69"/>
    </x:row>
    <x:row r="744">
      <x:c r="E744" s="69"/>
    </x:row>
    <x:row r="745">
      <x:c r="E745" s="69"/>
    </x:row>
    <x:row r="746">
      <x:c r="E746" s="69"/>
    </x:row>
    <x:row r="747">
      <x:c r="E747" s="69"/>
    </x:row>
    <x:row r="748">
      <x:c r="E748" s="69"/>
    </x:row>
    <x:row r="749">
      <x:c r="E749" s="69"/>
    </x:row>
    <x:row r="750">
      <x:c r="E750" s="69"/>
    </x:row>
    <x:row r="751">
      <x:c r="E751" s="69"/>
    </x:row>
    <x:row r="752">
      <x:c r="E752" s="69"/>
    </x:row>
    <x:row r="753">
      <x:c r="E753" s="69"/>
    </x:row>
    <x:row r="754">
      <x:c r="E754" s="69"/>
    </x:row>
    <x:row r="755">
      <x:c r="E755" s="69"/>
    </x:row>
    <x:row r="756">
      <x:c r="E756" s="69"/>
    </x:row>
    <x:row r="757">
      <x:c r="E757" s="69"/>
    </x:row>
    <x:row r="758">
      <x:c r="E758" s="69"/>
    </x:row>
    <x:row r="759">
      <x:c r="E759" s="69"/>
    </x:row>
    <x:row r="760">
      <x:c r="E760" s="69"/>
    </x:row>
    <x:row r="761">
      <x:c r="E761" s="69"/>
    </x:row>
    <x:row r="762">
      <x:c r="E762" s="69"/>
    </x:row>
    <x:row r="763">
      <x:c r="E763" s="69"/>
    </x:row>
    <x:row r="764">
      <x:c r="E764" s="69"/>
    </x:row>
    <x:row r="765">
      <x:c r="E765" s="69"/>
    </x:row>
    <x:row r="766">
      <x:c r="E766" s="69"/>
    </x:row>
    <x:row r="767">
      <x:c r="E767" s="69"/>
    </x:row>
    <x:row r="768">
      <x:c r="E768" s="69"/>
    </x:row>
    <x:row r="769">
      <x:c r="E769" s="69"/>
    </x:row>
    <x:row r="770">
      <x:c r="E770" s="69"/>
    </x:row>
    <x:row r="771">
      <x:c r="E771" s="69"/>
    </x:row>
    <x:row r="772">
      <x:c r="E772" s="69"/>
    </x:row>
    <x:row r="773">
      <x:c r="E773" s="69"/>
    </x:row>
    <x:row r="774">
      <x:c r="E774" s="69"/>
    </x:row>
    <x:row r="775">
      <x:c r="E775" s="69"/>
    </x:row>
    <x:row r="776">
      <x:c r="E776" s="69"/>
    </x:row>
    <x:row r="777">
      <x:c r="E777" s="69"/>
    </x:row>
    <x:row r="778">
      <x:c r="E778" s="69"/>
    </x:row>
    <x:row r="779">
      <x:c r="E779" s="69"/>
    </x:row>
    <x:row r="780">
      <x:c r="E780" s="69"/>
    </x:row>
    <x:row r="781">
      <x:c r="E781" s="69"/>
    </x:row>
    <x:row r="782">
      <x:c r="E782" s="69"/>
    </x:row>
    <x:row r="783">
      <x:c r="E783" s="69"/>
    </x:row>
    <x:row r="784">
      <x:c r="E784" s="69"/>
    </x:row>
    <x:row r="785">
      <x:c r="E785" s="69"/>
    </x:row>
    <x:row r="786">
      <x:c r="E786" s="69"/>
    </x:row>
    <x:row r="787">
      <x:c r="E787" s="69"/>
    </x:row>
    <x:row r="788">
      <x:c r="E788" s="69"/>
    </x:row>
    <x:row r="789">
      <x:c r="E789" s="69"/>
    </x:row>
    <x:row r="790">
      <x:c r="E790" s="69"/>
    </x:row>
    <x:row r="791">
      <x:c r="E791" s="69"/>
    </x:row>
    <x:row r="792">
      <x:c r="E792" s="69"/>
    </x:row>
    <x:row r="793">
      <x:c r="E793" s="69"/>
    </x:row>
    <x:row r="794">
      <x:c r="E794" s="69"/>
    </x:row>
    <x:row r="795">
      <x:c r="E795" s="69"/>
    </x:row>
    <x:row r="796">
      <x:c r="E796" s="69"/>
    </x:row>
    <x:row r="797">
      <x:c r="E797" s="69"/>
    </x:row>
    <x:row r="798">
      <x:c r="E798" s="69"/>
    </x:row>
    <x:row r="799">
      <x:c r="E799" s="69"/>
    </x:row>
    <x:row r="800">
      <x:c r="E800" s="69"/>
    </x:row>
    <x:row r="801">
      <x:c r="E801" s="69"/>
    </x:row>
    <x:row r="802">
      <x:c r="E802" s="69"/>
    </x:row>
    <x:row r="803">
      <x:c r="E803" s="69"/>
    </x:row>
    <x:row r="804">
      <x:c r="E804" s="69"/>
    </x:row>
    <x:row r="805">
      <x:c r="E805" s="69"/>
    </x:row>
    <x:row r="806">
      <x:c r="E806" s="69"/>
    </x:row>
    <x:row r="807">
      <x:c r="E807" s="69"/>
    </x:row>
    <x:row r="808">
      <x:c r="E808" s="69"/>
    </x:row>
    <x:row r="809">
      <x:c r="E809" s="69"/>
    </x:row>
    <x:row r="810">
      <x:c r="E810" s="69"/>
    </x:row>
    <x:row r="811">
      <x:c r="E811" s="69"/>
    </x:row>
    <x:row r="812">
      <x:c r="E812" s="69"/>
    </x:row>
    <x:row r="813">
      <x:c r="E813" s="69"/>
    </x:row>
    <x:row r="814">
      <x:c r="E814" s="69"/>
    </x:row>
    <x:row r="815">
      <x:c r="E815" s="69"/>
    </x:row>
    <x:row r="816">
      <x:c r="E816" s="69"/>
    </x:row>
    <x:row r="817">
      <x:c r="E817" s="69"/>
    </x:row>
    <x:row r="818">
      <x:c r="E818" s="69"/>
    </x:row>
    <x:row r="819">
      <x:c r="E819" s="69"/>
    </x:row>
    <x:row r="820">
      <x:c r="E820" s="69"/>
    </x:row>
    <x:row r="821">
      <x:c r="E821" s="69"/>
    </x:row>
    <x:row r="822">
      <x:c r="E822" s="69"/>
    </x:row>
    <x:row r="823">
      <x:c r="E823" s="69"/>
    </x:row>
    <x:row r="824">
      <x:c r="E824" s="69"/>
    </x:row>
    <x:row r="825">
      <x:c r="E825" s="69"/>
    </x:row>
    <x:row r="826">
      <x:c r="E826" s="69"/>
    </x:row>
    <x:row r="827">
      <x:c r="E827" s="69"/>
    </x:row>
    <x:row r="828">
      <x:c r="E828" s="69"/>
    </x:row>
    <x:row r="829">
      <x:c r="E829" s="69"/>
    </x:row>
    <x:row r="830">
      <x:c r="E830" s="69"/>
    </x:row>
    <x:row r="831">
      <x:c r="E831" s="69"/>
    </x:row>
    <x:row r="832">
      <x:c r="E832" s="69"/>
    </x:row>
    <x:row r="833">
      <x:c r="E833" s="69"/>
    </x:row>
    <x:row r="834">
      <x:c r="E834" s="69"/>
    </x:row>
    <x:row r="835">
      <x:c r="E835" s="69"/>
    </x:row>
    <x:row r="836">
      <x:c r="E836" s="69"/>
    </x:row>
    <x:row r="837">
      <x:c r="E837" s="69"/>
    </x:row>
    <x:row r="838">
      <x:c r="E838" s="69"/>
    </x:row>
    <x:row r="839">
      <x:c r="E839" s="69"/>
    </x:row>
    <x:row r="840">
      <x:c r="E840" s="69"/>
    </x:row>
    <x:row r="841">
      <x:c r="E841" s="69"/>
    </x:row>
    <x:row r="842">
      <x:c r="E842" s="69"/>
    </x:row>
    <x:row r="843">
      <x:c r="E843" s="69"/>
    </x:row>
    <x:row r="844">
      <x:c r="E844" s="69"/>
    </x:row>
    <x:row r="845">
      <x:c r="E845" s="69"/>
    </x:row>
    <x:row r="846">
      <x:c r="E846" s="69"/>
    </x:row>
    <x:row r="847">
      <x:c r="E847" s="69"/>
    </x:row>
    <x:row r="848">
      <x:c r="E848" s="69"/>
    </x:row>
    <x:row r="849">
      <x:c r="E849" s="69"/>
    </x:row>
    <x:row r="850">
      <x:c r="E850" s="69"/>
    </x:row>
    <x:row r="851">
      <x:c r="E851" s="69"/>
    </x:row>
    <x:row r="852">
      <x:c r="E852" s="69"/>
    </x:row>
    <x:row r="853">
      <x:c r="E853" s="69"/>
    </x:row>
    <x:row r="854">
      <x:c r="E854" s="69"/>
    </x:row>
    <x:row r="855">
      <x:c r="E855" s="69"/>
    </x:row>
    <x:row r="856">
      <x:c r="E856" s="69"/>
    </x:row>
    <x:row r="857">
      <x:c r="E857" s="69"/>
    </x:row>
    <x:row r="858">
      <x:c r="E858" s="69"/>
    </x:row>
    <x:row r="859">
      <x:c r="E859" s="69"/>
    </x:row>
    <x:row r="860">
      <x:c r="E860" s="69"/>
    </x:row>
    <x:row r="861">
      <x:c r="E861" s="69"/>
    </x:row>
    <x:row r="862">
      <x:c r="E862" s="69"/>
    </x:row>
    <x:row r="863">
      <x:c r="E863" s="69"/>
    </x:row>
    <x:row r="864">
      <x:c r="E864" s="69"/>
    </x:row>
    <x:row r="865">
      <x:c r="E865" s="69"/>
    </x:row>
    <x:row r="866">
      <x:c r="E866" s="69"/>
    </x:row>
    <x:row r="867">
      <x:c r="E867" s="69"/>
    </x:row>
    <x:row r="868">
      <x:c r="E868" s="69"/>
    </x:row>
    <x:row r="869">
      <x:c r="E869" s="69"/>
    </x:row>
    <x:row r="870">
      <x:c r="E870" s="69"/>
    </x:row>
    <x:row r="871">
      <x:c r="E871" s="69"/>
    </x:row>
    <x:row r="872">
      <x:c r="E872" s="69"/>
    </x:row>
    <x:row r="873">
      <x:c r="E873" s="69"/>
    </x:row>
    <x:row r="874">
      <x:c r="E874" s="69"/>
    </x:row>
    <x:row r="875">
      <x:c r="E875" s="69"/>
    </x:row>
    <x:row r="876">
      <x:c r="E876" s="69"/>
    </x:row>
    <x:row r="877">
      <x:c r="E877" s="69"/>
    </x:row>
    <x:row r="878">
      <x:c r="E878" s="69"/>
    </x:row>
    <x:row r="879">
      <x:c r="E879" s="69"/>
    </x:row>
    <x:row r="880">
      <x:c r="E880" s="69"/>
    </x:row>
    <x:row r="881">
      <x:c r="E881" s="69"/>
    </x:row>
    <x:row r="882">
      <x:c r="E882" s="69"/>
    </x:row>
    <x:row r="883">
      <x:c r="E883" s="69"/>
    </x:row>
    <x:row r="884">
      <x:c r="E884" s="69"/>
    </x:row>
    <x:row r="885">
      <x:c r="E885" s="69"/>
    </x:row>
    <x:row r="886">
      <x:c r="E886" s="69"/>
    </x:row>
    <x:row r="887">
      <x:c r="E887" s="69"/>
    </x:row>
    <x:row r="888">
      <x:c r="E888" s="69"/>
    </x:row>
    <x:row r="889">
      <x:c r="E889" s="69"/>
    </x:row>
    <x:row r="890">
      <x:c r="E890" s="69"/>
    </x:row>
    <x:row r="891">
      <x:c r="E891" s="69"/>
    </x:row>
    <x:row r="892">
      <x:c r="E892" s="69"/>
    </x:row>
    <x:row r="893">
      <x:c r="E893" s="69"/>
    </x:row>
    <x:row r="894">
      <x:c r="E894" s="69"/>
    </x:row>
    <x:row r="895">
      <x:c r="E895" s="69"/>
    </x:row>
    <x:row r="896">
      <x:c r="E896" s="69"/>
    </x:row>
    <x:row r="897">
      <x:c r="E897" s="69"/>
    </x:row>
    <x:row r="898">
      <x:c r="E898" s="69"/>
    </x:row>
    <x:row r="899">
      <x:c r="E899" s="69"/>
    </x:row>
    <x:row r="900">
      <x:c r="E900" s="69"/>
    </x:row>
    <x:row r="901">
      <x:c r="E901" s="69"/>
    </x:row>
    <x:row r="902">
      <x:c r="E902" s="69"/>
    </x:row>
    <x:row r="903">
      <x:c r="E903" s="69"/>
    </x:row>
    <x:row r="904">
      <x:c r="E904" s="69"/>
    </x:row>
    <x:row r="905">
      <x:c r="E905" s="69"/>
    </x:row>
    <x:row r="906">
      <x:c r="E906" s="69"/>
    </x:row>
    <x:row r="907">
      <x:c r="E907" s="69"/>
    </x:row>
    <x:row r="908">
      <x:c r="E908" s="69"/>
    </x:row>
    <x:row r="909">
      <x:c r="E909" s="69"/>
    </x:row>
    <x:row r="910">
      <x:c r="E910" s="69"/>
    </x:row>
    <x:row r="911">
      <x:c r="E911" s="69"/>
    </x:row>
    <x:row r="912">
      <x:c r="E912" s="69"/>
    </x:row>
    <x:row r="913">
      <x:c r="E913" s="69"/>
    </x:row>
    <x:row r="914">
      <x:c r="E914" s="69"/>
    </x:row>
    <x:row r="915">
      <x:c r="E915" s="69"/>
    </x:row>
    <x:row r="916">
      <x:c r="E916" s="69"/>
    </x:row>
    <x:row r="917">
      <x:c r="E917" s="69"/>
    </x:row>
    <x:row r="918">
      <x:c r="E918" s="69"/>
    </x:row>
    <x:row r="919">
      <x:c r="E919" s="69"/>
    </x:row>
    <x:row r="920">
      <x:c r="E920" s="69"/>
    </x:row>
    <x:row r="921">
      <x:c r="E921" s="69"/>
    </x:row>
    <x:row r="922">
      <x:c r="E922" s="69"/>
    </x:row>
    <x:row r="923">
      <x:c r="E923" s="69"/>
    </x:row>
    <x:row r="924">
      <x:c r="E924" s="69"/>
    </x:row>
  </x:sheetData>
  <x:mergeCells>
    <x:mergeCell ref="A1:J1"/>
  </x:mergeCells>
  <x:dataValidations count="1">
    <x:dataValidation allowBlank="1" sqref="D1:E2 A1:B2 C1:C1048576 F1:G1048576 J1:XFD1048576 H4:I1048576 H1:I2"/>
  </x:dataValidations>
  <x:pageMargins left="0.7" right="0.7" top="0.75" bottom="0.75" header="0.3" footer="0.3"/>
</x:worksheet>
</file>

<file path=xl/worksheets/sheet37.xml><?xml version="1.0" encoding="utf-8"?>
<x:worksheet xmlns:x="http://schemas.openxmlformats.org/spreadsheetml/2006/main">
  <x:sheetPr>
    <x:tabColor theme="8" tint="0.59999"/>
  </x:sheetPr>
  <x:sheetFormatPr baseColWidth="10" defaultColWidth="8.83203125" defaultRowHeight="15"/>
  <x:cols>
    <x:col min="1" max="1" width="7.5" customWidth="1"/>
    <x:col min="2" max="2" width="18" customWidth="1"/>
    <x:col min="3" max="3" width="15" style="1" customWidth="1"/>
    <x:col min="4" max="4" width="16.5" customWidth="1"/>
    <x:col min="5" max="5" width="18.6640625" style="1" customWidth="1"/>
    <x:col min="6" max="6" width="19.1640625" customWidth="1"/>
    <x:col min="7" max="7" width="14.5" customWidth="1"/>
    <x:col min="8" max="8" width="17.1640625" customWidth="1"/>
    <x:col min="9" max="9" width="16.5" customWidth="1"/>
    <x:col min="10" max="10" width="23.5" customWidth="1"/>
    <x:col min="11" max="11" width="20.83203125" customWidth="1"/>
    <x:col min="12" max="12" width="17.83203125" customWidth="1"/>
    <x:col min="13" max="13" width="21" customWidth="1"/>
    <x:col min="14" max="14" width="23.5" customWidth="1"/>
    <x:col min="15" max="15" width="18.83203125" customWidth="1"/>
    <x:col min="16" max="16" width="14.83203125" customWidth="1"/>
    <x:col min="17" max="17" width="13.83203125" customWidth="1"/>
    <x:col min="18" max="18" width="15.1640625" customWidth="1"/>
    <x:col min="19" max="19" width="9.33203125" customWidth="1"/>
    <x:col min="20" max="20" width="23.1640625" customWidth="1"/>
    <x:col min="21" max="21" width="18.1640625" customWidth="1"/>
    <x:col min="22" max="22" width="23" customWidth="1"/>
    <x:col min="23" max="23" width="13.5" customWidth="1"/>
    <x:col min="24" max="24" width="11.83203125" customWidth="1"/>
    <x:col min="25" max="25" width="13.1640625" customWidth="1"/>
    <x:col min="26" max="26" width="23.1640625" customWidth="1"/>
    <x:col min="27" max="27" width="23.1640625" customWidth="1"/>
    <x:col min="28" max="29" width="14.5" customWidth="1"/>
    <x:col min="30" max="30" width="15.1640625" customWidth="1"/>
  </x:cols>
  <x:sheetData>
    <x:row r="1" s="1" customFormat="1" ht="195" customHeight="1">
      <x:c r="A1" s="160" t="s">
        <x:v>339</x:v>
      </x:c>
      <x:c r="B1" s="161"/>
      <x:c r="C1" s="161"/>
      <x:c r="D1" s="161"/>
      <x:c r="E1" s="161"/>
      <x:c r="F1" s="161"/>
      <x:c r="G1" s="161"/>
      <x:c r="H1" s="161"/>
      <x:c r="I1" s="161"/>
      <x:c r="J1" s="161"/>
      <x:c r="K1" s="161"/>
      <x:c r="L1" s="161"/>
      <x:c r="M1" s="161"/>
      <x:c r="N1" s="161"/>
      <x:c r="O1" s="161"/>
      <x:c r="P1" s="161"/>
      <x:c r="Q1" s="161"/>
      <x:c r="R1" s="161"/>
      <x:c r="S1" s="161"/>
      <x:c r="T1" s="161"/>
      <x:c r="U1" s="161"/>
      <x:c r="V1" s="71"/>
      <x:c r="W1" s="71"/>
      <x:c r="X1" s="71"/>
      <x:c r="Y1" s="71"/>
      <x:c r="Z1" s="71"/>
      <x:c r="AA1" s="71"/>
      <x:c r="AB1" s="71"/>
    </x:row>
    <x:row r="2" s="70" customFormat="1" ht="48">
      <x:c r="A2" s="65" t="s">
        <x:v>2</x:v>
      </x:c>
      <x:c r="B2" s="65" t="s">
        <x:v>20</x:v>
      </x:c>
      <x:c r="C2" s="50" t="s">
        <x:v>334</x:v>
      </x:c>
      <x:c r="D2" s="50" t="s">
        <x:v>340</x:v>
      </x:c>
      <x:c r="E2" s="65" t="s">
        <x:v>341</x:v>
      </x:c>
      <x:c r="F2" s="65" t="s">
        <x:v>342</x:v>
      </x:c>
      <x:c r="G2" s="65" t="s">
        <x:v>322</x:v>
      </x:c>
      <x:c r="H2" s="50" t="s">
        <x:v>316</x:v>
      </x:c>
      <x:c r="I2" s="65" t="s">
        <x:v>326</x:v>
      </x:c>
      <x:c r="J2" s="65" t="s">
        <x:v>343</x:v>
      </x:c>
      <x:c r="K2" s="65" t="s">
        <x:v>344</x:v>
      </x:c>
      <x:c r="L2" s="65" t="s">
        <x:v>345</x:v>
      </x:c>
      <x:c r="M2" s="65" t="s">
        <x:v>346</x:v>
      </x:c>
      <x:c r="N2" s="65" t="s">
        <x:v>347</x:v>
      </x:c>
      <x:c r="O2" s="65" t="s">
        <x:v>348</x:v>
      </x:c>
      <x:c r="P2" s="65" t="s">
        <x:v>349</x:v>
      </x:c>
      <x:c r="Q2" s="65" t="s">
        <x:v>168</x:v>
      </x:c>
      <x:c r="R2" s="65" t="s">
        <x:v>332</x:v>
      </x:c>
      <x:c r="S2" s="77" t="s">
        <x:v>91</x:v>
      </x:c>
      <x:c r="T2" s="77" t="s">
        <x:v>350</x:v>
      </x:c>
      <x:c r="U2" s="72" t="s">
        <x:v>6</x:v>
      </x:c>
      <x:c r="V2"/>
      <x:c r="W2"/>
      <x:c r="X2"/>
      <x:c r="Y2"/>
      <x:c r="Z2"/>
      <x:c r="AA2"/>
      <x:c r="AB2"/>
    </x:row>
    <x:row r="3" ht="14.5" customHeight="1">
      <x:c r="A3" s="74" t="str">
        <x:v>&lt;END&gt;</x:v>
      </x:c>
      <x:c r="B3" s="33"/>
      <x:c r="C3" s="43"/>
      <x:c r="E3" s="32"/>
      <x:c r="F3" s="32"/>
      <x:c r="G3" s="33"/>
      <x:c r="H3" s="43"/>
      <x:c r="I3" s="43"/>
      <x:c r="J3" s="43"/>
      <x:c r="K3" s="43"/>
      <x:c r="L3" s="43"/>
      <x:c r="M3" s="43"/>
      <x:c r="N3" s="43"/>
      <x:c r="O3" s="43"/>
      <x:c r="P3" s="52"/>
      <x:c r="Q3" s="43"/>
      <x:c r="R3" s="46"/>
      <x:c r="S3" s="78"/>
      <x:c r="T3" s="33"/>
      <x:c r="U3" s="33"/>
    </x:row>
    <x:row r="4" ht="33" customHeight="1">
      <x:c r="A4" s="85"/>
      <x:c r="B4" s="53"/>
      <x:c r="C4" s="90"/>
      <x:c r="D4" s="53"/>
      <x:c r="E4" s="54"/>
      <x:c r="F4" s="54"/>
      <x:c r="G4" s="53"/>
      <x:c r="H4" s="90"/>
      <x:c r="I4" s="90"/>
      <x:c r="J4" s="90"/>
      <x:c r="K4" s="90"/>
      <x:c r="L4" s="90"/>
      <x:c r="M4" s="90"/>
      <x:c r="N4" s="90"/>
      <x:c r="O4" s="90"/>
      <x:c r="P4" s="88"/>
      <x:c r="Q4" s="90"/>
      <x:c r="R4" s="88"/>
      <x:c r="S4" s="53"/>
      <x:c r="T4" s="53"/>
      <x:c r="U4" s="54"/>
    </x:row>
    <x:row r="5">
      <x:c r="F5" s="1"/>
    </x:row>
    <x:row r="6">
      <x:c r="F6" s="1"/>
    </x:row>
    <x:row r="7">
      <x:c r="F7" s="1"/>
    </x:row>
    <x:row r="8">
      <x:c r="F8" s="1"/>
    </x:row>
    <x:row r="9">
      <x:c r="F9" s="1"/>
    </x:row>
    <x:row r="10">
      <x:c r="F10" s="1"/>
    </x:row>
    <x:row r="11">
      <x:c r="F11" s="1"/>
    </x:row>
    <x:row r="12">
      <x:c r="F12" s="1"/>
    </x:row>
    <x:row r="13">
      <x:c r="F13" s="1"/>
    </x:row>
    <x:row r="14">
      <x:c r="F14" s="1"/>
    </x:row>
    <x:row r="15">
      <x:c r="F15" s="1"/>
    </x:row>
    <x:row r="16">
      <x:c r="F16" s="1"/>
    </x:row>
    <x:row r="17">
      <x:c r="F17" s="1"/>
    </x:row>
    <x:row r="18">
      <x:c r="F18" s="1"/>
    </x:row>
    <x:row r="19">
      <x:c r="F19" s="1"/>
    </x:row>
    <x:row r="20">
      <x:c r="F20" s="1"/>
    </x:row>
    <x:row r="21">
      <x:c r="F21" s="1"/>
    </x:row>
    <x:row r="22">
      <x:c r="F22" s="1"/>
    </x:row>
    <x:row r="23">
      <x:c r="F23" s="1"/>
    </x:row>
    <x:row r="24">
      <x:c r="F24" s="1"/>
    </x:row>
    <x:row r="25">
      <x:c r="F25" s="1"/>
    </x:row>
    <x:row r="26">
      <x:c r="F26" s="1"/>
    </x:row>
    <x:row r="27">
      <x:c r="F27" s="1"/>
    </x:row>
    <x:row r="28">
      <x:c r="F28" s="1"/>
    </x:row>
    <x:row r="29">
      <x:c r="F29" s="1"/>
    </x:row>
    <x:row r="30">
      <x:c r="F30" s="1"/>
    </x:row>
    <x:row r="31">
      <x:c r="F31" s="1"/>
    </x:row>
    <x:row r="32">
      <x:c r="F32" s="1"/>
    </x:row>
    <x:row r="33">
      <x:c r="F33" s="1"/>
    </x:row>
    <x:row r="34">
      <x:c r="F34" s="1"/>
    </x:row>
    <x:row r="35">
      <x:c r="F35" s="1"/>
    </x:row>
    <x:row r="36">
      <x:c r="F36" s="1"/>
    </x:row>
    <x:row r="37">
      <x:c r="F37" s="1"/>
    </x:row>
    <x:row r="38">
      <x:c r="F38" s="1"/>
    </x:row>
    <x:row r="39">
      <x:c r="F39" s="1"/>
    </x:row>
    <x:row r="40">
      <x:c r="F40" s="1"/>
    </x:row>
    <x:row r="41">
      <x:c r="F41" s="1"/>
    </x:row>
    <x:row r="42">
      <x:c r="F42" s="1"/>
    </x:row>
    <x:row r="43">
      <x:c r="F43" s="1"/>
    </x:row>
    <x:row r="44">
      <x:c r="F44" s="1"/>
    </x:row>
    <x:row r="45">
      <x:c r="F45" s="1"/>
    </x:row>
    <x:row r="46">
      <x:c r="F46" s="1"/>
    </x:row>
    <x:row r="47">
      <x:c r="F47" s="1"/>
    </x:row>
    <x:row r="48">
      <x:c r="F48" s="1"/>
    </x:row>
    <x:row r="49">
      <x:c r="F49" s="1"/>
    </x:row>
    <x:row r="50">
      <x:c r="F50" s="1"/>
    </x:row>
    <x:row r="51">
      <x:c r="F51" s="1"/>
    </x:row>
    <x:row r="52">
      <x:c r="F52" s="1"/>
    </x:row>
    <x:row r="53">
      <x:c r="F53" s="1"/>
    </x:row>
    <x:row r="54">
      <x:c r="F54" s="1"/>
    </x:row>
    <x:row r="55">
      <x:c r="F55" s="1"/>
    </x:row>
    <x:row r="56">
      <x:c r="F56" s="1"/>
    </x:row>
    <x:row r="57">
      <x:c r="F57" s="1"/>
    </x:row>
    <x:row r="58">
      <x:c r="F58" s="1"/>
    </x:row>
    <x:row r="59">
      <x:c r="F59" s="1"/>
    </x:row>
    <x:row r="60">
      <x:c r="F60" s="1"/>
    </x:row>
    <x:row r="61">
      <x:c r="F61" s="1"/>
    </x:row>
    <x:row r="62">
      <x:c r="F62" s="1"/>
    </x:row>
    <x:row r="63">
      <x:c r="F63" s="1"/>
    </x:row>
    <x:row r="64">
      <x:c r="F64" s="1"/>
    </x:row>
    <x:row r="65">
      <x:c r="F65" s="1"/>
    </x:row>
    <x:row r="66">
      <x:c r="F66" s="1"/>
    </x:row>
    <x:row r="67">
      <x:c r="F67" s="1"/>
    </x:row>
    <x:row r="68">
      <x:c r="F68" s="1"/>
    </x:row>
    <x:row r="69">
      <x:c r="F69" s="1"/>
    </x:row>
    <x:row r="70">
      <x:c r="F70" s="1"/>
    </x:row>
    <x:row r="71">
      <x:c r="F71" s="1"/>
    </x:row>
    <x:row r="72">
      <x:c r="F72" s="1"/>
    </x:row>
    <x:row r="73">
      <x:c r="F73" s="1"/>
    </x:row>
    <x:row r="74">
      <x:c r="F74" s="1"/>
    </x:row>
    <x:row r="75">
      <x:c r="F75" s="1"/>
    </x:row>
    <x:row r="76">
      <x:c r="F76" s="1"/>
    </x:row>
    <x:row r="77">
      <x:c r="F77" s="1"/>
    </x:row>
    <x:row r="78">
      <x:c r="F78" s="1"/>
    </x:row>
    <x:row r="79">
      <x:c r="F79" s="1"/>
    </x:row>
    <x:row r="80">
      <x:c r="F80" s="1"/>
    </x:row>
    <x:row r="81">
      <x:c r="F81" s="1"/>
    </x:row>
    <x:row r="82">
      <x:c r="F82" s="1"/>
    </x:row>
    <x:row r="83">
      <x:c r="F83" s="1"/>
    </x:row>
    <x:row r="84">
      <x:c r="F84" s="1"/>
    </x:row>
    <x:row r="85">
      <x:c r="F85" s="1"/>
    </x:row>
    <x:row r="86">
      <x:c r="F86" s="1"/>
    </x:row>
    <x:row r="87">
      <x:c r="F87" s="1"/>
    </x:row>
    <x:row r="88">
      <x:c r="F88" s="1"/>
    </x:row>
    <x:row r="89">
      <x:c r="F89" s="1"/>
    </x:row>
    <x:row r="90">
      <x:c r="F90" s="1"/>
    </x:row>
    <x:row r="91">
      <x:c r="F91" s="1"/>
    </x:row>
    <x:row r="92">
      <x:c r="F92" s="1"/>
    </x:row>
    <x:row r="93">
      <x:c r="F93" s="1"/>
    </x:row>
    <x:row r="94">
      <x:c r="F94" s="1"/>
    </x:row>
    <x:row r="95">
      <x:c r="F95" s="1"/>
    </x:row>
    <x:row r="96">
      <x:c r="F96" s="1"/>
    </x:row>
    <x:row r="97">
      <x:c r="F97" s="1"/>
    </x:row>
    <x:row r="98">
      <x:c r="F98" s="1"/>
    </x:row>
    <x:row r="99">
      <x:c r="F99" s="1"/>
    </x:row>
    <x:row r="100">
      <x:c r="F100" s="1"/>
    </x:row>
    <x:row r="101">
      <x:c r="F101" s="1"/>
    </x:row>
    <x:row r="102">
      <x:c r="F102" s="1"/>
    </x:row>
    <x:row r="103">
      <x:c r="F103" s="1"/>
    </x:row>
    <x:row r="104">
      <x:c r="F104" s="1"/>
    </x:row>
    <x:row r="105">
      <x:c r="F105" s="1"/>
    </x:row>
    <x:row r="106">
      <x:c r="F106" s="1"/>
    </x:row>
    <x:row r="107">
      <x:c r="F107" s="1"/>
    </x:row>
    <x:row r="108">
      <x:c r="F108" s="1"/>
    </x:row>
    <x:row r="109">
      <x:c r="F109" s="1"/>
    </x:row>
    <x:row r="110">
      <x:c r="F110" s="1"/>
    </x:row>
    <x:row r="111">
      <x:c r="F111" s="1"/>
    </x:row>
    <x:row r="112">
      <x:c r="F112" s="1"/>
    </x:row>
    <x:row r="113">
      <x:c r="F113" s="1"/>
    </x:row>
    <x:row r="114">
      <x:c r="F114" s="1"/>
    </x:row>
    <x:row r="115">
      <x:c r="F115" s="1"/>
    </x:row>
    <x:row r="116">
      <x:c r="F116" s="1"/>
    </x:row>
    <x:row r="117">
      <x:c r="F117" s="1"/>
    </x:row>
    <x:row r="118">
      <x:c r="F118" s="1"/>
    </x:row>
    <x:row r="119">
      <x:c r="F119" s="1"/>
    </x:row>
    <x:row r="120">
      <x:c r="F120" s="1"/>
    </x:row>
    <x:row r="121">
      <x:c r="F121" s="1"/>
    </x:row>
    <x:row r="122">
      <x:c r="F122" s="1"/>
    </x:row>
    <x:row r="123">
      <x:c r="F123" s="1"/>
    </x:row>
    <x:row r="124">
      <x:c r="F124" s="1"/>
    </x:row>
    <x:row r="125">
      <x:c r="F125" s="1"/>
    </x:row>
    <x:row r="126">
      <x:c r="F126" s="1"/>
    </x:row>
    <x:row r="127">
      <x:c r="F127" s="1"/>
    </x:row>
    <x:row r="128">
      <x:c r="F128" s="1"/>
    </x:row>
    <x:row r="129">
      <x:c r="F129" s="1"/>
    </x:row>
    <x:row r="130">
      <x:c r="F130" s="1"/>
    </x:row>
    <x:row r="131">
      <x:c r="F131" s="1"/>
    </x:row>
    <x:row r="132">
      <x:c r="F132" s="1"/>
    </x:row>
    <x:row r="133">
      <x:c r="F133" s="1"/>
    </x:row>
    <x:row r="134">
      <x:c r="F134" s="1"/>
    </x:row>
    <x:row r="135">
      <x:c r="F135" s="1"/>
    </x:row>
    <x:row r="136">
      <x:c r="F136" s="1"/>
    </x:row>
    <x:row r="137">
      <x:c r="F137" s="1"/>
    </x:row>
    <x:row r="138">
      <x:c r="F138" s="1"/>
    </x:row>
    <x:row r="139">
      <x:c r="F139" s="1"/>
    </x:row>
    <x:row r="140">
      <x:c r="F140" s="1"/>
    </x:row>
    <x:row r="141">
      <x:c r="F141" s="1"/>
    </x:row>
    <x:row r="142">
      <x:c r="F142" s="1"/>
    </x:row>
    <x:row r="143">
      <x:c r="F143" s="1"/>
    </x:row>
    <x:row r="144">
      <x:c r="F144" s="1"/>
    </x:row>
    <x:row r="145">
      <x:c r="F145" s="1"/>
    </x:row>
    <x:row r="146">
      <x:c r="F146" s="1"/>
    </x:row>
    <x:row r="147">
      <x:c r="F147" s="1"/>
    </x:row>
    <x:row r="148">
      <x:c r="F148" s="1"/>
    </x:row>
    <x:row r="149">
      <x:c r="F149" s="1"/>
    </x:row>
    <x:row r="150">
      <x:c r="F150" s="1"/>
    </x:row>
    <x:row r="151">
      <x:c r="F151" s="1"/>
    </x:row>
    <x:row r="152">
      <x:c r="F152" s="1"/>
    </x:row>
    <x:row r="153">
      <x:c r="F153" s="1"/>
    </x:row>
    <x:row r="154">
      <x:c r="F154" s="1"/>
    </x:row>
    <x:row r="155">
      <x:c r="F155" s="1"/>
    </x:row>
    <x:row r="156">
      <x:c r="F156" s="1"/>
    </x:row>
    <x:row r="157">
      <x:c r="F157" s="1"/>
    </x:row>
    <x:row r="158">
      <x:c r="F158" s="1"/>
    </x:row>
    <x:row r="159">
      <x:c r="F159" s="1"/>
    </x:row>
    <x:row r="160">
      <x:c r="F160" s="1"/>
    </x:row>
    <x:row r="161">
      <x:c r="F161" s="1"/>
    </x:row>
    <x:row r="162">
      <x:c r="F162" s="1"/>
    </x:row>
    <x:row r="163">
      <x:c r="F163" s="1"/>
    </x:row>
    <x:row r="164">
      <x:c r="F164" s="1"/>
    </x:row>
    <x:row r="165">
      <x:c r="F165" s="1"/>
    </x:row>
    <x:row r="166">
      <x:c r="F166" s="1"/>
    </x:row>
    <x:row r="167">
      <x:c r="F167" s="1"/>
    </x:row>
    <x:row r="168">
      <x:c r="F168" s="1"/>
    </x:row>
    <x:row r="169">
      <x:c r="F169" s="1"/>
    </x:row>
    <x:row r="170">
      <x:c r="F170" s="1"/>
    </x:row>
    <x:row r="171">
      <x:c r="F171" s="1"/>
    </x:row>
    <x:row r="172">
      <x:c r="F172" s="1"/>
    </x:row>
    <x:row r="173">
      <x:c r="F173" s="1"/>
    </x:row>
    <x:row r="174">
      <x:c r="F174" s="1"/>
    </x:row>
    <x:row r="175">
      <x:c r="F175" s="1"/>
    </x:row>
    <x:row r="176">
      <x:c r="F176" s="1"/>
    </x:row>
    <x:row r="177">
      <x:c r="F177" s="1"/>
    </x:row>
    <x:row r="178">
      <x:c r="F178" s="1"/>
    </x:row>
    <x:row r="179">
      <x:c r="F179" s="1"/>
    </x:row>
    <x:row r="180">
      <x:c r="F180" s="1"/>
    </x:row>
    <x:row r="181">
      <x:c r="F181" s="1"/>
    </x:row>
    <x:row r="182">
      <x:c r="F182" s="1"/>
    </x:row>
    <x:row r="183">
      <x:c r="F183" s="1"/>
    </x:row>
    <x:row r="184">
      <x:c r="F184" s="1"/>
    </x:row>
    <x:row r="185">
      <x:c r="F185" s="1"/>
    </x:row>
    <x:row r="186">
      <x:c r="F186" s="1"/>
    </x:row>
    <x:row r="187">
      <x:c r="F187" s="1"/>
    </x:row>
    <x:row r="188">
      <x:c r="F188" s="1"/>
    </x:row>
    <x:row r="189">
      <x:c r="F189" s="1"/>
    </x:row>
    <x:row r="190">
      <x:c r="F190" s="1"/>
    </x:row>
    <x:row r="191">
      <x:c r="F191" s="1"/>
    </x:row>
    <x:row r="192">
      <x:c r="F192" s="1"/>
    </x:row>
    <x:row r="193">
      <x:c r="F193" s="1"/>
    </x:row>
    <x:row r="194">
      <x:c r="F194" s="1"/>
    </x:row>
    <x:row r="195">
      <x:c r="F195" s="1"/>
    </x:row>
    <x:row r="196">
      <x:c r="F196" s="1"/>
    </x:row>
    <x:row r="197">
      <x:c r="F197" s="1"/>
    </x:row>
    <x:row r="198">
      <x:c r="F198" s="1"/>
    </x:row>
    <x:row r="199">
      <x:c r="F199" s="1"/>
    </x:row>
    <x:row r="200">
      <x:c r="F200" s="1"/>
    </x:row>
    <x:row r="201">
      <x:c r="F201" s="1"/>
    </x:row>
    <x:row r="202">
      <x:c r="F202" s="1"/>
    </x:row>
    <x:row r="203">
      <x:c r="F203" s="1"/>
    </x:row>
    <x:row r="204">
      <x:c r="F204" s="1"/>
    </x:row>
    <x:row r="205">
      <x:c r="F205" s="1"/>
    </x:row>
    <x:row r="206">
      <x:c r="F206" s="1"/>
    </x:row>
    <x:row r="207">
      <x:c r="F207" s="1"/>
    </x:row>
    <x:row r="208">
      <x:c r="F208" s="1"/>
    </x:row>
    <x:row r="209">
      <x:c r="F209" s="1"/>
    </x:row>
    <x:row r="210">
      <x:c r="F210" s="1"/>
    </x:row>
    <x:row r="211">
      <x:c r="F211" s="1"/>
    </x:row>
    <x:row r="212">
      <x:c r="F212" s="1"/>
    </x:row>
    <x:row r="213">
      <x:c r="F213" s="1"/>
    </x:row>
    <x:row r="214">
      <x:c r="F214" s="1"/>
    </x:row>
    <x:row r="215">
      <x:c r="F215" s="1"/>
    </x:row>
    <x:row r="216">
      <x:c r="F216" s="1"/>
    </x:row>
    <x:row r="217">
      <x:c r="F217" s="1"/>
    </x:row>
    <x:row r="218">
      <x:c r="F218" s="1"/>
    </x:row>
    <x:row r="219">
      <x:c r="F219" s="1"/>
    </x:row>
    <x:row r="220">
      <x:c r="F220" s="1"/>
    </x:row>
    <x:row r="221">
      <x:c r="F221" s="1"/>
    </x:row>
    <x:row r="222">
      <x:c r="F222" s="1"/>
    </x:row>
    <x:row r="223">
      <x:c r="F223" s="1"/>
    </x:row>
    <x:row r="224">
      <x:c r="F224" s="1"/>
    </x:row>
    <x:row r="225">
      <x:c r="F225" s="1"/>
    </x:row>
    <x:row r="226">
      <x:c r="F226" s="1"/>
    </x:row>
    <x:row r="227">
      <x:c r="F227" s="1"/>
    </x:row>
    <x:row r="228">
      <x:c r="F228" s="1"/>
    </x:row>
    <x:row r="229">
      <x:c r="F229" s="1"/>
    </x:row>
    <x:row r="230">
      <x:c r="F230" s="1"/>
    </x:row>
    <x:row r="231">
      <x:c r="F231" s="1"/>
    </x:row>
    <x:row r="232">
      <x:c r="F232" s="1"/>
    </x:row>
    <x:row r="233">
      <x:c r="F233" s="1"/>
    </x:row>
    <x:row r="234">
      <x:c r="F234" s="1"/>
    </x:row>
    <x:row r="235">
      <x:c r="F235" s="1"/>
    </x:row>
    <x:row r="236">
      <x:c r="F236" s="1"/>
    </x:row>
    <x:row r="237">
      <x:c r="F237" s="1"/>
    </x:row>
    <x:row r="238">
      <x:c r="F238" s="1"/>
    </x:row>
    <x:row r="239">
      <x:c r="F239" s="1"/>
    </x:row>
    <x:row r="240">
      <x:c r="F240" s="1"/>
    </x:row>
    <x:row r="241">
      <x:c r="F241" s="1"/>
    </x:row>
    <x:row r="242">
      <x:c r="F242" s="1"/>
    </x:row>
    <x:row r="243">
      <x:c r="F243" s="1"/>
    </x:row>
    <x:row r="244">
      <x:c r="F244" s="1"/>
    </x:row>
    <x:row r="245">
      <x:c r="F245" s="1"/>
    </x:row>
    <x:row r="246">
      <x:c r="F246" s="1"/>
    </x:row>
    <x:row r="247">
      <x:c r="F247" s="1"/>
    </x:row>
    <x:row r="248">
      <x:c r="F248" s="1"/>
    </x:row>
    <x:row r="249">
      <x:c r="F249" s="1"/>
    </x:row>
    <x:row r="250">
      <x:c r="F250" s="1"/>
    </x:row>
    <x:row r="251">
      <x:c r="F251" s="1"/>
    </x:row>
    <x:row r="252">
      <x:c r="F252" s="1"/>
    </x:row>
    <x:row r="253">
      <x:c r="F253" s="1"/>
    </x:row>
    <x:row r="254">
      <x:c r="F254" s="1"/>
    </x:row>
    <x:row r="255">
      <x:c r="F255" s="1"/>
    </x:row>
    <x:row r="256">
      <x:c r="F256" s="1"/>
    </x:row>
    <x:row r="257">
      <x:c r="F257" s="1"/>
    </x:row>
    <x:row r="258">
      <x:c r="F258" s="1"/>
    </x:row>
    <x:row r="259">
      <x:c r="F259" s="1"/>
    </x:row>
    <x:row r="260">
      <x:c r="F260" s="1"/>
    </x:row>
    <x:row r="261">
      <x:c r="F261" s="1"/>
    </x:row>
    <x:row r="262">
      <x:c r="F262" s="1"/>
    </x:row>
    <x:row r="263">
      <x:c r="F263" s="1"/>
    </x:row>
    <x:row r="264">
      <x:c r="F264" s="1"/>
    </x:row>
    <x:row r="265">
      <x:c r="F265" s="1"/>
    </x:row>
    <x:row r="266">
      <x:c r="F266" s="1"/>
    </x:row>
    <x:row r="267">
      <x:c r="F267" s="1"/>
    </x:row>
    <x:row r="268">
      <x:c r="F268" s="1"/>
    </x:row>
    <x:row r="269">
      <x:c r="F269" s="1"/>
    </x:row>
    <x:row r="270">
      <x:c r="F270" s="1"/>
    </x:row>
    <x:row r="271">
      <x:c r="F271" s="1"/>
    </x:row>
    <x:row r="272">
      <x:c r="F272" s="1"/>
    </x:row>
    <x:row r="273">
      <x:c r="F273" s="1"/>
    </x:row>
    <x:row r="274">
      <x:c r="F274" s="1"/>
    </x:row>
    <x:row r="275">
      <x:c r="F275" s="1"/>
    </x:row>
    <x:row r="276">
      <x:c r="F276" s="1"/>
    </x:row>
    <x:row r="277">
      <x:c r="F277" s="1"/>
    </x:row>
    <x:row r="278">
      <x:c r="F278" s="1"/>
    </x:row>
    <x:row r="279">
      <x:c r="F279" s="1"/>
    </x:row>
    <x:row r="280">
      <x:c r="F280" s="1"/>
    </x:row>
    <x:row r="281">
      <x:c r="F281" s="1"/>
    </x:row>
    <x:row r="282">
      <x:c r="F282" s="1"/>
    </x:row>
    <x:row r="283">
      <x:c r="F283" s="1"/>
    </x:row>
    <x:row r="284">
      <x:c r="F284" s="1"/>
    </x:row>
    <x:row r="285">
      <x:c r="F285" s="1"/>
    </x:row>
    <x:row r="286">
      <x:c r="F286" s="1"/>
    </x:row>
    <x:row r="287">
      <x:c r="F287" s="1"/>
    </x:row>
    <x:row r="288">
      <x:c r="F288" s="1"/>
    </x:row>
    <x:row r="289">
      <x:c r="F289" s="1"/>
    </x:row>
    <x:row r="290">
      <x:c r="F290" s="1"/>
    </x:row>
    <x:row r="291">
      <x:c r="F291" s="1"/>
    </x:row>
    <x:row r="292">
      <x:c r="F292" s="1"/>
    </x:row>
    <x:row r="293">
      <x:c r="F293" s="1"/>
    </x:row>
    <x:row r="294">
      <x:c r="F294" s="1"/>
    </x:row>
    <x:row r="295">
      <x:c r="F295" s="1"/>
    </x:row>
    <x:row r="296">
      <x:c r="F296" s="1"/>
    </x:row>
    <x:row r="297">
      <x:c r="F297" s="1"/>
    </x:row>
    <x:row r="298">
      <x:c r="F298" s="1"/>
    </x:row>
    <x:row r="299">
      <x:c r="F299" s="1"/>
    </x:row>
    <x:row r="300">
      <x:c r="F300" s="1"/>
    </x:row>
    <x:row r="301">
      <x:c r="F301" s="1"/>
    </x:row>
    <x:row r="302">
      <x:c r="F302" s="1"/>
    </x:row>
    <x:row r="303">
      <x:c r="F303" s="1"/>
    </x:row>
    <x:row r="304">
      <x:c r="F304" s="1"/>
    </x:row>
    <x:row r="305">
      <x:c r="F305" s="1"/>
    </x:row>
    <x:row r="306">
      <x:c r="F306" s="1"/>
    </x:row>
    <x:row r="307">
      <x:c r="F307" s="1"/>
    </x:row>
    <x:row r="308">
      <x:c r="F308" s="1"/>
    </x:row>
    <x:row r="309">
      <x:c r="F309" s="1"/>
    </x:row>
    <x:row r="310">
      <x:c r="F310" s="1"/>
    </x:row>
    <x:row r="311">
      <x:c r="F311" s="1"/>
    </x:row>
    <x:row r="312">
      <x:c r="F312" s="1"/>
    </x:row>
    <x:row r="313">
      <x:c r="F313" s="1"/>
    </x:row>
    <x:row r="314">
      <x:c r="F314" s="1"/>
    </x:row>
    <x:row r="315">
      <x:c r="F315" s="1"/>
    </x:row>
    <x:row r="316">
      <x:c r="F316" s="1"/>
    </x:row>
    <x:row r="317">
      <x:c r="F317" s="1"/>
    </x:row>
    <x:row r="318">
      <x:c r="F318" s="1"/>
    </x:row>
    <x:row r="319">
      <x:c r="F319" s="1"/>
    </x:row>
    <x:row r="320">
      <x:c r="F320" s="1"/>
    </x:row>
    <x:row r="321">
      <x:c r="F321" s="1"/>
    </x:row>
    <x:row r="322">
      <x:c r="F322" s="1"/>
    </x:row>
    <x:row r="323">
      <x:c r="F323" s="1"/>
    </x:row>
    <x:row r="324">
      <x:c r="F324" s="1"/>
    </x:row>
    <x:row r="325">
      <x:c r="F325" s="1"/>
    </x:row>
    <x:row r="326">
      <x:c r="F326" s="1"/>
    </x:row>
    <x:row r="327">
      <x:c r="F327" s="1"/>
    </x:row>
    <x:row r="328">
      <x:c r="F328" s="1"/>
    </x:row>
    <x:row r="329">
      <x:c r="F329" s="1"/>
    </x:row>
    <x:row r="330">
      <x:c r="F330" s="1"/>
    </x:row>
    <x:row r="331">
      <x:c r="F331" s="1"/>
    </x:row>
    <x:row r="332">
      <x:c r="F332" s="1"/>
    </x:row>
    <x:row r="333">
      <x:c r="F333" s="1"/>
    </x:row>
    <x:row r="334">
      <x:c r="F334" s="1"/>
    </x:row>
    <x:row r="335">
      <x:c r="F335" s="1"/>
    </x:row>
    <x:row r="336">
      <x:c r="F336" s="1"/>
    </x:row>
    <x:row r="337">
      <x:c r="F337" s="1"/>
    </x:row>
    <x:row r="338">
      <x:c r="F338" s="1"/>
    </x:row>
    <x:row r="339">
      <x:c r="F339" s="1"/>
    </x:row>
    <x:row r="340">
      <x:c r="F340" s="1"/>
    </x:row>
    <x:row r="341">
      <x:c r="F341" s="1"/>
    </x:row>
    <x:row r="342">
      <x:c r="F342" s="1"/>
    </x:row>
    <x:row r="343">
      <x:c r="F343" s="1"/>
    </x:row>
    <x:row r="344">
      <x:c r="F344" s="1"/>
    </x:row>
    <x:row r="345">
      <x:c r="F345" s="1"/>
    </x:row>
    <x:row r="346">
      <x:c r="F346" s="1"/>
    </x:row>
    <x:row r="347">
      <x:c r="F347" s="1"/>
    </x:row>
    <x:row r="348">
      <x:c r="F348" s="1"/>
    </x:row>
    <x:row r="349">
      <x:c r="F349" s="1"/>
    </x:row>
    <x:row r="350">
      <x:c r="F350" s="1"/>
    </x:row>
    <x:row r="351">
      <x:c r="F351" s="1"/>
    </x:row>
    <x:row r="352">
      <x:c r="F352" s="1"/>
    </x:row>
    <x:row r="353">
      <x:c r="F353" s="1"/>
    </x:row>
    <x:row r="354">
      <x:c r="F354" s="1"/>
    </x:row>
    <x:row r="355">
      <x:c r="F355" s="1"/>
    </x:row>
    <x:row r="356">
      <x:c r="F356" s="1"/>
    </x:row>
    <x:row r="357">
      <x:c r="F357" s="1"/>
    </x:row>
    <x:row r="358">
      <x:c r="F358" s="1"/>
    </x:row>
    <x:row r="359">
      <x:c r="F359" s="1"/>
    </x:row>
    <x:row r="360">
      <x:c r="F360" s="1"/>
    </x:row>
    <x:row r="361">
      <x:c r="F361" s="1"/>
    </x:row>
    <x:row r="362">
      <x:c r="F362" s="1"/>
    </x:row>
    <x:row r="363">
      <x:c r="F363" s="1"/>
    </x:row>
    <x:row r="364">
      <x:c r="F364" s="1"/>
    </x:row>
    <x:row r="365">
      <x:c r="F365" s="1"/>
    </x:row>
    <x:row r="366">
      <x:c r="F366" s="1"/>
    </x:row>
    <x:row r="367">
      <x:c r="F367" s="1"/>
    </x:row>
    <x:row r="368">
      <x:c r="F368" s="1"/>
    </x:row>
    <x:row r="369">
      <x:c r="F369" s="1"/>
    </x:row>
    <x:row r="370">
      <x:c r="F370" s="1"/>
    </x:row>
    <x:row r="371">
      <x:c r="F371" s="1"/>
    </x:row>
    <x:row r="372">
      <x:c r="F372" s="1"/>
    </x:row>
    <x:row r="373">
      <x:c r="F373" s="1"/>
    </x:row>
    <x:row r="374">
      <x:c r="F374" s="1"/>
    </x:row>
    <x:row r="375">
      <x:c r="F375" s="1"/>
    </x:row>
    <x:row r="376">
      <x:c r="F376" s="1"/>
    </x:row>
    <x:row r="377">
      <x:c r="F377" s="1"/>
    </x:row>
    <x:row r="378">
      <x:c r="F378" s="1"/>
    </x:row>
    <x:row r="379">
      <x:c r="F379" s="1"/>
    </x:row>
    <x:row r="380">
      <x:c r="F380" s="1"/>
    </x:row>
    <x:row r="381">
      <x:c r="F381" s="1"/>
    </x:row>
    <x:row r="382">
      <x:c r="F382" s="1"/>
    </x:row>
    <x:row r="383">
      <x:c r="F383" s="1"/>
    </x:row>
    <x:row r="384">
      <x:c r="F384" s="1"/>
    </x:row>
    <x:row r="385">
      <x:c r="F385" s="1"/>
    </x:row>
    <x:row r="386">
      <x:c r="F386" s="1"/>
    </x:row>
    <x:row r="387">
      <x:c r="F387" s="1"/>
    </x:row>
    <x:row r="388">
      <x:c r="F388" s="1"/>
    </x:row>
    <x:row r="389">
      <x:c r="F389" s="1"/>
    </x:row>
    <x:row r="390">
      <x:c r="B390" s="8"/>
      <x:c r="E390" s="18"/>
      <x:c r="F390" s="18"/>
    </x:row>
    <x:row r="391">
      <x:c r="B391" s="33"/>
      <x:c r="E391" s="32"/>
      <x:c r="F391" s="32"/>
    </x:row>
    <x:row r="392">
      <x:c r="B392" s="33"/>
      <x:c r="E392" s="32"/>
      <x:c r="F392" s="32"/>
    </x:row>
    <x:row r="393">
      <x:c r="B393" s="33"/>
      <x:c r="E393" s="32"/>
      <x:c r="F393" s="32"/>
    </x:row>
    <x:row r="394">
      <x:c r="B394" s="33"/>
      <x:c r="E394" s="32"/>
      <x:c r="F394" s="32"/>
    </x:row>
    <x:row r="395">
      <x:c r="B395" s="33"/>
      <x:c r="E395" s="32"/>
      <x:c r="F395" s="32"/>
    </x:row>
    <x:row r="396">
      <x:c r="B396" s="33"/>
      <x:c r="E396" s="32"/>
      <x:c r="F396" s="32"/>
    </x:row>
    <x:row r="397">
      <x:c r="B397" s="33"/>
      <x:c r="E397" s="32"/>
      <x:c r="F397" s="32"/>
    </x:row>
    <x:row r="398">
      <x:c r="B398" s="33"/>
      <x:c r="E398" s="32"/>
      <x:c r="F398" s="32"/>
    </x:row>
    <x:row r="399">
      <x:c r="B399" s="33"/>
      <x:c r="E399" s="32"/>
      <x:c r="F399" s="32"/>
    </x:row>
    <x:row r="400">
      <x:c r="B400" s="33"/>
      <x:c r="E400" s="32"/>
      <x:c r="F400" s="32"/>
    </x:row>
    <x:row r="401">
      <x:c r="B401" s="33"/>
      <x:c r="E401" s="32"/>
      <x:c r="F401" s="32"/>
    </x:row>
    <x:row r="402">
      <x:c r="B402" s="33"/>
      <x:c r="E402" s="32"/>
      <x:c r="F402" s="32"/>
    </x:row>
    <x:row r="403">
      <x:c r="B403" s="33"/>
      <x:c r="E403" s="32"/>
      <x:c r="F403" s="32"/>
    </x:row>
    <x:row r="404">
      <x:c r="B404" s="33"/>
      <x:c r="E404" s="32"/>
      <x:c r="F404" s="32"/>
    </x:row>
    <x:row r="405">
      <x:c r="B405" s="33"/>
      <x:c r="E405" s="32"/>
      <x:c r="F405" s="32"/>
    </x:row>
    <x:row r="406">
      <x:c r="B406" s="33"/>
      <x:c r="E406" s="32"/>
      <x:c r="F406" s="32"/>
    </x:row>
    <x:row r="407">
      <x:c r="B407" s="33"/>
      <x:c r="E407" s="32"/>
      <x:c r="F407" s="32"/>
    </x:row>
    <x:row r="408">
      <x:c r="B408" s="33"/>
      <x:c r="E408" s="32"/>
      <x:c r="F408" s="32"/>
    </x:row>
    <x:row r="409">
      <x:c r="B409" s="33"/>
      <x:c r="E409" s="32"/>
      <x:c r="F409" s="32"/>
    </x:row>
    <x:row r="410">
      <x:c r="B410" s="33"/>
      <x:c r="E410" s="32"/>
      <x:c r="F410" s="32"/>
    </x:row>
    <x:row r="411">
      <x:c r="B411" s="33"/>
      <x:c r="E411" s="32"/>
      <x:c r="F411" s="32"/>
    </x:row>
    <x:row r="412">
      <x:c r="B412" s="33"/>
      <x:c r="E412" s="32"/>
      <x:c r="F412" s="32"/>
    </x:row>
    <x:row r="413">
      <x:c r="B413" s="33"/>
      <x:c r="E413" s="32"/>
      <x:c r="F413" s="32"/>
    </x:row>
    <x:row r="414">
      <x:c r="B414" s="33"/>
      <x:c r="E414" s="32"/>
      <x:c r="F414" s="32"/>
    </x:row>
    <x:row r="415">
      <x:c r="B415" s="33"/>
      <x:c r="E415" s="32"/>
      <x:c r="F415" s="32"/>
    </x:row>
    <x:row r="416">
      <x:c r="B416" s="33"/>
      <x:c r="E416" s="32"/>
      <x:c r="F416" s="32"/>
    </x:row>
    <x:row r="417">
      <x:c r="B417" s="33"/>
      <x:c r="E417" s="32"/>
      <x:c r="F417" s="32"/>
    </x:row>
    <x:row r="418">
      <x:c r="B418" s="33"/>
      <x:c r="E418" s="32"/>
      <x:c r="F418" s="32"/>
    </x:row>
    <x:row r="419">
      <x:c r="B419" s="33"/>
      <x:c r="E419" s="32"/>
      <x:c r="F419" s="32"/>
    </x:row>
    <x:row r="420">
      <x:c r="B420" s="33"/>
      <x:c r="E420" s="32"/>
      <x:c r="F420" s="32"/>
    </x:row>
    <x:row r="421">
      <x:c r="B421" s="33"/>
      <x:c r="E421" s="32"/>
      <x:c r="F421" s="32"/>
    </x:row>
    <x:row r="422">
      <x:c r="B422" s="33"/>
      <x:c r="E422" s="32"/>
      <x:c r="F422" s="32"/>
    </x:row>
    <x:row r="423">
      <x:c r="B423" s="33"/>
      <x:c r="E423" s="32"/>
      <x:c r="F423" s="32"/>
    </x:row>
    <x:row r="424">
      <x:c r="B424" s="33"/>
      <x:c r="E424" s="32"/>
      <x:c r="F424" s="32"/>
    </x:row>
    <x:row r="425">
      <x:c r="B425" s="33"/>
      <x:c r="E425" s="32"/>
      <x:c r="F425" s="32"/>
    </x:row>
    <x:row r="426">
      <x:c r="B426" s="33"/>
      <x:c r="E426" s="32"/>
      <x:c r="F426" s="32"/>
    </x:row>
    <x:row r="427">
      <x:c r="B427" s="33"/>
      <x:c r="E427" s="32"/>
      <x:c r="F427" s="32"/>
    </x:row>
    <x:row r="428">
      <x:c r="B428" s="33"/>
      <x:c r="E428" s="32"/>
      <x:c r="F428" s="32"/>
    </x:row>
    <x:row r="429">
      <x:c r="B429" s="33"/>
      <x:c r="E429" s="32"/>
      <x:c r="F429" s="32"/>
    </x:row>
    <x:row r="430">
      <x:c r="B430" s="33"/>
      <x:c r="E430" s="32"/>
      <x:c r="F430" s="32"/>
    </x:row>
    <x:row r="431">
      <x:c r="B431" s="33"/>
      <x:c r="E431" s="32"/>
      <x:c r="F431" s="32"/>
    </x:row>
    <x:row r="432">
      <x:c r="B432" s="33"/>
      <x:c r="E432" s="32"/>
      <x:c r="F432" s="32"/>
    </x:row>
    <x:row r="433">
      <x:c r="B433" s="33"/>
      <x:c r="E433" s="32"/>
      <x:c r="F433" s="32"/>
    </x:row>
    <x:row r="434">
      <x:c r="B434" s="33"/>
      <x:c r="E434" s="32"/>
      <x:c r="F434" s="32"/>
    </x:row>
    <x:row r="435">
      <x:c r="B435" s="33"/>
      <x:c r="E435" s="32"/>
      <x:c r="F435" s="32"/>
    </x:row>
    <x:row r="436">
      <x:c r="B436" s="33"/>
      <x:c r="E436" s="32"/>
      <x:c r="F436" s="32"/>
    </x:row>
    <x:row r="437">
      <x:c r="B437" s="33"/>
      <x:c r="E437" s="32"/>
      <x:c r="F437" s="32"/>
    </x:row>
    <x:row r="438">
      <x:c r="B438" s="33"/>
      <x:c r="E438" s="32"/>
      <x:c r="F438" s="32"/>
    </x:row>
    <x:row r="439">
      <x:c r="B439" s="33"/>
      <x:c r="E439" s="32"/>
      <x:c r="F439" s="32"/>
    </x:row>
    <x:row r="440">
      <x:c r="B440" s="33"/>
      <x:c r="E440" s="32"/>
      <x:c r="F440" s="32"/>
    </x:row>
    <x:row r="441">
      <x:c r="B441" s="33"/>
      <x:c r="E441" s="32"/>
      <x:c r="F441" s="32"/>
    </x:row>
    <x:row r="442">
      <x:c r="B442" s="33"/>
      <x:c r="E442" s="32"/>
      <x:c r="F442" s="32"/>
    </x:row>
    <x:row r="443">
      <x:c r="B443" s="33"/>
      <x:c r="E443" s="32"/>
      <x:c r="F443" s="32"/>
    </x:row>
    <x:row r="444">
      <x:c r="B444" s="33"/>
      <x:c r="E444" s="32"/>
      <x:c r="F444" s="32"/>
    </x:row>
    <x:row r="445">
      <x:c r="B445" s="33"/>
      <x:c r="E445" s="32"/>
      <x:c r="F445" s="32"/>
    </x:row>
    <x:row r="446">
      <x:c r="B446" s="33"/>
      <x:c r="E446" s="32"/>
      <x:c r="F446" s="32"/>
    </x:row>
    <x:row r="447">
      <x:c r="B447" s="33"/>
      <x:c r="E447" s="32"/>
      <x:c r="F447" s="32"/>
    </x:row>
    <x:row r="448">
      <x:c r="B448" s="33"/>
      <x:c r="E448" s="32"/>
      <x:c r="F448" s="32"/>
    </x:row>
    <x:row r="449">
      <x:c r="B449" s="33"/>
      <x:c r="E449" s="32"/>
      <x:c r="F449" s="32"/>
    </x:row>
    <x:row r="450">
      <x:c r="B450" s="33"/>
      <x:c r="E450" s="32"/>
      <x:c r="F450" s="32"/>
    </x:row>
    <x:row r="451">
      <x:c r="B451" s="33"/>
      <x:c r="E451" s="32"/>
      <x:c r="F451" s="32"/>
    </x:row>
    <x:row r="452">
      <x:c r="B452" s="33"/>
      <x:c r="E452" s="32"/>
      <x:c r="F452" s="32"/>
    </x:row>
    <x:row r="453">
      <x:c r="B453" s="33"/>
      <x:c r="E453" s="32"/>
      <x:c r="F453" s="32"/>
    </x:row>
    <x:row r="454">
      <x:c r="B454" s="33"/>
      <x:c r="E454" s="32"/>
      <x:c r="F454" s="32"/>
    </x:row>
    <x:row r="455">
      <x:c r="B455" s="33"/>
      <x:c r="E455" s="32"/>
      <x:c r="F455" s="32"/>
    </x:row>
    <x:row r="456">
      <x:c r="B456" s="33"/>
      <x:c r="E456" s="32"/>
      <x:c r="F456" s="32"/>
    </x:row>
    <x:row r="457">
      <x:c r="B457" s="33"/>
      <x:c r="E457" s="32"/>
      <x:c r="F457" s="32"/>
    </x:row>
    <x:row r="458">
      <x:c r="B458" s="33"/>
      <x:c r="E458" s="32"/>
      <x:c r="F458" s="32"/>
    </x:row>
    <x:row r="459">
      <x:c r="B459" s="33"/>
      <x:c r="E459" s="32"/>
      <x:c r="F459" s="32"/>
    </x:row>
    <x:row r="460">
      <x:c r="B460" s="33"/>
      <x:c r="E460" s="32"/>
      <x:c r="F460" s="32"/>
    </x:row>
    <x:row r="461">
      <x:c r="B461" s="33"/>
      <x:c r="E461" s="32"/>
      <x:c r="F461" s="32"/>
    </x:row>
    <x:row r="462">
      <x:c r="B462" s="33"/>
      <x:c r="E462" s="32"/>
      <x:c r="F462" s="32"/>
    </x:row>
    <x:row r="463">
      <x:c r="B463" s="33"/>
      <x:c r="E463" s="32"/>
      <x:c r="F463" s="32"/>
    </x:row>
    <x:row r="464">
      <x:c r="B464" s="33"/>
      <x:c r="E464" s="32"/>
      <x:c r="F464" s="32"/>
    </x:row>
    <x:row r="465">
      <x:c r="B465" s="33"/>
      <x:c r="E465" s="32"/>
      <x:c r="F465" s="32"/>
    </x:row>
    <x:row r="466">
      <x:c r="B466" s="33"/>
      <x:c r="E466" s="32"/>
      <x:c r="F466" s="32"/>
    </x:row>
    <x:row r="467">
      <x:c r="B467" s="33"/>
      <x:c r="E467" s="32"/>
      <x:c r="F467" s="32"/>
    </x:row>
    <x:row r="468">
      <x:c r="B468" s="33"/>
      <x:c r="E468" s="32"/>
      <x:c r="F468" s="32"/>
    </x:row>
    <x:row r="469">
      <x:c r="B469" s="33"/>
      <x:c r="E469" s="32"/>
      <x:c r="F469" s="32"/>
    </x:row>
    <x:row r="470">
      <x:c r="B470" s="33"/>
      <x:c r="E470" s="32"/>
      <x:c r="F470" s="32"/>
    </x:row>
    <x:row r="471">
      <x:c r="B471" s="33"/>
      <x:c r="E471" s="32"/>
      <x:c r="F471" s="32"/>
    </x:row>
    <x:row r="472">
      <x:c r="B472" s="33"/>
      <x:c r="E472" s="32"/>
      <x:c r="F472" s="32"/>
    </x:row>
    <x:row r="473">
      <x:c r="B473" s="33"/>
      <x:c r="E473" s="32"/>
      <x:c r="F473" s="32"/>
    </x:row>
    <x:row r="474">
      <x:c r="B474" s="33"/>
      <x:c r="E474" s="32"/>
      <x:c r="F474" s="32"/>
    </x:row>
    <x:row r="475">
      <x:c r="B475" s="33"/>
      <x:c r="E475" s="32"/>
      <x:c r="F475" s="32"/>
    </x:row>
    <x:row r="476">
      <x:c r="B476" s="33"/>
      <x:c r="E476" s="32"/>
      <x:c r="F476" s="32"/>
    </x:row>
    <x:row r="477">
      <x:c r="B477" s="33"/>
      <x:c r="E477" s="32"/>
      <x:c r="F477" s="32"/>
    </x:row>
    <x:row r="478">
      <x:c r="B478" s="33"/>
      <x:c r="E478" s="32"/>
      <x:c r="F478" s="32"/>
    </x:row>
    <x:row r="479">
      <x:c r="B479" s="33"/>
      <x:c r="E479" s="32"/>
      <x:c r="F479" s="32"/>
    </x:row>
    <x:row r="480">
      <x:c r="B480" s="33"/>
      <x:c r="E480" s="32"/>
      <x:c r="F480" s="32"/>
    </x:row>
    <x:row r="481">
      <x:c r="B481" s="33"/>
      <x:c r="E481" s="32"/>
      <x:c r="F481" s="32"/>
    </x:row>
    <x:row r="482">
      <x:c r="B482" s="33"/>
      <x:c r="E482" s="32"/>
      <x:c r="F482" s="32"/>
    </x:row>
    <x:row r="483">
      <x:c r="B483" s="33"/>
      <x:c r="E483" s="32"/>
      <x:c r="F483" s="32"/>
    </x:row>
    <x:row r="484">
      <x:c r="B484" s="33"/>
      <x:c r="E484" s="32"/>
      <x:c r="F484" s="32"/>
    </x:row>
    <x:row r="485">
      <x:c r="B485" s="33"/>
      <x:c r="E485" s="32"/>
      <x:c r="F485" s="32"/>
    </x:row>
    <x:row r="486">
      <x:c r="B486" s="33"/>
      <x:c r="E486" s="32"/>
      <x:c r="F486" s="32"/>
    </x:row>
    <x:row r="487">
      <x:c r="B487" s="33"/>
      <x:c r="E487" s="32"/>
      <x:c r="F487" s="32"/>
    </x:row>
    <x:row r="488">
      <x:c r="B488" s="33"/>
      <x:c r="E488" s="32"/>
      <x:c r="F488" s="32"/>
    </x:row>
    <x:row r="489">
      <x:c r="B489" s="33"/>
      <x:c r="E489" s="32"/>
      <x:c r="F489" s="32"/>
    </x:row>
    <x:row r="490">
      <x:c r="B490" s="33"/>
      <x:c r="E490" s="32"/>
      <x:c r="F490" s="32"/>
    </x:row>
    <x:row r="491">
      <x:c r="B491" s="33"/>
      <x:c r="E491" s="32"/>
      <x:c r="F491" s="32"/>
    </x:row>
    <x:row r="492">
      <x:c r="B492" s="33"/>
      <x:c r="E492" s="32"/>
      <x:c r="F492" s="32"/>
    </x:row>
    <x:row r="493">
      <x:c r="B493" s="33"/>
      <x:c r="E493" s="32"/>
      <x:c r="F493" s="32"/>
    </x:row>
    <x:row r="494">
      <x:c r="B494" s="33"/>
      <x:c r="E494" s="32"/>
      <x:c r="F494" s="32"/>
    </x:row>
    <x:row r="495">
      <x:c r="B495" s="33"/>
      <x:c r="E495" s="32"/>
      <x:c r="F495" s="32"/>
    </x:row>
    <x:row r="496">
      <x:c r="B496" s="33"/>
      <x:c r="E496" s="32"/>
      <x:c r="F496" s="32"/>
    </x:row>
    <x:row r="497">
      <x:c r="B497" s="33"/>
      <x:c r="E497" s="32"/>
      <x:c r="F497" s="32"/>
    </x:row>
    <x:row r="498">
      <x:c r="B498" s="33"/>
      <x:c r="E498" s="32"/>
      <x:c r="F498" s="32"/>
    </x:row>
    <x:row r="499">
      <x:c r="B499" s="33"/>
      <x:c r="E499" s="32"/>
      <x:c r="F499" s="32"/>
    </x:row>
    <x:row r="500">
      <x:c r="B500" s="33"/>
      <x:c r="E500" s="32"/>
      <x:c r="F500" s="32"/>
    </x:row>
    <x:row r="501">
      <x:c r="B501" s="33"/>
      <x:c r="E501" s="32"/>
      <x:c r="F501" s="32"/>
    </x:row>
    <x:row r="502">
      <x:c r="B502" s="33"/>
      <x:c r="E502" s="32"/>
      <x:c r="F502" s="32"/>
    </x:row>
    <x:row r="503">
      <x:c r="B503" s="33"/>
      <x:c r="E503" s="32"/>
      <x:c r="F503" s="32"/>
    </x:row>
    <x:row r="504">
      <x:c r="B504" s="33"/>
      <x:c r="E504" s="32"/>
      <x:c r="F504" s="32"/>
    </x:row>
    <x:row r="505">
      <x:c r="B505" s="33"/>
      <x:c r="E505" s="32"/>
      <x:c r="F505" s="32"/>
    </x:row>
    <x:row r="506">
      <x:c r="B506" s="33"/>
      <x:c r="E506" s="32"/>
      <x:c r="F506" s="32"/>
    </x:row>
    <x:row r="507">
      <x:c r="B507" s="33"/>
      <x:c r="E507" s="32"/>
      <x:c r="F507" s="32"/>
    </x:row>
    <x:row r="508">
      <x:c r="B508" s="33"/>
      <x:c r="E508" s="32"/>
      <x:c r="F508" s="32"/>
    </x:row>
    <x:row r="509">
      <x:c r="B509" s="33"/>
      <x:c r="E509" s="32"/>
      <x:c r="F509" s="32"/>
    </x:row>
    <x:row r="510">
      <x:c r="B510" s="33"/>
      <x:c r="E510" s="32"/>
      <x:c r="F510" s="32"/>
    </x:row>
    <x:row r="511">
      <x:c r="B511" s="33"/>
      <x:c r="E511" s="32"/>
      <x:c r="F511" s="32"/>
    </x:row>
    <x:row r="512">
      <x:c r="B512" s="33"/>
      <x:c r="E512" s="32"/>
      <x:c r="F512" s="32"/>
    </x:row>
    <x:row r="513">
      <x:c r="B513" s="33"/>
      <x:c r="E513" s="32"/>
      <x:c r="F513" s="32"/>
    </x:row>
    <x:row r="514">
      <x:c r="B514" s="33"/>
      <x:c r="E514" s="32"/>
      <x:c r="F514" s="32"/>
    </x:row>
    <x:row r="515">
      <x:c r="B515" s="33"/>
      <x:c r="E515" s="32"/>
      <x:c r="F515" s="32"/>
    </x:row>
    <x:row r="516">
      <x:c r="B516" s="33"/>
      <x:c r="E516" s="32"/>
      <x:c r="F516" s="32"/>
    </x:row>
    <x:row r="517">
      <x:c r="B517" s="33"/>
      <x:c r="E517" s="32"/>
      <x:c r="F517" s="32"/>
    </x:row>
    <x:row r="518">
      <x:c r="B518" s="33"/>
      <x:c r="E518" s="32"/>
      <x:c r="F518" s="32"/>
    </x:row>
    <x:row r="519">
      <x:c r="B519" s="33"/>
      <x:c r="E519" s="32"/>
      <x:c r="F519" s="32"/>
    </x:row>
    <x:row r="520">
      <x:c r="B520" s="33"/>
      <x:c r="E520" s="32"/>
      <x:c r="F520" s="32"/>
    </x:row>
    <x:row r="521">
      <x:c r="B521" s="33"/>
      <x:c r="E521" s="32"/>
      <x:c r="F521" s="32"/>
    </x:row>
    <x:row r="522">
      <x:c r="B522" s="33"/>
      <x:c r="E522" s="32"/>
      <x:c r="F522" s="32"/>
    </x:row>
    <x:row r="523">
      <x:c r="B523" s="33"/>
      <x:c r="E523" s="32"/>
      <x:c r="F523" s="32"/>
    </x:row>
    <x:row r="524">
      <x:c r="B524" s="33"/>
      <x:c r="E524" s="32"/>
      <x:c r="F524" s="32"/>
    </x:row>
    <x:row r="525">
      <x:c r="B525" s="33"/>
      <x:c r="E525" s="32"/>
      <x:c r="F525" s="32"/>
    </x:row>
    <x:row r="526">
      <x:c r="B526" s="33"/>
      <x:c r="E526" s="32"/>
      <x:c r="F526" s="32"/>
    </x:row>
    <x:row r="527">
      <x:c r="B527" s="33"/>
      <x:c r="E527" s="32"/>
      <x:c r="F527" s="32"/>
    </x:row>
    <x:row r="528">
      <x:c r="B528" s="33"/>
      <x:c r="E528" s="32"/>
      <x:c r="F528" s="32"/>
    </x:row>
    <x:row r="529">
      <x:c r="B529" s="33"/>
      <x:c r="E529" s="32"/>
      <x:c r="F529" s="32"/>
    </x:row>
    <x:row r="530">
      <x:c r="B530" s="33"/>
      <x:c r="E530" s="32"/>
      <x:c r="F530" s="32"/>
    </x:row>
    <x:row r="531">
      <x:c r="B531" s="33"/>
      <x:c r="E531" s="32"/>
      <x:c r="F531" s="32"/>
    </x:row>
    <x:row r="532">
      <x:c r="B532" s="33"/>
      <x:c r="E532" s="32"/>
      <x:c r="F532" s="32"/>
    </x:row>
    <x:row r="533">
      <x:c r="B533" s="33"/>
      <x:c r="E533" s="32"/>
      <x:c r="F533" s="32"/>
    </x:row>
    <x:row r="534">
      <x:c r="B534" s="33"/>
      <x:c r="E534" s="32"/>
      <x:c r="F534" s="32"/>
    </x:row>
    <x:row r="535">
      <x:c r="B535" s="33"/>
      <x:c r="E535" s="32"/>
      <x:c r="F535" s="32"/>
    </x:row>
    <x:row r="536">
      <x:c r="B536" s="33"/>
      <x:c r="E536" s="32"/>
      <x:c r="F536" s="32"/>
    </x:row>
    <x:row r="537">
      <x:c r="B537" s="33"/>
      <x:c r="E537" s="32"/>
      <x:c r="F537" s="32"/>
    </x:row>
    <x:row r="538">
      <x:c r="B538" s="33"/>
      <x:c r="E538" s="32"/>
      <x:c r="F538" s="32"/>
    </x:row>
    <x:row r="539">
      <x:c r="B539" s="33"/>
      <x:c r="E539" s="32"/>
      <x:c r="F539" s="32"/>
    </x:row>
    <x:row r="540">
      <x:c r="B540" s="33"/>
      <x:c r="E540" s="32"/>
      <x:c r="F540" s="32"/>
    </x:row>
    <x:row r="541">
      <x:c r="B541" s="33"/>
      <x:c r="E541" s="32"/>
      <x:c r="F541" s="32"/>
    </x:row>
    <x:row r="542">
      <x:c r="B542" s="33"/>
      <x:c r="E542" s="32"/>
      <x:c r="F542" s="32"/>
    </x:row>
    <x:row r="543">
      <x:c r="B543" s="33"/>
      <x:c r="E543" s="32"/>
      <x:c r="F543" s="32"/>
    </x:row>
    <x:row r="544">
      <x:c r="B544" s="33"/>
      <x:c r="E544" s="32"/>
      <x:c r="F544" s="32"/>
    </x:row>
    <x:row r="545">
      <x:c r="B545" s="33"/>
      <x:c r="E545" s="32"/>
      <x:c r="F545" s="32"/>
    </x:row>
    <x:row r="546">
      <x:c r="B546" s="33"/>
      <x:c r="E546" s="32"/>
      <x:c r="F546" s="32"/>
    </x:row>
    <x:row r="547">
      <x:c r="B547" s="33"/>
      <x:c r="E547" s="32"/>
      <x:c r="F547" s="32"/>
    </x:row>
    <x:row r="548">
      <x:c r="B548" s="33"/>
      <x:c r="E548" s="32"/>
      <x:c r="F548" s="32"/>
    </x:row>
    <x:row r="549">
      <x:c r="B549" s="33"/>
      <x:c r="E549" s="32"/>
      <x:c r="F549" s="32"/>
    </x:row>
    <x:row r="550">
      <x:c r="B550" s="33"/>
      <x:c r="E550" s="32"/>
      <x:c r="F550" s="32"/>
    </x:row>
    <x:row r="551">
      <x:c r="B551" s="33"/>
      <x:c r="E551" s="32"/>
      <x:c r="F551" s="32"/>
    </x:row>
    <x:row r="552">
      <x:c r="B552" s="33"/>
      <x:c r="E552" s="32"/>
      <x:c r="F552" s="32"/>
    </x:row>
    <x:row r="553">
      <x:c r="B553" s="33"/>
      <x:c r="E553" s="32"/>
      <x:c r="F553" s="32"/>
    </x:row>
    <x:row r="554">
      <x:c r="B554" s="33"/>
      <x:c r="E554" s="32"/>
      <x:c r="F554" s="32"/>
    </x:row>
    <x:row r="555">
      <x:c r="B555" s="33"/>
      <x:c r="E555" s="32"/>
      <x:c r="F555" s="32"/>
    </x:row>
    <x:row r="556">
      <x:c r="B556" s="33"/>
      <x:c r="E556" s="32"/>
      <x:c r="F556" s="32"/>
    </x:row>
    <x:row r="557">
      <x:c r="B557" s="33"/>
      <x:c r="E557" s="32"/>
      <x:c r="F557" s="32"/>
    </x:row>
    <x:row r="558">
      <x:c r="B558" s="33"/>
      <x:c r="E558" s="32"/>
      <x:c r="F558" s="32"/>
    </x:row>
    <x:row r="559">
      <x:c r="B559" s="33"/>
      <x:c r="E559" s="32"/>
      <x:c r="F559" s="32"/>
    </x:row>
    <x:row r="560">
      <x:c r="B560" s="33"/>
      <x:c r="E560" s="32"/>
      <x:c r="F560" s="32"/>
    </x:row>
    <x:row r="561">
      <x:c r="B561" s="33"/>
      <x:c r="E561" s="32"/>
      <x:c r="F561" s="32"/>
    </x:row>
    <x:row r="562">
      <x:c r="B562" s="33"/>
      <x:c r="E562" s="32"/>
      <x:c r="F562" s="32"/>
    </x:row>
    <x:row r="563">
      <x:c r="B563" s="33"/>
      <x:c r="E563" s="32"/>
      <x:c r="F563" s="32"/>
    </x:row>
    <x:row r="564">
      <x:c r="B564" s="33"/>
      <x:c r="E564" s="32"/>
      <x:c r="F564" s="32"/>
    </x:row>
    <x:row r="565">
      <x:c r="B565" s="33"/>
      <x:c r="E565" s="32"/>
      <x:c r="F565" s="32"/>
    </x:row>
    <x:row r="566">
      <x:c r="B566" s="33"/>
      <x:c r="E566" s="32"/>
      <x:c r="F566" s="32"/>
    </x:row>
    <x:row r="567">
      <x:c r="B567" s="33"/>
      <x:c r="E567" s="32"/>
      <x:c r="F567" s="32"/>
    </x:row>
    <x:row r="568">
      <x:c r="B568" s="33"/>
      <x:c r="E568" s="32"/>
      <x:c r="F568" s="32"/>
    </x:row>
    <x:row r="569">
      <x:c r="B569" s="33"/>
      <x:c r="E569" s="32"/>
      <x:c r="F569" s="32"/>
    </x:row>
    <x:row r="570">
      <x:c r="B570" s="33"/>
      <x:c r="E570" s="32"/>
      <x:c r="F570" s="32"/>
    </x:row>
    <x:row r="571">
      <x:c r="B571" s="33"/>
      <x:c r="E571" s="32"/>
      <x:c r="F571" s="32"/>
    </x:row>
    <x:row r="572">
      <x:c r="B572" s="33"/>
      <x:c r="E572" s="32"/>
      <x:c r="F572" s="32"/>
    </x:row>
    <x:row r="573">
      <x:c r="B573" s="33"/>
      <x:c r="E573" s="32"/>
      <x:c r="F573" s="32"/>
    </x:row>
    <x:row r="574">
      <x:c r="B574" s="33"/>
      <x:c r="E574" s="32"/>
      <x:c r="F574" s="32"/>
    </x:row>
    <x:row r="575">
      <x:c r="B575" s="33"/>
      <x:c r="E575" s="32"/>
      <x:c r="F575" s="32"/>
    </x:row>
    <x:row r="576">
      <x:c r="B576" s="33"/>
      <x:c r="E576" s="32"/>
      <x:c r="F576" s="32"/>
    </x:row>
    <x:row r="577">
      <x:c r="B577" s="33"/>
      <x:c r="E577" s="32"/>
      <x:c r="F577" s="32"/>
    </x:row>
    <x:row r="578">
      <x:c r="B578" s="33"/>
      <x:c r="E578" s="32"/>
      <x:c r="F578" s="32"/>
    </x:row>
    <x:row r="579">
      <x:c r="B579" s="33"/>
      <x:c r="E579" s="32"/>
      <x:c r="F579" s="32"/>
    </x:row>
    <x:row r="580">
      <x:c r="B580" s="33"/>
      <x:c r="E580" s="32"/>
      <x:c r="F580" s="32"/>
    </x:row>
    <x:row r="581">
      <x:c r="B581" s="33"/>
      <x:c r="E581" s="32"/>
      <x:c r="F581" s="32"/>
    </x:row>
    <x:row r="582">
      <x:c r="B582" s="33"/>
      <x:c r="E582" s="32"/>
      <x:c r="F582" s="32"/>
    </x:row>
    <x:row r="583">
      <x:c r="B583" s="33"/>
      <x:c r="E583" s="32"/>
      <x:c r="F583" s="32"/>
    </x:row>
    <x:row r="584">
      <x:c r="B584" s="33"/>
      <x:c r="E584" s="32"/>
      <x:c r="F584" s="32"/>
    </x:row>
    <x:row r="585">
      <x:c r="B585" s="33"/>
      <x:c r="E585" s="32"/>
      <x:c r="F585" s="32"/>
    </x:row>
    <x:row r="586">
      <x:c r="B586" s="33"/>
      <x:c r="E586" s="32"/>
      <x:c r="F586" s="32"/>
    </x:row>
    <x:row r="587">
      <x:c r="B587" s="33"/>
      <x:c r="E587" s="32"/>
      <x:c r="F587" s="32"/>
    </x:row>
    <x:row r="588">
      <x:c r="B588" s="33"/>
      <x:c r="E588" s="32"/>
      <x:c r="F588" s="32"/>
    </x:row>
    <x:row r="589">
      <x:c r="B589" s="33"/>
      <x:c r="E589" s="32"/>
      <x:c r="F589" s="32"/>
    </x:row>
    <x:row r="590">
      <x:c r="B590" s="33"/>
      <x:c r="E590" s="32"/>
      <x:c r="F590" s="32"/>
    </x:row>
    <x:row r="591">
      <x:c r="B591" s="33"/>
      <x:c r="E591" s="32"/>
      <x:c r="F591" s="32"/>
    </x:row>
    <x:row r="592">
      <x:c r="B592" s="33"/>
      <x:c r="E592" s="32"/>
      <x:c r="F592" s="32"/>
    </x:row>
    <x:row r="593">
      <x:c r="B593" s="33"/>
      <x:c r="E593" s="32"/>
      <x:c r="F593" s="32"/>
    </x:row>
    <x:row r="594">
      <x:c r="B594" s="33"/>
      <x:c r="E594" s="32"/>
      <x:c r="F594" s="32"/>
    </x:row>
    <x:row r="595">
      <x:c r="B595" s="33"/>
      <x:c r="E595" s="32"/>
      <x:c r="F595" s="32"/>
    </x:row>
    <x:row r="596">
      <x:c r="B596" s="33"/>
      <x:c r="E596" s="32"/>
      <x:c r="F596" s="32"/>
    </x:row>
    <x:row r="597">
      <x:c r="B597" s="33"/>
      <x:c r="E597" s="32"/>
      <x:c r="F597" s="32"/>
    </x:row>
    <x:row r="598">
      <x:c r="B598" s="33"/>
      <x:c r="E598" s="32"/>
      <x:c r="F598" s="32"/>
    </x:row>
    <x:row r="599">
      <x:c r="B599" s="33"/>
      <x:c r="E599" s="32"/>
      <x:c r="F599" s="32"/>
    </x:row>
    <x:row r="600">
      <x:c r="B600" s="33"/>
      <x:c r="E600" s="32"/>
      <x:c r="F600" s="32"/>
    </x:row>
    <x:row r="601">
      <x:c r="B601" s="33"/>
      <x:c r="E601" s="32"/>
      <x:c r="F601" s="32"/>
    </x:row>
    <x:row r="602">
      <x:c r="B602" s="33"/>
      <x:c r="E602" s="32"/>
      <x:c r="F602" s="32"/>
    </x:row>
    <x:row r="603">
      <x:c r="B603" s="33"/>
      <x:c r="E603" s="32"/>
      <x:c r="F603" s="32"/>
    </x:row>
    <x:row r="604">
      <x:c r="B604" s="33"/>
      <x:c r="E604" s="32"/>
      <x:c r="F604" s="32"/>
    </x:row>
    <x:row r="605">
      <x:c r="B605" s="33"/>
      <x:c r="E605" s="32"/>
      <x:c r="F605" s="32"/>
    </x:row>
    <x:row r="606">
      <x:c r="B606" s="33"/>
      <x:c r="E606" s="32"/>
      <x:c r="F606" s="32"/>
    </x:row>
    <x:row r="607">
      <x:c r="B607" s="33"/>
      <x:c r="E607" s="32"/>
      <x:c r="F607" s="32"/>
    </x:row>
    <x:row r="608">
      <x:c r="B608" s="33"/>
      <x:c r="E608" s="32"/>
      <x:c r="F608" s="32"/>
    </x:row>
    <x:row r="609">
      <x:c r="B609" s="33"/>
      <x:c r="E609" s="32"/>
      <x:c r="F609" s="32"/>
    </x:row>
    <x:row r="610">
      <x:c r="B610" s="33"/>
      <x:c r="E610" s="32"/>
      <x:c r="F610" s="32"/>
    </x:row>
    <x:row r="611">
      <x:c r="B611" s="33"/>
      <x:c r="E611" s="32"/>
      <x:c r="F611" s="32"/>
    </x:row>
    <x:row r="612">
      <x:c r="B612" s="33"/>
      <x:c r="E612" s="32"/>
      <x:c r="F612" s="32"/>
    </x:row>
    <x:row r="613">
      <x:c r="B613" s="33"/>
      <x:c r="E613" s="32"/>
      <x:c r="F613" s="32"/>
    </x:row>
    <x:row r="614">
      <x:c r="B614" s="33"/>
      <x:c r="E614" s="32"/>
      <x:c r="F614" s="32"/>
    </x:row>
    <x:row r="615">
      <x:c r="B615" s="33"/>
      <x:c r="E615" s="32"/>
      <x:c r="F615" s="32"/>
    </x:row>
    <x:row r="616">
      <x:c r="B616" s="33"/>
      <x:c r="E616" s="32"/>
      <x:c r="F616" s="32"/>
    </x:row>
    <x:row r="617">
      <x:c r="B617" s="33"/>
      <x:c r="E617" s="32"/>
      <x:c r="F617" s="32"/>
    </x:row>
    <x:row r="618">
      <x:c r="B618" s="33"/>
      <x:c r="E618" s="32"/>
      <x:c r="F618" s="32"/>
    </x:row>
    <x:row r="619">
      <x:c r="B619" s="33"/>
      <x:c r="E619" s="32"/>
      <x:c r="F619" s="32"/>
    </x:row>
    <x:row r="620">
      <x:c r="B620" s="33"/>
      <x:c r="E620" s="32"/>
      <x:c r="F620" s="32"/>
    </x:row>
    <x:row r="621">
      <x:c r="B621" s="33"/>
      <x:c r="E621" s="32"/>
      <x:c r="F621" s="32"/>
    </x:row>
    <x:row r="622">
      <x:c r="B622" s="33"/>
      <x:c r="E622" s="32"/>
      <x:c r="F622" s="32"/>
    </x:row>
    <x:row r="623">
      <x:c r="B623" s="33"/>
      <x:c r="E623" s="32"/>
      <x:c r="F623" s="32"/>
    </x:row>
    <x:row r="624">
      <x:c r="B624" s="33"/>
      <x:c r="E624" s="32"/>
      <x:c r="F624" s="32"/>
    </x:row>
    <x:row r="625">
      <x:c r="B625" s="33"/>
      <x:c r="E625" s="32"/>
      <x:c r="F625" s="32"/>
    </x:row>
    <x:row r="626">
      <x:c r="B626" s="33"/>
      <x:c r="E626" s="32"/>
      <x:c r="F626" s="32"/>
    </x:row>
    <x:row r="627">
      <x:c r="B627" s="33"/>
      <x:c r="E627" s="32"/>
      <x:c r="F627" s="32"/>
    </x:row>
    <x:row r="628">
      <x:c r="B628" s="33"/>
      <x:c r="E628" s="32"/>
      <x:c r="F628" s="32"/>
    </x:row>
    <x:row r="629">
      <x:c r="B629" s="33"/>
      <x:c r="E629" s="32"/>
      <x:c r="F629" s="32"/>
    </x:row>
    <x:row r="630">
      <x:c r="B630" s="33"/>
      <x:c r="E630" s="32"/>
      <x:c r="F630" s="32"/>
    </x:row>
    <x:row r="631">
      <x:c r="B631" s="33"/>
      <x:c r="E631" s="32"/>
      <x:c r="F631" s="32"/>
    </x:row>
    <x:row r="632">
      <x:c r="B632" s="33"/>
      <x:c r="E632" s="32"/>
      <x:c r="F632" s="32"/>
    </x:row>
    <x:row r="633">
      <x:c r="B633" s="33"/>
      <x:c r="E633" s="32"/>
      <x:c r="F633" s="32"/>
    </x:row>
    <x:row r="634">
      <x:c r="B634" s="33"/>
      <x:c r="E634" s="32"/>
      <x:c r="F634" s="32"/>
    </x:row>
    <x:row r="635">
      <x:c r="B635" s="33"/>
      <x:c r="E635" s="32"/>
      <x:c r="F635" s="32"/>
    </x:row>
    <x:row r="636">
      <x:c r="B636" s="33"/>
      <x:c r="E636" s="32"/>
      <x:c r="F636" s="32"/>
    </x:row>
    <x:row r="637">
      <x:c r="B637" s="33"/>
      <x:c r="E637" s="32"/>
      <x:c r="F637" s="32"/>
    </x:row>
    <x:row r="638">
      <x:c r="B638" s="33"/>
      <x:c r="E638" s="32"/>
      <x:c r="F638" s="32"/>
    </x:row>
    <x:row r="639">
      <x:c r="B639" s="33"/>
      <x:c r="E639" s="32"/>
      <x:c r="F639" s="32"/>
    </x:row>
    <x:row r="640">
      <x:c r="B640" s="33"/>
      <x:c r="E640" s="32"/>
      <x:c r="F640" s="32"/>
    </x:row>
    <x:row r="641">
      <x:c r="B641" s="33"/>
      <x:c r="E641" s="32"/>
      <x:c r="F641" s="32"/>
    </x:row>
    <x:row r="642">
      <x:c r="B642" s="33"/>
      <x:c r="E642" s="32"/>
      <x:c r="F642" s="32"/>
    </x:row>
    <x:row r="643">
      <x:c r="B643" s="33"/>
      <x:c r="E643" s="32"/>
      <x:c r="F643" s="32"/>
    </x:row>
    <x:row r="644">
      <x:c r="B644" s="33"/>
      <x:c r="E644" s="32"/>
      <x:c r="F644" s="32"/>
    </x:row>
    <x:row r="645">
      <x:c r="B645" s="33"/>
      <x:c r="E645" s="32"/>
      <x:c r="F645" s="32"/>
    </x:row>
    <x:row r="646">
      <x:c r="B646" s="33"/>
      <x:c r="E646" s="32"/>
      <x:c r="F646" s="32"/>
    </x:row>
    <x:row r="647">
      <x:c r="B647" s="33"/>
      <x:c r="E647" s="32"/>
      <x:c r="F647" s="32"/>
    </x:row>
    <x:row r="648">
      <x:c r="B648" s="33"/>
      <x:c r="E648" s="32"/>
      <x:c r="F648" s="32"/>
    </x:row>
    <x:row r="649">
      <x:c r="B649" s="33"/>
      <x:c r="E649" s="32"/>
      <x:c r="F649" s="32"/>
    </x:row>
    <x:row r="650">
      <x:c r="B650" s="33"/>
      <x:c r="E650" s="32"/>
      <x:c r="F650" s="32"/>
    </x:row>
    <x:row r="651">
      <x:c r="B651" s="33"/>
      <x:c r="E651" s="32"/>
      <x:c r="F651" s="32"/>
    </x:row>
    <x:row r="652">
      <x:c r="B652" s="33"/>
      <x:c r="E652" s="32"/>
      <x:c r="F652" s="32"/>
    </x:row>
    <x:row r="653">
      <x:c r="B653" s="33"/>
      <x:c r="E653" s="32"/>
      <x:c r="F653" s="32"/>
    </x:row>
    <x:row r="654">
      <x:c r="B654" s="33"/>
      <x:c r="E654" s="32"/>
      <x:c r="F654" s="32"/>
    </x:row>
    <x:row r="655">
      <x:c r="B655" s="33"/>
      <x:c r="E655" s="32"/>
      <x:c r="F655" s="32"/>
    </x:row>
    <x:row r="656">
      <x:c r="B656" s="33"/>
      <x:c r="E656" s="32"/>
      <x:c r="F656" s="32"/>
    </x:row>
    <x:row r="657">
      <x:c r="B657" s="33"/>
      <x:c r="E657" s="32"/>
      <x:c r="F657" s="32"/>
    </x:row>
    <x:row r="658">
      <x:c r="B658" s="33"/>
      <x:c r="E658" s="32"/>
      <x:c r="F658" s="32"/>
    </x:row>
    <x:row r="659">
      <x:c r="B659" s="33"/>
      <x:c r="E659" s="32"/>
      <x:c r="F659" s="32"/>
    </x:row>
    <x:row r="660">
      <x:c r="B660" s="33"/>
      <x:c r="E660" s="32"/>
      <x:c r="F660" s="32"/>
    </x:row>
    <x:row r="661">
      <x:c r="B661" s="33"/>
      <x:c r="E661" s="32"/>
      <x:c r="F661" s="32"/>
    </x:row>
    <x:row r="662">
      <x:c r="B662" s="33"/>
      <x:c r="E662" s="32"/>
      <x:c r="F662" s="32"/>
    </x:row>
    <x:row r="663">
      <x:c r="B663" s="33"/>
      <x:c r="E663" s="32"/>
      <x:c r="F663" s="32"/>
    </x:row>
    <x:row r="664">
      <x:c r="B664" s="33"/>
      <x:c r="E664" s="32"/>
      <x:c r="F664" s="32"/>
    </x:row>
    <x:row r="665">
      <x:c r="B665" s="33"/>
      <x:c r="E665" s="32"/>
      <x:c r="F665" s="32"/>
    </x:row>
    <x:row r="666">
      <x:c r="B666" s="33"/>
      <x:c r="E666" s="32"/>
      <x:c r="F666" s="32"/>
    </x:row>
    <x:row r="667">
      <x:c r="B667" s="33"/>
      <x:c r="E667" s="32"/>
      <x:c r="F667" s="32"/>
    </x:row>
    <x:row r="668">
      <x:c r="B668" s="33"/>
      <x:c r="E668" s="32"/>
      <x:c r="F668" s="32"/>
    </x:row>
    <x:row r="669">
      <x:c r="B669" s="33"/>
      <x:c r="E669" s="32"/>
      <x:c r="F669" s="32"/>
    </x:row>
    <x:row r="670">
      <x:c r="B670" s="33"/>
      <x:c r="E670" s="32"/>
      <x:c r="F670" s="32"/>
    </x:row>
    <x:row r="671">
      <x:c r="B671" s="33"/>
      <x:c r="E671" s="32"/>
      <x:c r="F671" s="32"/>
    </x:row>
    <x:row r="672">
      <x:c r="B672" s="33"/>
      <x:c r="E672" s="32"/>
      <x:c r="F672" s="32"/>
    </x:row>
    <x:row r="673">
      <x:c r="B673" s="33"/>
      <x:c r="E673" s="32"/>
      <x:c r="F673" s="32"/>
    </x:row>
    <x:row r="674">
      <x:c r="B674" s="33"/>
      <x:c r="E674" s="32"/>
      <x:c r="F674" s="32"/>
    </x:row>
    <x:row r="675">
      <x:c r="B675" s="33"/>
      <x:c r="E675" s="32"/>
      <x:c r="F675" s="32"/>
    </x:row>
    <x:row r="676">
      <x:c r="B676" s="33"/>
      <x:c r="E676" s="32"/>
      <x:c r="F676" s="32"/>
    </x:row>
    <x:row r="677">
      <x:c r="B677" s="33"/>
      <x:c r="E677" s="32"/>
      <x:c r="F677" s="32"/>
    </x:row>
    <x:row r="678">
      <x:c r="B678" s="33"/>
      <x:c r="E678" s="32"/>
      <x:c r="F678" s="32"/>
    </x:row>
    <x:row r="679">
      <x:c r="B679" s="33"/>
      <x:c r="E679" s="32"/>
      <x:c r="F679" s="32"/>
    </x:row>
    <x:row r="680">
      <x:c r="B680" s="33"/>
      <x:c r="E680" s="32"/>
      <x:c r="F680" s="32"/>
    </x:row>
    <x:row r="681">
      <x:c r="B681" s="33"/>
      <x:c r="E681" s="32"/>
      <x:c r="F681" s="32"/>
    </x:row>
    <x:row r="682">
      <x:c r="B682" s="33"/>
      <x:c r="E682" s="32"/>
      <x:c r="F682" s="32"/>
    </x:row>
    <x:row r="683">
      <x:c r="B683" s="33"/>
      <x:c r="E683" s="32"/>
      <x:c r="F683" s="32"/>
    </x:row>
    <x:row r="684">
      <x:c r="B684" s="33"/>
      <x:c r="E684" s="32"/>
      <x:c r="F684" s="32"/>
    </x:row>
    <x:row r="685">
      <x:c r="B685" s="33"/>
      <x:c r="E685" s="32"/>
      <x:c r="F685" s="32"/>
    </x:row>
    <x:row r="686">
      <x:c r="B686" s="33"/>
      <x:c r="E686" s="32"/>
      <x:c r="F686" s="32"/>
    </x:row>
    <x:row r="687">
      <x:c r="B687" s="33"/>
      <x:c r="E687" s="32"/>
      <x:c r="F687" s="32"/>
    </x:row>
    <x:row r="688">
      <x:c r="B688" s="33"/>
      <x:c r="E688" s="32"/>
      <x:c r="F688" s="32"/>
    </x:row>
    <x:row r="689">
      <x:c r="B689" s="33"/>
      <x:c r="E689" s="32"/>
      <x:c r="F689" s="32"/>
    </x:row>
    <x:row r="690">
      <x:c r="B690" s="33"/>
      <x:c r="E690" s="32"/>
      <x:c r="F690" s="32"/>
    </x:row>
    <x:row r="691">
      <x:c r="B691" s="33"/>
      <x:c r="E691" s="32"/>
      <x:c r="F691" s="32"/>
    </x:row>
    <x:row r="692">
      <x:c r="B692" s="33"/>
      <x:c r="E692" s="32"/>
      <x:c r="F692" s="32"/>
    </x:row>
    <x:row r="693">
      <x:c r="B693" s="33"/>
      <x:c r="E693" s="32"/>
      <x:c r="F693" s="32"/>
    </x:row>
    <x:row r="694">
      <x:c r="B694" s="33"/>
      <x:c r="E694" s="32"/>
      <x:c r="F694" s="32"/>
    </x:row>
    <x:row r="695">
      <x:c r="B695" s="33"/>
      <x:c r="E695" s="32"/>
      <x:c r="F695" s="32"/>
    </x:row>
    <x:row r="696">
      <x:c r="B696" s="33"/>
      <x:c r="E696" s="32"/>
      <x:c r="F696" s="32"/>
    </x:row>
    <x:row r="697">
      <x:c r="B697" s="33"/>
      <x:c r="E697" s="32"/>
      <x:c r="F697" s="32"/>
    </x:row>
    <x:row r="698">
      <x:c r="B698" s="33"/>
      <x:c r="E698" s="32"/>
      <x:c r="F698" s="32"/>
    </x:row>
    <x:row r="699">
      <x:c r="B699" s="33"/>
      <x:c r="E699" s="32"/>
      <x:c r="F699" s="32"/>
    </x:row>
    <x:row r="700">
      <x:c r="B700" s="33"/>
      <x:c r="E700" s="32"/>
      <x:c r="F700" s="32"/>
    </x:row>
    <x:row r="701">
      <x:c r="B701" s="33"/>
      <x:c r="E701" s="32"/>
      <x:c r="F701" s="32"/>
    </x:row>
    <x:row r="702">
      <x:c r="B702" s="33"/>
      <x:c r="E702" s="32"/>
      <x:c r="F702" s="32"/>
    </x:row>
    <x:row r="703">
      <x:c r="B703" s="33"/>
      <x:c r="E703" s="32"/>
      <x:c r="F703" s="32"/>
    </x:row>
    <x:row r="704">
      <x:c r="B704" s="33"/>
      <x:c r="E704" s="32"/>
      <x:c r="F704" s="32"/>
    </x:row>
    <x:row r="705">
      <x:c r="B705" s="33"/>
      <x:c r="E705" s="32"/>
      <x:c r="F705" s="32"/>
    </x:row>
    <x:row r="706">
      <x:c r="B706" s="33"/>
      <x:c r="E706" s="32"/>
      <x:c r="F706" s="32"/>
    </x:row>
    <x:row r="707">
      <x:c r="B707" s="33"/>
      <x:c r="E707" s="32"/>
      <x:c r="F707" s="32"/>
    </x:row>
    <x:row r="708">
      <x:c r="B708" s="33"/>
      <x:c r="E708" s="32"/>
      <x:c r="F708" s="32"/>
    </x:row>
    <x:row r="709">
      <x:c r="B709" s="33"/>
      <x:c r="E709" s="32"/>
      <x:c r="F709" s="32"/>
    </x:row>
    <x:row r="710">
      <x:c r="B710" s="33"/>
      <x:c r="E710" s="32"/>
      <x:c r="F710" s="32"/>
    </x:row>
    <x:row r="711">
      <x:c r="B711" s="33"/>
      <x:c r="E711" s="32"/>
      <x:c r="F711" s="32"/>
    </x:row>
    <x:row r="712">
      <x:c r="B712" s="33"/>
      <x:c r="E712" s="32"/>
      <x:c r="F712" s="32"/>
    </x:row>
    <x:row r="713">
      <x:c r="B713" s="33"/>
      <x:c r="E713" s="32"/>
      <x:c r="F713" s="32"/>
    </x:row>
    <x:row r="714">
      <x:c r="B714" s="33"/>
      <x:c r="E714" s="32"/>
      <x:c r="F714" s="32"/>
    </x:row>
    <x:row r="715">
      <x:c r="B715" s="33"/>
      <x:c r="E715" s="32"/>
      <x:c r="F715" s="32"/>
    </x:row>
    <x:row r="716">
      <x:c r="B716" s="33"/>
      <x:c r="E716" s="32"/>
      <x:c r="F716" s="32"/>
    </x:row>
    <x:row r="717">
      <x:c r="B717" s="33"/>
      <x:c r="E717" s="32"/>
      <x:c r="F717" s="32"/>
    </x:row>
    <x:row r="718">
      <x:c r="B718" s="33"/>
      <x:c r="E718" s="32"/>
      <x:c r="F718" s="32"/>
    </x:row>
    <x:row r="719">
      <x:c r="B719" s="33"/>
      <x:c r="E719" s="32"/>
      <x:c r="F719" s="32"/>
    </x:row>
    <x:row r="720">
      <x:c r="B720" s="33"/>
      <x:c r="E720" s="32"/>
      <x:c r="F720" s="32"/>
    </x:row>
    <x:row r="721">
      <x:c r="B721" s="33"/>
      <x:c r="E721" s="32"/>
      <x:c r="F721" s="32"/>
    </x:row>
    <x:row r="722">
      <x:c r="B722" s="33"/>
      <x:c r="E722" s="32"/>
      <x:c r="F722" s="32"/>
    </x:row>
    <x:row r="723">
      <x:c r="B723" s="33"/>
      <x:c r="E723" s="32"/>
      <x:c r="F723" s="32"/>
    </x:row>
    <x:row r="724">
      <x:c r="B724" s="33"/>
      <x:c r="E724" s="32"/>
      <x:c r="F724" s="32"/>
    </x:row>
    <x:row r="725">
      <x:c r="B725" s="33"/>
      <x:c r="E725" s="32"/>
      <x:c r="F725" s="32"/>
    </x:row>
    <x:row r="726">
      <x:c r="B726" s="33"/>
      <x:c r="E726" s="32"/>
      <x:c r="F726" s="32"/>
    </x:row>
    <x:row r="727">
      <x:c r="B727" s="33"/>
      <x:c r="E727" s="32"/>
      <x:c r="F727" s="32"/>
    </x:row>
    <x:row r="728">
      <x:c r="B728" s="33"/>
      <x:c r="E728" s="32"/>
      <x:c r="F728" s="32"/>
    </x:row>
    <x:row r="729">
      <x:c r="B729" s="33"/>
      <x:c r="E729" s="32"/>
      <x:c r="F729" s="32"/>
    </x:row>
    <x:row r="730">
      <x:c r="B730" s="33"/>
      <x:c r="E730" s="32"/>
      <x:c r="F730" s="32"/>
    </x:row>
    <x:row r="731">
      <x:c r="B731" s="33"/>
      <x:c r="E731" s="32"/>
      <x:c r="F731" s="32"/>
    </x:row>
    <x:row r="732">
      <x:c r="B732" s="33"/>
      <x:c r="E732" s="32"/>
      <x:c r="F732" s="32"/>
    </x:row>
    <x:row r="733">
      <x:c r="B733" s="33"/>
      <x:c r="E733" s="32"/>
      <x:c r="F733" s="32"/>
    </x:row>
    <x:row r="734">
      <x:c r="B734" s="33"/>
      <x:c r="E734" s="32"/>
      <x:c r="F734" s="32"/>
    </x:row>
    <x:row r="735">
      <x:c r="B735" s="33"/>
      <x:c r="E735" s="32"/>
      <x:c r="F735" s="32"/>
    </x:row>
    <x:row r="736">
      <x:c r="B736" s="33"/>
      <x:c r="E736" s="32"/>
      <x:c r="F736" s="32"/>
    </x:row>
    <x:row r="737">
      <x:c r="B737" s="33"/>
      <x:c r="E737" s="32"/>
      <x:c r="F737" s="32"/>
    </x:row>
    <x:row r="738">
      <x:c r="B738" s="33"/>
      <x:c r="E738" s="32"/>
      <x:c r="F738" s="32"/>
    </x:row>
    <x:row r="739">
      <x:c r="B739" s="33"/>
      <x:c r="E739" s="32"/>
      <x:c r="F739" s="32"/>
    </x:row>
    <x:row r="740">
      <x:c r="B740" s="33"/>
      <x:c r="E740" s="32"/>
      <x:c r="F740" s="32"/>
    </x:row>
    <x:row r="741">
      <x:c r="B741" s="33"/>
      <x:c r="E741" s="32"/>
      <x:c r="F741" s="32"/>
    </x:row>
    <x:row r="742">
      <x:c r="B742" s="33"/>
      <x:c r="E742" s="32"/>
      <x:c r="F742" s="32"/>
    </x:row>
    <x:row r="743">
      <x:c r="B743" s="33"/>
      <x:c r="E743" s="32"/>
      <x:c r="F743" s="32"/>
    </x:row>
    <x:row r="744">
      <x:c r="B744" s="33"/>
      <x:c r="E744" s="32"/>
      <x:c r="F744" s="32"/>
    </x:row>
    <x:row r="745">
      <x:c r="B745" s="33"/>
      <x:c r="E745" s="32"/>
      <x:c r="F745" s="32"/>
    </x:row>
    <x:row r="746">
      <x:c r="B746" s="33"/>
      <x:c r="E746" s="32"/>
      <x:c r="F746" s="32"/>
    </x:row>
    <x:row r="747">
      <x:c r="B747" s="33"/>
      <x:c r="E747" s="32"/>
      <x:c r="F747" s="32"/>
    </x:row>
    <x:row r="748">
      <x:c r="B748" s="33"/>
      <x:c r="E748" s="32"/>
      <x:c r="F748" s="32"/>
    </x:row>
    <x:row r="749">
      <x:c r="B749" s="33"/>
      <x:c r="E749" s="32"/>
      <x:c r="F749" s="32"/>
    </x:row>
    <x:row r="750">
      <x:c r="B750" s="33"/>
      <x:c r="E750" s="32"/>
      <x:c r="F750" s="32"/>
    </x:row>
    <x:row r="751">
      <x:c r="B751" s="33"/>
      <x:c r="E751" s="32"/>
      <x:c r="F751" s="32"/>
    </x:row>
    <x:row r="752">
      <x:c r="B752" s="33"/>
      <x:c r="E752" s="32"/>
      <x:c r="F752" s="32"/>
    </x:row>
    <x:row r="753">
      <x:c r="B753" s="33"/>
      <x:c r="E753" s="32"/>
      <x:c r="F753" s="32"/>
    </x:row>
    <x:row r="754">
      <x:c r="B754" s="33"/>
      <x:c r="E754" s="32"/>
      <x:c r="F754" s="32"/>
    </x:row>
    <x:row r="755">
      <x:c r="B755" s="33"/>
      <x:c r="E755" s="32"/>
      <x:c r="F755" s="32"/>
    </x:row>
    <x:row r="756">
      <x:c r="B756" s="33"/>
      <x:c r="E756" s="32"/>
      <x:c r="F756" s="32"/>
    </x:row>
    <x:row r="757">
      <x:c r="B757" s="33"/>
      <x:c r="E757" s="32"/>
      <x:c r="F757" s="32"/>
    </x:row>
    <x:row r="758">
      <x:c r="B758" s="33"/>
      <x:c r="E758" s="32"/>
      <x:c r="F758" s="32"/>
    </x:row>
    <x:row r="759">
      <x:c r="B759" s="33"/>
      <x:c r="E759" s="32"/>
      <x:c r="F759" s="32"/>
    </x:row>
    <x:row r="760">
      <x:c r="B760" s="33"/>
      <x:c r="E760" s="32"/>
      <x:c r="F760" s="32"/>
    </x:row>
    <x:row r="761">
      <x:c r="B761" s="33"/>
      <x:c r="E761" s="32"/>
      <x:c r="F761" s="32"/>
    </x:row>
    <x:row r="762">
      <x:c r="B762" s="33"/>
      <x:c r="E762" s="32"/>
      <x:c r="F762" s="32"/>
    </x:row>
    <x:row r="763">
      <x:c r="B763" s="33"/>
      <x:c r="E763" s="32"/>
      <x:c r="F763" s="32"/>
    </x:row>
    <x:row r="764">
      <x:c r="B764" s="33"/>
      <x:c r="E764" s="32"/>
      <x:c r="F764" s="32"/>
    </x:row>
    <x:row r="765">
      <x:c r="B765" s="33"/>
      <x:c r="E765" s="32"/>
      <x:c r="F765" s="32"/>
    </x:row>
    <x:row r="766">
      <x:c r="B766" s="33"/>
      <x:c r="E766" s="32"/>
      <x:c r="F766" s="32"/>
    </x:row>
    <x:row r="767">
      <x:c r="B767" s="33"/>
      <x:c r="E767" s="32"/>
      <x:c r="F767" s="32"/>
    </x:row>
    <x:row r="768">
      <x:c r="B768" s="33"/>
      <x:c r="E768" s="32"/>
      <x:c r="F768" s="32"/>
    </x:row>
    <x:row r="769">
      <x:c r="B769" s="33"/>
      <x:c r="E769" s="32"/>
      <x:c r="F769" s="32"/>
    </x:row>
    <x:row r="770">
      <x:c r="B770" s="33"/>
      <x:c r="E770" s="32"/>
      <x:c r="F770" s="32"/>
    </x:row>
    <x:row r="771">
      <x:c r="B771" s="33"/>
      <x:c r="E771" s="32"/>
      <x:c r="F771" s="32"/>
    </x:row>
    <x:row r="772">
      <x:c r="B772" s="33"/>
      <x:c r="E772" s="32"/>
      <x:c r="F772" s="32"/>
    </x:row>
    <x:row r="773">
      <x:c r="B773" s="33"/>
      <x:c r="E773" s="32"/>
      <x:c r="F773" s="32"/>
    </x:row>
    <x:row r="774">
      <x:c r="B774" s="33"/>
      <x:c r="E774" s="32"/>
      <x:c r="F774" s="32"/>
    </x:row>
    <x:row r="775">
      <x:c r="B775" s="33"/>
      <x:c r="E775" s="32"/>
      <x:c r="F775" s="32"/>
    </x:row>
    <x:row r="776">
      <x:c r="B776" s="33"/>
      <x:c r="E776" s="32"/>
      <x:c r="F776" s="32"/>
    </x:row>
    <x:row r="777">
      <x:c r="B777" s="33"/>
      <x:c r="E777" s="32"/>
      <x:c r="F777" s="32"/>
    </x:row>
    <x:row r="778">
      <x:c r="B778" s="33"/>
      <x:c r="E778" s="32"/>
      <x:c r="F778" s="32"/>
    </x:row>
    <x:row r="779">
      <x:c r="B779" s="33"/>
      <x:c r="E779" s="32"/>
      <x:c r="F779" s="32"/>
    </x:row>
    <x:row r="780">
      <x:c r="B780" s="33"/>
      <x:c r="E780" s="32"/>
      <x:c r="F780" s="32"/>
    </x:row>
    <x:row r="781">
      <x:c r="B781" s="33"/>
      <x:c r="E781" s="32"/>
      <x:c r="F781" s="32"/>
    </x:row>
    <x:row r="782">
      <x:c r="B782" s="33"/>
      <x:c r="E782" s="32"/>
      <x:c r="F782" s="32"/>
    </x:row>
    <x:row r="783">
      <x:c r="B783" s="33"/>
      <x:c r="E783" s="32"/>
      <x:c r="F783" s="32"/>
    </x:row>
    <x:row r="784">
      <x:c r="B784" s="33"/>
      <x:c r="E784" s="32"/>
      <x:c r="F784" s="32"/>
    </x:row>
    <x:row r="785">
      <x:c r="B785" s="33"/>
      <x:c r="E785" s="32"/>
      <x:c r="F785" s="32"/>
    </x:row>
    <x:row r="786">
      <x:c r="B786" s="33"/>
      <x:c r="E786" s="32"/>
      <x:c r="F786" s="32"/>
    </x:row>
    <x:row r="787">
      <x:c r="B787" s="33"/>
      <x:c r="E787" s="32"/>
      <x:c r="F787" s="32"/>
    </x:row>
    <x:row r="788">
      <x:c r="B788" s="33"/>
      <x:c r="E788" s="32"/>
      <x:c r="F788" s="32"/>
    </x:row>
    <x:row r="789">
      <x:c r="B789" s="33"/>
      <x:c r="E789" s="32"/>
      <x:c r="F789" s="32"/>
    </x:row>
    <x:row r="790">
      <x:c r="B790" s="33"/>
      <x:c r="E790" s="32"/>
      <x:c r="F790" s="32"/>
    </x:row>
    <x:row r="791">
      <x:c r="B791" s="33"/>
      <x:c r="E791" s="32"/>
      <x:c r="F791" s="32"/>
    </x:row>
    <x:row r="792">
      <x:c r="B792" s="33"/>
      <x:c r="E792" s="32"/>
      <x:c r="F792" s="32"/>
    </x:row>
    <x:row r="793">
      <x:c r="B793" s="33"/>
      <x:c r="E793" s="32"/>
      <x:c r="F793" s="32"/>
    </x:row>
    <x:row r="794">
      <x:c r="B794" s="33"/>
      <x:c r="E794" s="32"/>
      <x:c r="F794" s="32"/>
    </x:row>
    <x:row r="795">
      <x:c r="B795" s="33"/>
      <x:c r="E795" s="32"/>
      <x:c r="F795" s="32"/>
    </x:row>
    <x:row r="796">
      <x:c r="B796" s="33"/>
      <x:c r="E796" s="32"/>
      <x:c r="F796" s="32"/>
    </x:row>
    <x:row r="797">
      <x:c r="B797" s="33"/>
      <x:c r="E797" s="32"/>
      <x:c r="F797" s="32"/>
    </x:row>
    <x:row r="798">
      <x:c r="B798" s="33"/>
      <x:c r="E798" s="32"/>
      <x:c r="F798" s="32"/>
    </x:row>
    <x:row r="799">
      <x:c r="B799" s="33"/>
      <x:c r="E799" s="32"/>
      <x:c r="F799" s="32"/>
    </x:row>
    <x:row r="800">
      <x:c r="B800" s="33"/>
      <x:c r="E800" s="32"/>
      <x:c r="F800" s="32"/>
    </x:row>
    <x:row r="801">
      <x:c r="B801" s="33"/>
      <x:c r="E801" s="32"/>
      <x:c r="F801" s="32"/>
    </x:row>
    <x:row r="802">
      <x:c r="B802" s="33"/>
      <x:c r="E802" s="32"/>
      <x:c r="F802" s="32"/>
    </x:row>
    <x:row r="803">
      <x:c r="B803" s="33"/>
      <x:c r="E803" s="32"/>
      <x:c r="F803" s="32"/>
    </x:row>
    <x:row r="804">
      <x:c r="B804" s="33"/>
      <x:c r="E804" s="32"/>
      <x:c r="F804" s="32"/>
    </x:row>
    <x:row r="805">
      <x:c r="B805" s="33"/>
      <x:c r="E805" s="32"/>
      <x:c r="F805" s="32"/>
    </x:row>
    <x:row r="806">
      <x:c r="B806" s="33"/>
      <x:c r="E806" s="32"/>
      <x:c r="F806" s="32"/>
    </x:row>
    <x:row r="807">
      <x:c r="B807" s="33"/>
      <x:c r="E807" s="32"/>
      <x:c r="F807" s="32"/>
    </x:row>
    <x:row r="808">
      <x:c r="B808" s="33"/>
      <x:c r="E808" s="32"/>
      <x:c r="F808" s="32"/>
    </x:row>
    <x:row r="809">
      <x:c r="B809" s="33"/>
      <x:c r="E809" s="32"/>
      <x:c r="F809" s="32"/>
    </x:row>
    <x:row r="810">
      <x:c r="B810" s="33"/>
      <x:c r="E810" s="32"/>
      <x:c r="F810" s="32"/>
    </x:row>
    <x:row r="811">
      <x:c r="B811" s="33"/>
      <x:c r="E811" s="32"/>
      <x:c r="F811" s="32"/>
    </x:row>
    <x:row r="812">
      <x:c r="B812" s="33"/>
      <x:c r="E812" s="32"/>
      <x:c r="F812" s="32"/>
    </x:row>
    <x:row r="813">
      <x:c r="B813" s="33"/>
      <x:c r="E813" s="32"/>
      <x:c r="F813" s="32"/>
    </x:row>
    <x:row r="814">
      <x:c r="B814" s="33"/>
      <x:c r="E814" s="32"/>
      <x:c r="F814" s="32"/>
    </x:row>
    <x:row r="815">
      <x:c r="B815" s="33"/>
      <x:c r="E815" s="32"/>
      <x:c r="F815" s="32"/>
    </x:row>
    <x:row r="816">
      <x:c r="B816" s="33"/>
      <x:c r="E816" s="32"/>
      <x:c r="F816" s="32"/>
    </x:row>
    <x:row r="817">
      <x:c r="B817" s="33"/>
      <x:c r="E817" s="32"/>
      <x:c r="F817" s="32"/>
    </x:row>
    <x:row r="818">
      <x:c r="B818" s="33"/>
      <x:c r="E818" s="32"/>
      <x:c r="F818" s="32"/>
    </x:row>
    <x:row r="819">
      <x:c r="B819" s="33"/>
      <x:c r="E819" s="32"/>
      <x:c r="F819" s="32"/>
    </x:row>
    <x:row r="820">
      <x:c r="B820" s="33"/>
      <x:c r="E820" s="32"/>
      <x:c r="F820" s="32"/>
    </x:row>
    <x:row r="821">
      <x:c r="B821" s="33"/>
      <x:c r="E821" s="32"/>
      <x:c r="F821" s="32"/>
    </x:row>
    <x:row r="822">
      <x:c r="B822" s="33"/>
      <x:c r="E822" s="32"/>
      <x:c r="F822" s="32"/>
    </x:row>
    <x:row r="823">
      <x:c r="B823" s="33"/>
      <x:c r="E823" s="32"/>
      <x:c r="F823" s="32"/>
    </x:row>
    <x:row r="824">
      <x:c r="B824" s="33"/>
      <x:c r="E824" s="32"/>
      <x:c r="F824" s="32"/>
    </x:row>
    <x:row r="825">
      <x:c r="B825" s="33"/>
      <x:c r="E825" s="32"/>
      <x:c r="F825" s="32"/>
    </x:row>
    <x:row r="826">
      <x:c r="B826" s="33"/>
      <x:c r="E826" s="32"/>
      <x:c r="F826" s="32"/>
    </x:row>
    <x:row r="827">
      <x:c r="B827" s="33"/>
      <x:c r="E827" s="32"/>
      <x:c r="F827" s="32"/>
    </x:row>
    <x:row r="828">
      <x:c r="B828" s="33"/>
      <x:c r="E828" s="32"/>
      <x:c r="F828" s="32"/>
    </x:row>
    <x:row r="829">
      <x:c r="B829" s="33"/>
      <x:c r="E829" s="32"/>
      <x:c r="F829" s="32"/>
    </x:row>
    <x:row r="830">
      <x:c r="B830" s="33"/>
      <x:c r="E830" s="32"/>
      <x:c r="F830" s="32"/>
    </x:row>
    <x:row r="831">
      <x:c r="B831" s="33"/>
      <x:c r="E831" s="32"/>
      <x:c r="F831" s="32"/>
    </x:row>
    <x:row r="832">
      <x:c r="B832" s="33"/>
      <x:c r="E832" s="32"/>
      <x:c r="F832" s="32"/>
    </x:row>
    <x:row r="833">
      <x:c r="B833" s="33"/>
      <x:c r="E833" s="32"/>
      <x:c r="F833" s="32"/>
    </x:row>
    <x:row r="834">
      <x:c r="B834" s="33"/>
      <x:c r="E834" s="32"/>
      <x:c r="F834" s="32"/>
    </x:row>
    <x:row r="835">
      <x:c r="B835" s="33"/>
      <x:c r="E835" s="32"/>
      <x:c r="F835" s="32"/>
    </x:row>
    <x:row r="836">
      <x:c r="B836" s="33"/>
      <x:c r="E836" s="32"/>
      <x:c r="F836" s="32"/>
    </x:row>
    <x:row r="837">
      <x:c r="B837" s="33"/>
      <x:c r="E837" s="32"/>
      <x:c r="F837" s="32"/>
    </x:row>
    <x:row r="838">
      <x:c r="B838" s="33"/>
      <x:c r="E838" s="32"/>
      <x:c r="F838" s="32"/>
    </x:row>
    <x:row r="839">
      <x:c r="B839" s="33"/>
      <x:c r="E839" s="32"/>
      <x:c r="F839" s="32"/>
    </x:row>
    <x:row r="840">
      <x:c r="B840" s="33"/>
      <x:c r="E840" s="32"/>
      <x:c r="F840" s="32"/>
    </x:row>
    <x:row r="841">
      <x:c r="B841" s="33"/>
      <x:c r="E841" s="32"/>
      <x:c r="F841" s="32"/>
    </x:row>
    <x:row r="842">
      <x:c r="B842" s="33"/>
      <x:c r="E842" s="32"/>
      <x:c r="F842" s="32"/>
    </x:row>
    <x:row r="843">
      <x:c r="B843" s="33"/>
      <x:c r="E843" s="32"/>
      <x:c r="F843" s="32"/>
    </x:row>
    <x:row r="844">
      <x:c r="B844" s="33"/>
      <x:c r="E844" s="32"/>
      <x:c r="F844" s="32"/>
    </x:row>
    <x:row r="845">
      <x:c r="B845" s="33"/>
      <x:c r="E845" s="32"/>
      <x:c r="F845" s="32"/>
    </x:row>
    <x:row r="846">
      <x:c r="B846" s="33"/>
      <x:c r="E846" s="32"/>
      <x:c r="F846" s="32"/>
    </x:row>
    <x:row r="847">
      <x:c r="B847" s="33"/>
      <x:c r="E847" s="32"/>
      <x:c r="F847" s="32"/>
    </x:row>
    <x:row r="848">
      <x:c r="B848" s="33"/>
      <x:c r="E848" s="32"/>
      <x:c r="F848" s="32"/>
    </x:row>
    <x:row r="849">
      <x:c r="B849" s="33"/>
      <x:c r="E849" s="32"/>
      <x:c r="F849" s="32"/>
    </x:row>
    <x:row r="850">
      <x:c r="B850" s="33"/>
      <x:c r="E850" s="32"/>
      <x:c r="F850" s="32"/>
    </x:row>
    <x:row r="851">
      <x:c r="B851" s="33"/>
      <x:c r="E851" s="32"/>
      <x:c r="F851" s="32"/>
    </x:row>
    <x:row r="852">
      <x:c r="B852" s="33"/>
      <x:c r="E852" s="32"/>
      <x:c r="F852" s="32"/>
    </x:row>
    <x:row r="853">
      <x:c r="B853" s="33"/>
      <x:c r="E853" s="32"/>
      <x:c r="F853" s="32"/>
    </x:row>
    <x:row r="854">
      <x:c r="B854" s="33"/>
      <x:c r="E854" s="32"/>
      <x:c r="F854" s="32"/>
    </x:row>
    <x:row r="855">
      <x:c r="B855" s="33"/>
      <x:c r="E855" s="32"/>
      <x:c r="F855" s="32"/>
    </x:row>
    <x:row r="856">
      <x:c r="B856" s="33"/>
      <x:c r="E856" s="32"/>
      <x:c r="F856" s="32"/>
    </x:row>
    <x:row r="857">
      <x:c r="B857" s="33"/>
      <x:c r="E857" s="32"/>
      <x:c r="F857" s="32"/>
    </x:row>
    <x:row r="858">
      <x:c r="B858" s="33"/>
      <x:c r="E858" s="32"/>
      <x:c r="F858" s="32"/>
    </x:row>
    <x:row r="859">
      <x:c r="B859" s="33"/>
      <x:c r="E859" s="32"/>
      <x:c r="F859" s="32"/>
    </x:row>
    <x:row r="860">
      <x:c r="B860" s="33"/>
      <x:c r="E860" s="32"/>
      <x:c r="F860" s="32"/>
    </x:row>
    <x:row r="861">
      <x:c r="B861" s="33"/>
      <x:c r="E861" s="32"/>
      <x:c r="F861" s="32"/>
    </x:row>
    <x:row r="862">
      <x:c r="B862" s="33"/>
      <x:c r="E862" s="32"/>
      <x:c r="F862" s="32"/>
    </x:row>
    <x:row r="863">
      <x:c r="B863" s="33"/>
      <x:c r="E863" s="32"/>
      <x:c r="F863" s="32"/>
    </x:row>
    <x:row r="864">
      <x:c r="B864" s="33"/>
      <x:c r="E864" s="32"/>
      <x:c r="F864" s="32"/>
    </x:row>
    <x:row r="865">
      <x:c r="B865" s="33"/>
      <x:c r="E865" s="32"/>
      <x:c r="F865" s="32"/>
    </x:row>
    <x:row r="866">
      <x:c r="B866" s="33"/>
      <x:c r="E866" s="32"/>
      <x:c r="F866" s="32"/>
    </x:row>
    <x:row r="867">
      <x:c r="B867" s="33"/>
      <x:c r="E867" s="32"/>
      <x:c r="F867" s="32"/>
    </x:row>
    <x:row r="868">
      <x:c r="B868" s="33"/>
      <x:c r="E868" s="32"/>
      <x:c r="F868" s="32"/>
    </x:row>
    <x:row r="869">
      <x:c r="B869" s="33"/>
      <x:c r="E869" s="32"/>
      <x:c r="F869" s="32"/>
    </x:row>
    <x:row r="870">
      <x:c r="B870" s="33"/>
      <x:c r="E870" s="32"/>
      <x:c r="F870" s="32"/>
    </x:row>
    <x:row r="871">
      <x:c r="B871" s="33"/>
      <x:c r="E871" s="32"/>
      <x:c r="F871" s="32"/>
    </x:row>
    <x:row r="872">
      <x:c r="B872" s="33"/>
      <x:c r="E872" s="32"/>
      <x:c r="F872" s="32"/>
    </x:row>
    <x:row r="873">
      <x:c r="B873" s="33"/>
      <x:c r="E873" s="32"/>
      <x:c r="F873" s="32"/>
    </x:row>
    <x:row r="874">
      <x:c r="B874" s="33"/>
      <x:c r="E874" s="32"/>
      <x:c r="F874" s="32"/>
    </x:row>
    <x:row r="875">
      <x:c r="B875" s="33"/>
      <x:c r="E875" s="32"/>
      <x:c r="F875" s="32"/>
    </x:row>
    <x:row r="876">
      <x:c r="B876" s="33"/>
      <x:c r="E876" s="32"/>
      <x:c r="F876" s="32"/>
    </x:row>
    <x:row r="877">
      <x:c r="B877" s="33"/>
      <x:c r="E877" s="32"/>
      <x:c r="F877" s="32"/>
    </x:row>
    <x:row r="878">
      <x:c r="B878" s="33"/>
      <x:c r="E878" s="32"/>
      <x:c r="F878" s="32"/>
    </x:row>
    <x:row r="879">
      <x:c r="B879" s="33"/>
      <x:c r="E879" s="32"/>
      <x:c r="F879" s="32"/>
    </x:row>
    <x:row r="880">
      <x:c r="B880" s="33"/>
      <x:c r="E880" s="32"/>
      <x:c r="F880" s="32"/>
    </x:row>
    <x:row r="881">
      <x:c r="B881" s="33"/>
      <x:c r="E881" s="32"/>
      <x:c r="F881" s="32"/>
    </x:row>
    <x:row r="882">
      <x:c r="B882" s="33"/>
      <x:c r="E882" s="32"/>
      <x:c r="F882" s="32"/>
    </x:row>
    <x:row r="883">
      <x:c r="B883" s="33"/>
      <x:c r="E883" s="32"/>
      <x:c r="F883" s="32"/>
    </x:row>
    <x:row r="884">
      <x:c r="B884" s="33"/>
      <x:c r="E884" s="32"/>
      <x:c r="F884" s="32"/>
    </x:row>
    <x:row r="885">
      <x:c r="B885" s="33"/>
      <x:c r="E885" s="32"/>
      <x:c r="F885" s="32"/>
    </x:row>
    <x:row r="886">
      <x:c r="B886" s="33"/>
      <x:c r="E886" s="32"/>
      <x:c r="F886" s="32"/>
    </x:row>
    <x:row r="887">
      <x:c r="B887" s="33"/>
      <x:c r="E887" s="32"/>
      <x:c r="F887" s="32"/>
    </x:row>
    <x:row r="888">
      <x:c r="B888" s="33"/>
      <x:c r="E888" s="32"/>
      <x:c r="F888" s="32"/>
    </x:row>
    <x:row r="889">
      <x:c r="B889" s="33"/>
      <x:c r="E889" s="32"/>
      <x:c r="F889" s="32"/>
    </x:row>
    <x:row r="890">
      <x:c r="B890" s="33"/>
      <x:c r="E890" s="32"/>
      <x:c r="F890" s="32"/>
    </x:row>
    <x:row r="891">
      <x:c r="B891" s="33"/>
      <x:c r="E891" s="32"/>
      <x:c r="F891" s="32"/>
    </x:row>
    <x:row r="892">
      <x:c r="B892" s="33"/>
      <x:c r="E892" s="32"/>
      <x:c r="F892" s="32"/>
    </x:row>
    <x:row r="893">
      <x:c r="B893" s="33"/>
      <x:c r="E893" s="32"/>
      <x:c r="F893" s="32"/>
    </x:row>
    <x:row r="894">
      <x:c r="B894" s="33"/>
      <x:c r="E894" s="32"/>
      <x:c r="F894" s="32"/>
    </x:row>
    <x:row r="895">
      <x:c r="B895" s="33"/>
      <x:c r="E895" s="32"/>
      <x:c r="F895" s="32"/>
    </x:row>
    <x:row r="896">
      <x:c r="B896" s="33"/>
      <x:c r="E896" s="32"/>
      <x:c r="F896" s="32"/>
    </x:row>
    <x:row r="897">
      <x:c r="B897" s="33"/>
      <x:c r="E897" s="32"/>
      <x:c r="F897" s="32"/>
    </x:row>
    <x:row r="898">
      <x:c r="B898" s="33"/>
      <x:c r="E898" s="32"/>
      <x:c r="F898" s="32"/>
    </x:row>
    <x:row r="899">
      <x:c r="B899" s="33"/>
      <x:c r="E899" s="32"/>
      <x:c r="F899" s="32"/>
    </x:row>
    <x:row r="900">
      <x:c r="B900" s="33"/>
      <x:c r="E900" s="32"/>
      <x:c r="F900" s="32"/>
    </x:row>
    <x:row r="901">
      <x:c r="B901" s="33"/>
      <x:c r="E901" s="32"/>
      <x:c r="F901" s="32"/>
    </x:row>
    <x:row r="902">
      <x:c r="B902" s="33"/>
      <x:c r="E902" s="32"/>
      <x:c r="F902" s="32"/>
    </x:row>
    <x:row r="903">
      <x:c r="B903" s="33"/>
      <x:c r="E903" s="32"/>
      <x:c r="F903" s="32"/>
    </x:row>
    <x:row r="904">
      <x:c r="B904" s="33"/>
      <x:c r="E904" s="32"/>
      <x:c r="F904" s="32"/>
    </x:row>
    <x:row r="905">
      <x:c r="B905" s="33"/>
      <x:c r="E905" s="32"/>
      <x:c r="F905" s="32"/>
    </x:row>
    <x:row r="906">
      <x:c r="B906" s="33"/>
      <x:c r="E906" s="32"/>
      <x:c r="F906" s="32"/>
    </x:row>
    <x:row r="907">
      <x:c r="B907" s="33"/>
      <x:c r="E907" s="32"/>
      <x:c r="F907" s="32"/>
    </x:row>
    <x:row r="908">
      <x:c r="B908" s="33"/>
      <x:c r="E908" s="32"/>
      <x:c r="F908" s="32"/>
    </x:row>
    <x:row r="909">
      <x:c r="B909" s="33"/>
      <x:c r="E909" s="32"/>
      <x:c r="F909" s="32"/>
    </x:row>
    <x:row r="910">
      <x:c r="B910" s="33"/>
      <x:c r="E910" s="32"/>
      <x:c r="F910" s="32"/>
    </x:row>
    <x:row r="911">
      <x:c r="B911" s="33"/>
      <x:c r="E911" s="32"/>
      <x:c r="F911" s="32"/>
    </x:row>
    <x:row r="912">
      <x:c r="B912" s="33"/>
      <x:c r="E912" s="32"/>
      <x:c r="F912" s="32"/>
    </x:row>
    <x:row r="913">
      <x:c r="B913" s="33"/>
      <x:c r="E913" s="32"/>
      <x:c r="F913" s="32"/>
    </x:row>
    <x:row r="914">
      <x:c r="B914" s="33"/>
      <x:c r="E914" s="32"/>
      <x:c r="F914" s="32"/>
    </x:row>
    <x:row r="915">
      <x:c r="B915" s="33"/>
      <x:c r="E915" s="32"/>
      <x:c r="F915" s="32"/>
    </x:row>
    <x:row r="916">
      <x:c r="B916" s="33"/>
      <x:c r="E916" s="32"/>
      <x:c r="F916" s="32"/>
    </x:row>
    <x:row r="917">
      <x:c r="B917" s="33"/>
      <x:c r="E917" s="32"/>
      <x:c r="F917" s="32"/>
    </x:row>
    <x:row r="918">
      <x:c r="B918" s="33"/>
      <x:c r="E918" s="32"/>
      <x:c r="F918" s="32"/>
    </x:row>
    <x:row r="919">
      <x:c r="B919" s="33"/>
      <x:c r="E919" s="32"/>
      <x:c r="F919" s="32"/>
    </x:row>
    <x:row r="920">
      <x:c r="B920" s="33"/>
      <x:c r="E920" s="32"/>
      <x:c r="F920" s="32"/>
    </x:row>
    <x:row r="921">
      <x:c r="B921" s="33"/>
      <x:c r="E921" s="32"/>
      <x:c r="F921" s="32"/>
    </x:row>
    <x:row r="922">
      <x:c r="B922" s="33"/>
      <x:c r="E922" s="32"/>
      <x:c r="F922" s="32"/>
    </x:row>
    <x:row r="923">
      <x:c r="B923" s="33"/>
      <x:c r="E923" s="32"/>
      <x:c r="F923" s="32"/>
    </x:row>
    <x:row r="924">
      <x:c r="B924" s="33"/>
      <x:c r="E924" s="32"/>
      <x:c r="F924" s="32"/>
    </x:row>
    <x:row r="925">
      <x:c r="B925" s="33"/>
      <x:c r="E925" s="32"/>
      <x:c r="F925" s="32"/>
    </x:row>
    <x:row r="926">
      <x:c r="B926" s="33"/>
      <x:c r="E926" s="32"/>
      <x:c r="F926" s="32"/>
    </x:row>
    <x:row r="927">
      <x:c r="B927" s="33"/>
      <x:c r="E927" s="32"/>
      <x:c r="F927" s="32"/>
    </x:row>
    <x:row r="928">
      <x:c r="B928" s="33"/>
      <x:c r="E928" s="32"/>
      <x:c r="F928" s="32"/>
    </x:row>
    <x:row r="929">
      <x:c r="B929" s="33"/>
      <x:c r="E929" s="32"/>
      <x:c r="F929" s="32"/>
    </x:row>
    <x:row r="930">
      <x:c r="B930" s="33"/>
      <x:c r="E930" s="32"/>
      <x:c r="F930" s="32"/>
    </x:row>
    <x:row r="931">
      <x:c r="B931" s="33"/>
      <x:c r="E931" s="32"/>
      <x:c r="F931" s="32"/>
    </x:row>
    <x:row r="932">
      <x:c r="B932" s="33"/>
      <x:c r="E932" s="32"/>
      <x:c r="F932" s="32"/>
    </x:row>
    <x:row r="933">
      <x:c r="B933" s="33"/>
      <x:c r="E933" s="32"/>
      <x:c r="F933" s="32"/>
    </x:row>
    <x:row r="934">
      <x:c r="B934" s="33"/>
      <x:c r="E934" s="32"/>
      <x:c r="F934" s="32"/>
    </x:row>
    <x:row r="935">
      <x:c r="B935" s="33"/>
      <x:c r="E935" s="32"/>
      <x:c r="F935" s="32"/>
    </x:row>
    <x:row r="936">
      <x:c r="B936" s="33"/>
      <x:c r="E936" s="32"/>
      <x:c r="F936" s="32"/>
    </x:row>
    <x:row r="937">
      <x:c r="B937" s="33"/>
      <x:c r="E937" s="32"/>
      <x:c r="F937" s="32"/>
    </x:row>
    <x:row r="938">
      <x:c r="B938" s="33"/>
      <x:c r="E938" s="32"/>
      <x:c r="F938" s="32"/>
    </x:row>
    <x:row r="939">
      <x:c r="B939" s="33"/>
      <x:c r="E939" s="32"/>
      <x:c r="F939" s="32"/>
    </x:row>
    <x:row r="940">
      <x:c r="B940" s="33"/>
      <x:c r="E940" s="32"/>
      <x:c r="F940" s="32"/>
    </x:row>
    <x:row r="941">
      <x:c r="B941" s="33"/>
      <x:c r="E941" s="32"/>
      <x:c r="F941" s="32"/>
    </x:row>
    <x:row r="942">
      <x:c r="B942" s="33"/>
      <x:c r="E942" s="32"/>
      <x:c r="F942" s="32"/>
    </x:row>
    <x:row r="943">
      <x:c r="B943" s="33"/>
      <x:c r="E943" s="32"/>
      <x:c r="F943" s="32"/>
    </x:row>
    <x:row r="944">
      <x:c r="B944" s="33"/>
      <x:c r="E944" s="32"/>
      <x:c r="F944" s="32"/>
    </x:row>
    <x:row r="945">
      <x:c r="B945" s="33"/>
      <x:c r="E945" s="32"/>
      <x:c r="F945" s="32"/>
    </x:row>
    <x:row r="946">
      <x:c r="B946" s="33"/>
      <x:c r="E946" s="32"/>
      <x:c r="F946" s="32"/>
    </x:row>
    <x:row r="947">
      <x:c r="B947" s="33"/>
      <x:c r="E947" s="32"/>
      <x:c r="F947" s="32"/>
    </x:row>
    <x:row r="948">
      <x:c r="B948" s="33"/>
      <x:c r="E948" s="32"/>
      <x:c r="F948" s="32"/>
    </x:row>
    <x:row r="949">
      <x:c r="B949" s="33"/>
      <x:c r="E949" s="32"/>
      <x:c r="F949" s="32"/>
    </x:row>
    <x:row r="950">
      <x:c r="B950" s="33"/>
      <x:c r="E950" s="32"/>
      <x:c r="F950" s="32"/>
    </x:row>
    <x:row r="951">
      <x:c r="B951" s="33"/>
      <x:c r="E951" s="32"/>
      <x:c r="F951" s="32"/>
    </x:row>
    <x:row r="952">
      <x:c r="B952" s="33"/>
      <x:c r="E952" s="32"/>
      <x:c r="F952" s="32"/>
    </x:row>
    <x:row r="953">
      <x:c r="B953" s="33"/>
      <x:c r="E953" s="32"/>
      <x:c r="F953" s="32"/>
    </x:row>
    <x:row r="954">
      <x:c r="B954" s="33"/>
      <x:c r="E954" s="32"/>
      <x:c r="F954" s="32"/>
    </x:row>
    <x:row r="955">
      <x:c r="B955" s="33"/>
      <x:c r="E955" s="32"/>
      <x:c r="F955" s="32"/>
    </x:row>
    <x:row r="956">
      <x:c r="B956" s="33"/>
      <x:c r="E956" s="32"/>
      <x:c r="F956" s="32"/>
    </x:row>
    <x:row r="957">
      <x:c r="B957" s="33"/>
      <x:c r="E957" s="32"/>
      <x:c r="F957" s="32"/>
    </x:row>
    <x:row r="958">
      <x:c r="B958" s="33"/>
      <x:c r="E958" s="32"/>
      <x:c r="F958" s="32"/>
    </x:row>
    <x:row r="959">
      <x:c r="B959" s="33"/>
      <x:c r="E959" s="32"/>
      <x:c r="F959" s="32"/>
    </x:row>
    <x:row r="960">
      <x:c r="B960" s="33"/>
      <x:c r="E960" s="32"/>
      <x:c r="F960" s="32"/>
    </x:row>
    <x:row r="961">
      <x:c r="B961" s="33"/>
      <x:c r="E961" s="32"/>
      <x:c r="F961" s="32"/>
    </x:row>
    <x:row r="962">
      <x:c r="B962" s="33"/>
      <x:c r="E962" s="32"/>
      <x:c r="F962" s="32"/>
    </x:row>
    <x:row r="963">
      <x:c r="B963" s="33"/>
      <x:c r="E963" s="32"/>
      <x:c r="F963" s="32"/>
    </x:row>
    <x:row r="964">
      <x:c r="B964" s="33"/>
      <x:c r="E964" s="32"/>
      <x:c r="F964" s="32"/>
    </x:row>
    <x:row r="965">
      <x:c r="B965" s="33"/>
      <x:c r="E965" s="32"/>
      <x:c r="F965" s="32"/>
    </x:row>
    <x:row r="966">
      <x:c r="B966" s="33"/>
      <x:c r="E966" s="32"/>
      <x:c r="F966" s="32"/>
    </x:row>
    <x:row r="967">
      <x:c r="B967" s="33"/>
      <x:c r="E967" s="32"/>
      <x:c r="F967" s="32"/>
    </x:row>
    <x:row r="968">
      <x:c r="B968" s="33"/>
      <x:c r="E968" s="32"/>
      <x:c r="F968" s="32"/>
    </x:row>
    <x:row r="969">
      <x:c r="B969" s="33"/>
      <x:c r="E969" s="32"/>
      <x:c r="F969" s="32"/>
    </x:row>
    <x:row r="970">
      <x:c r="B970" s="33"/>
      <x:c r="E970" s="32"/>
      <x:c r="F970" s="32"/>
    </x:row>
    <x:row r="971">
      <x:c r="B971" s="33"/>
      <x:c r="E971" s="32"/>
      <x:c r="F971" s="32"/>
    </x:row>
    <x:row r="972">
      <x:c r="B972" s="33"/>
      <x:c r="E972" s="32"/>
      <x:c r="F972" s="32"/>
    </x:row>
    <x:row r="973">
      <x:c r="B973" s="33"/>
      <x:c r="E973" s="32"/>
      <x:c r="F973" s="32"/>
    </x:row>
    <x:row r="974">
      <x:c r="B974" s="33"/>
      <x:c r="E974" s="32"/>
      <x:c r="F974" s="32"/>
    </x:row>
    <x:row r="975">
      <x:c r="B975" s="33"/>
      <x:c r="E975" s="32"/>
      <x:c r="F975" s="32"/>
    </x:row>
    <x:row r="976">
      <x:c r="B976" s="33"/>
      <x:c r="E976" s="32"/>
      <x:c r="F976" s="32"/>
    </x:row>
    <x:row r="977">
      <x:c r="B977" s="33"/>
      <x:c r="E977" s="32"/>
      <x:c r="F977" s="32"/>
    </x:row>
    <x:row r="978">
      <x:c r="B978" s="33"/>
      <x:c r="E978" s="32"/>
      <x:c r="F978" s="32"/>
    </x:row>
    <x:row r="979">
      <x:c r="B979" s="33"/>
      <x:c r="E979" s="32"/>
      <x:c r="F979" s="32"/>
    </x:row>
    <x:row r="980">
      <x:c r="B980" s="33"/>
      <x:c r="E980" s="32"/>
      <x:c r="F980" s="32"/>
    </x:row>
    <x:row r="981">
      <x:c r="B981" s="33"/>
      <x:c r="E981" s="32"/>
      <x:c r="F981" s="32"/>
    </x:row>
    <x:row r="982">
      <x:c r="B982" s="33"/>
      <x:c r="E982" s="32"/>
      <x:c r="F982" s="32"/>
    </x:row>
    <x:row r="983">
      <x:c r="B983" s="33"/>
      <x:c r="E983" s="32"/>
      <x:c r="F983" s="32"/>
    </x:row>
    <x:row r="984">
      <x:c r="B984" s="33"/>
      <x:c r="E984" s="32"/>
      <x:c r="F984" s="32"/>
    </x:row>
    <x:row r="985">
      <x:c r="B985" s="33"/>
      <x:c r="E985" s="32"/>
      <x:c r="F985" s="32"/>
    </x:row>
    <x:row r="986">
      <x:c r="B986" s="33"/>
      <x:c r="E986" s="32"/>
      <x:c r="F986" s="32"/>
    </x:row>
    <x:row r="987">
      <x:c r="B987" s="33"/>
      <x:c r="E987" s="32"/>
      <x:c r="F987" s="32"/>
    </x:row>
    <x:row r="988">
      <x:c r="B988" s="33"/>
      <x:c r="E988" s="32"/>
      <x:c r="F988" s="32"/>
    </x:row>
    <x:row r="989">
      <x:c r="B989" s="33"/>
      <x:c r="E989" s="32"/>
      <x:c r="F989" s="32"/>
    </x:row>
    <x:row r="990">
      <x:c r="B990" s="33"/>
      <x:c r="E990" s="32"/>
      <x:c r="F990" s="32"/>
    </x:row>
    <x:row r="991">
      <x:c r="B991" s="33"/>
      <x:c r="E991" s="32"/>
      <x:c r="F991" s="32"/>
    </x:row>
    <x:row r="992">
      <x:c r="B992" s="33"/>
      <x:c r="E992" s="32"/>
      <x:c r="F992" s="32"/>
    </x:row>
    <x:row r="993">
      <x:c r="B993" s="33"/>
      <x:c r="E993" s="32"/>
      <x:c r="F993" s="32"/>
    </x:row>
    <x:row r="994">
      <x:c r="B994" s="33"/>
      <x:c r="E994" s="32"/>
      <x:c r="F994" s="32"/>
    </x:row>
    <x:row r="995">
      <x:c r="B995" s="33"/>
      <x:c r="E995" s="32"/>
      <x:c r="F995" s="32"/>
    </x:row>
    <x:row r="996">
      <x:c r="B996" s="33"/>
      <x:c r="E996" s="32"/>
      <x:c r="F996" s="32"/>
    </x:row>
    <x:row r="997">
      <x:c r="B997" s="33"/>
      <x:c r="E997" s="32"/>
      <x:c r="F997" s="32"/>
    </x:row>
    <x:row r="998">
      <x:c r="B998" s="33"/>
      <x:c r="E998" s="32"/>
      <x:c r="F998" s="32"/>
    </x:row>
    <x:row r="999">
      <x:c r="B999" s="33"/>
      <x:c r="E999" s="32"/>
      <x:c r="F999" s="32"/>
    </x:row>
  </x:sheetData>
  <x:mergeCells>
    <x:mergeCell ref="A1:U1"/>
  </x:mergeCells>
  <x:dataValidations count="4">
    <x:dataValidation allowBlank="1" sqref="C2:D1048576 O2:U1048576 G2:G1048576 A2:B2 H2 V1:XFD1048576 I2:J1048576"/>
    <x:dataValidation allowBlank="1" prompt="Select an OCI Region." sqref="A1:J1 O1:U1 E2:F2"/>
    <x:dataValidation showInputMessage="1" showErrorMessage="1" prompt="Select an OCI Region." sqref="M1:N1048576 K1:L1 K3:L1048576"/>
    <x:dataValidation prompt="Select an OCI Region." sqref="K2:L2"/>
  </x:dataValidations>
  <x:pageMargins left="0.7" right="0.7" top="0.75" bottom="0.75" header="0.3" footer="0.3"/>
  <x:legacyDrawing xmlns:r="http://schemas.openxmlformats.org/officeDocument/2006/relationships" r:id="Rb71bc36e286a4c98"/>
</x:worksheet>
</file>

<file path=xl/worksheets/sheet38.xml><?xml version="1.0" encoding="utf-8"?>
<x:worksheet xmlns:x="http://schemas.openxmlformats.org/spreadsheetml/2006/main">
  <x:sheetPr>
    <x:tabColor theme="8" tint="0.59999"/>
  </x:sheetPr>
  <x:sheetFormatPr baseColWidth="10" defaultColWidth="126.5" defaultRowHeight="15"/>
  <x:cols>
    <x:col min="1" max="1" width="12.5" customWidth="1"/>
    <x:col min="2" max="2" width="17" customWidth="1"/>
    <x:col min="3" max="3" width="26" style="1" customWidth="1"/>
    <x:col min="4" max="4" width="24.1640625" customWidth="1"/>
    <x:col min="5" max="5" width="20.6640625" style="1" customWidth="1"/>
    <x:col min="6" max="6" width="12.6640625" customWidth="1"/>
    <x:col min="7" max="7" width="22.5" customWidth="1"/>
  </x:cols>
  <x:sheetData>
    <x:row r="1" s="1" customFormat="1" ht="176" customHeight="1">
      <x:c r="A1" s="160" t="s">
        <x:v>351</x:v>
      </x:c>
      <x:c r="B1" s="168"/>
      <x:c r="C1" s="168"/>
      <x:c r="D1" s="168"/>
      <x:c r="E1" s="168"/>
      <x:c r="F1" s="168"/>
      <x:c r="G1" s="168"/>
      <x:c r="H1" s="71"/>
      <x:c r="I1" s="71"/>
      <x:c r="J1" s="71"/>
    </x:row>
    <x:row r="2" s="70" customFormat="1" ht="16" customHeight="1">
      <x:c r="A2" s="136" t="s">
        <x:v>2</x:v>
      </x:c>
      <x:c r="B2" s="136" t="s">
        <x:v>20</x:v>
      </x:c>
      <x:c r="C2" s="137" t="s">
        <x:v>334</x:v>
      </x:c>
      <x:c r="D2" s="137" t="s">
        <x:v>340</x:v>
      </x:c>
      <x:c r="E2" s="136" t="s">
        <x:v>352</x:v>
      </x:c>
      <x:c r="F2" s="136" t="s">
        <x:v>315</x:v>
      </x:c>
      <x:c r="G2" s="27" t="s">
        <x:v>6</x:v>
      </x:c>
    </x:row>
    <x:row r="3" ht="18" customHeight="1">
      <x:c r="A3" s="32" t="str">
        <x:v>&lt;END&gt;</x:v>
      </x:c>
      <x:c r="B3" s="32"/>
      <x:c r="C3" s="32"/>
      <x:c r="D3" s="32"/>
      <x:c r="E3" s="32"/>
      <x:c r="F3" s="32"/>
      <x:c r="G3" s="32"/>
    </x:row>
    <x:row r="4" ht="32">
      <x:c r="A4" s="32"/>
      <x:c r="B4" s="32"/>
      <x:c r="C4" s="32"/>
      <x:c r="D4" s="32"/>
      <x:c r="E4" s="32"/>
      <x:c r="F4" s="32"/>
      <x:c r="G4" s="32"/>
    </x:row>
    <x:row r="5" ht="32">
      <x:c r="A5" s="32"/>
      <x:c r="B5" s="32"/>
      <x:c r="C5" s="32"/>
      <x:c r="D5" s="32"/>
      <x:c r="E5" s="32"/>
      <x:c r="F5" s="32"/>
      <x:c r="G5" s="32"/>
    </x:row>
    <x:row r="6" ht="80">
      <x:c r="A6" s="32"/>
      <x:c r="B6" s="32"/>
      <x:c r="C6" s="32"/>
      <x:c r="D6" s="32"/>
      <x:c r="E6" s="32"/>
      <x:c r="F6" s="32"/>
      <x:c r="G6" s="32"/>
    </x:row>
    <x:row r="7" ht="18" customHeight="1">
      <x:c r="A7" s="138"/>
      <x:c r="B7" s="138"/>
      <x:c r="C7" s="138"/>
      <x:c r="D7" s="138"/>
      <x:c r="E7" s="138"/>
      <x:c r="F7" s="138"/>
      <x:c r="G7" s="138"/>
    </x:row>
    <x:row r="8" ht="18" customHeight="1">
      <x:c r="A8" s="138"/>
      <x:c r="B8" s="138"/>
      <x:c r="C8" s="138"/>
      <x:c r="D8" s="138"/>
      <x:c r="E8" s="138"/>
      <x:c r="F8" s="138"/>
      <x:c r="G8" s="138"/>
    </x:row>
    <x:row r="9" ht="18" customHeight="1">
      <x:c r="A9" s="138"/>
      <x:c r="B9" s="138"/>
      <x:c r="C9" s="138"/>
      <x:c r="D9" s="138"/>
      <x:c r="E9" s="138"/>
      <x:c r="F9" s="138"/>
      <x:c r="G9" s="138"/>
    </x:row>
    <x:row r="10" ht="18" customHeight="1">
      <x:c r="A10" s="138"/>
      <x:c r="B10" s="138"/>
      <x:c r="C10" s="138"/>
      <x:c r="D10" s="138"/>
      <x:c r="E10" s="138"/>
      <x:c r="F10" s="138"/>
      <x:c r="G10" s="138"/>
    </x:row>
    <x:row r="11" ht="18" customHeight="1">
      <x:c r="A11" s="138"/>
      <x:c r="B11" s="138"/>
      <x:c r="C11" s="138"/>
      <x:c r="D11" s="138"/>
      <x:c r="E11" s="138"/>
      <x:c r="F11" s="138"/>
      <x:c r="G11" s="138"/>
    </x:row>
    <x:row r="12" ht="18" customHeight="1">
      <x:c r="A12" s="138"/>
      <x:c r="B12" s="138"/>
      <x:c r="C12" s="138"/>
      <x:c r="D12" s="138"/>
      <x:c r="E12" s="138"/>
      <x:c r="F12" s="138"/>
      <x:c r="G12" s="138"/>
    </x:row>
    <x:row r="13" ht="18" customHeight="1">
      <x:c r="A13" s="138"/>
      <x:c r="B13" s="138"/>
      <x:c r="C13" s="138"/>
      <x:c r="D13" s="138"/>
      <x:c r="E13" s="138"/>
      <x:c r="F13" s="138"/>
      <x:c r="G13" s="138"/>
    </x:row>
    <x:row r="14" ht="18" customHeight="1">
      <x:c r="A14" s="138"/>
      <x:c r="B14" s="138"/>
      <x:c r="C14" s="138"/>
      <x:c r="D14" s="138"/>
      <x:c r="E14" s="138"/>
      <x:c r="F14" s="138"/>
      <x:c r="G14" s="138"/>
    </x:row>
    <x:row r="15" ht="18" customHeight="1">
      <x:c r="A15" s="138"/>
      <x:c r="B15" s="138"/>
      <x:c r="C15" s="138"/>
      <x:c r="D15" s="138"/>
      <x:c r="E15" s="138"/>
      <x:c r="F15" s="138"/>
      <x:c r="G15" s="138"/>
    </x:row>
    <x:row r="16">
      <x:c r="A16" s="1"/>
      <x:c r="B16" s="1"/>
      <x:c r="D16" s="1"/>
      <x:c r="F16" s="1"/>
      <x:c r="G16" s="1"/>
    </x:row>
    <x:row r="17">
      <x:c r="A17" s="1"/>
      <x:c r="B17" s="1"/>
      <x:c r="D17" s="1"/>
      <x:c r="F17" s="1"/>
      <x:c r="G17" s="1"/>
    </x:row>
    <x:row r="18">
      <x:c r="A18" s="1"/>
      <x:c r="B18" s="1"/>
      <x:c r="D18" s="1"/>
      <x:c r="F18" s="1"/>
      <x:c r="G18" s="1"/>
    </x:row>
    <x:row r="19">
      <x:c r="A19" s="1"/>
      <x:c r="B19" s="1"/>
      <x:c r="D19" s="1"/>
      <x:c r="F19" s="1"/>
      <x:c r="G19" s="1"/>
    </x:row>
    <x:row r="20">
      <x:c r="A20" s="1"/>
      <x:c r="B20" s="1"/>
      <x:c r="D20" s="1"/>
      <x:c r="F20" s="1"/>
      <x:c r="G20" s="1"/>
    </x:row>
    <x:row r="21">
      <x:c r="A21" s="1"/>
      <x:c r="B21" s="1"/>
      <x:c r="D21" s="1"/>
      <x:c r="F21" s="1"/>
      <x:c r="G21" s="1"/>
    </x:row>
    <x:row r="22">
      <x:c r="A22" s="1"/>
      <x:c r="B22" s="1"/>
      <x:c r="D22" s="1"/>
      <x:c r="F22" s="1"/>
      <x:c r="G22" s="1"/>
    </x:row>
    <x:row r="23">
      <x:c r="A23" s="1"/>
      <x:c r="B23" s="1"/>
      <x:c r="D23" s="1"/>
      <x:c r="F23" s="1"/>
      <x:c r="G23" s="1"/>
    </x:row>
    <x:row r="24">
      <x:c r="A24" s="1"/>
      <x:c r="B24" s="1"/>
      <x:c r="D24" s="1"/>
      <x:c r="F24" s="1"/>
      <x:c r="G24" s="1"/>
    </x:row>
    <x:row r="25">
      <x:c r="A25" s="1"/>
      <x:c r="B25" s="1"/>
      <x:c r="D25" s="1"/>
      <x:c r="F25" s="1"/>
      <x:c r="G25" s="1"/>
    </x:row>
    <x:row r="26">
      <x:c r="A26" s="1"/>
      <x:c r="B26" s="1"/>
      <x:c r="D26" s="1"/>
      <x:c r="F26" s="1"/>
      <x:c r="G26" s="1"/>
    </x:row>
    <x:row r="27">
      <x:c r="A27" s="1"/>
      <x:c r="B27" s="1"/>
      <x:c r="D27" s="1"/>
      <x:c r="F27" s="1"/>
      <x:c r="G27" s="1"/>
    </x:row>
    <x:row r="28">
      <x:c r="A28" s="1"/>
      <x:c r="B28" s="1"/>
      <x:c r="D28" s="1"/>
      <x:c r="F28" s="1"/>
      <x:c r="G28" s="1"/>
    </x:row>
    <x:row r="29">
      <x:c r="A29" s="1"/>
      <x:c r="B29" s="1"/>
      <x:c r="D29" s="1"/>
      <x:c r="F29" s="1"/>
      <x:c r="G29" s="1"/>
    </x:row>
    <x:row r="30">
      <x:c r="A30" s="1"/>
      <x:c r="B30" s="1"/>
      <x:c r="D30" s="1"/>
      <x:c r="F30" s="1"/>
      <x:c r="G30" s="1"/>
    </x:row>
    <x:row r="31">
      <x:c r="A31" s="1"/>
      <x:c r="B31" s="1"/>
      <x:c r="D31" s="1"/>
      <x:c r="F31" s="1"/>
      <x:c r="G31" s="1"/>
    </x:row>
    <x:row r="32">
      <x:c r="A32" s="1"/>
      <x:c r="B32" s="1"/>
      <x:c r="D32" s="1"/>
      <x:c r="F32" s="1"/>
      <x:c r="G32" s="1"/>
    </x:row>
    <x:row r="33">
      <x:c r="A33" s="1"/>
      <x:c r="B33" s="1"/>
      <x:c r="D33" s="1"/>
      <x:c r="F33" s="1"/>
      <x:c r="G33" s="1"/>
    </x:row>
    <x:row r="34">
      <x:c r="A34" s="1"/>
      <x:c r="B34" s="1"/>
      <x:c r="D34" s="1"/>
      <x:c r="F34" s="1"/>
      <x:c r="G34" s="1"/>
    </x:row>
    <x:row r="35">
      <x:c r="A35" s="1"/>
      <x:c r="B35" s="1"/>
      <x:c r="D35" s="1"/>
      <x:c r="F35" s="1"/>
      <x:c r="G35" s="1"/>
    </x:row>
    <x:row r="36">
      <x:c r="A36" s="1"/>
      <x:c r="B36" s="1"/>
      <x:c r="D36" s="1"/>
      <x:c r="F36" s="1"/>
      <x:c r="G36" s="1"/>
    </x:row>
    <x:row r="37">
      <x:c r="A37" s="1"/>
      <x:c r="B37" s="1"/>
      <x:c r="D37" s="1"/>
      <x:c r="F37" s="1"/>
      <x:c r="G37" s="1"/>
    </x:row>
    <x:row r="38">
      <x:c r="A38" s="1"/>
      <x:c r="B38" s="1"/>
      <x:c r="D38" s="1"/>
      <x:c r="F38" s="1"/>
      <x:c r="G38" s="1"/>
    </x:row>
    <x:row r="39">
      <x:c r="A39" s="1"/>
      <x:c r="B39" s="1"/>
      <x:c r="D39" s="1"/>
      <x:c r="F39" s="1"/>
      <x:c r="G39" s="1"/>
    </x:row>
    <x:row r="40">
      <x:c r="A40" s="1"/>
      <x:c r="B40" s="1"/>
      <x:c r="D40" s="1"/>
      <x:c r="F40" s="1"/>
      <x:c r="G40" s="1"/>
    </x:row>
    <x:row r="41">
      <x:c r="A41" s="1"/>
      <x:c r="B41" s="1"/>
      <x:c r="D41" s="1"/>
      <x:c r="F41" s="1"/>
      <x:c r="G41" s="1"/>
    </x:row>
    <x:row r="42">
      <x:c r="A42" s="1"/>
      <x:c r="B42" s="1"/>
      <x:c r="D42" s="1"/>
      <x:c r="F42" s="1"/>
      <x:c r="G42" s="1"/>
    </x:row>
    <x:row r="43">
      <x:c r="A43" s="1"/>
      <x:c r="B43" s="1"/>
      <x:c r="D43" s="1"/>
      <x:c r="F43" s="1"/>
      <x:c r="G43" s="1"/>
    </x:row>
    <x:row r="44">
      <x:c r="A44" s="1"/>
      <x:c r="B44" s="1"/>
      <x:c r="D44" s="1"/>
      <x:c r="F44" s="1"/>
      <x:c r="G44" s="1"/>
    </x:row>
    <x:row r="45">
      <x:c r="A45" s="1"/>
      <x:c r="B45" s="1"/>
      <x:c r="D45" s="1"/>
      <x:c r="F45" s="1"/>
      <x:c r="G45" s="1"/>
    </x:row>
    <x:row r="46">
      <x:c r="A46" s="1"/>
      <x:c r="B46" s="1"/>
      <x:c r="D46" s="1"/>
      <x:c r="F46" s="1"/>
      <x:c r="G46" s="1"/>
    </x:row>
    <x:row r="47">
      <x:c r="A47" s="1"/>
      <x:c r="B47" s="1"/>
      <x:c r="D47" s="1"/>
      <x:c r="F47" s="1"/>
      <x:c r="G47" s="1"/>
    </x:row>
    <x:row r="48">
      <x:c r="A48" s="1"/>
      <x:c r="B48" s="1"/>
      <x:c r="D48" s="1"/>
      <x:c r="F48" s="1"/>
      <x:c r="G48" s="1"/>
    </x:row>
    <x:row r="49">
      <x:c r="A49" s="1"/>
      <x:c r="B49" s="1"/>
      <x:c r="D49" s="1"/>
      <x:c r="F49" s="1"/>
      <x:c r="G49" s="1"/>
    </x:row>
    <x:row r="50">
      <x:c r="A50" s="1"/>
      <x:c r="B50" s="1"/>
      <x:c r="D50" s="1"/>
      <x:c r="F50" s="1"/>
      <x:c r="G50" s="1"/>
    </x:row>
    <x:row r="51">
      <x:c r="A51" s="1"/>
      <x:c r="B51" s="1"/>
      <x:c r="D51" s="1"/>
      <x:c r="F51" s="1"/>
      <x:c r="G51" s="1"/>
    </x:row>
    <x:row r="52">
      <x:c r="A52" s="1"/>
      <x:c r="B52" s="1"/>
      <x:c r="D52" s="1"/>
      <x:c r="F52" s="1"/>
      <x:c r="G52" s="1"/>
    </x:row>
    <x:row r="53">
      <x:c r="A53" s="1"/>
      <x:c r="B53" s="1"/>
      <x:c r="D53" s="1"/>
      <x:c r="F53" s="1"/>
      <x:c r="G53" s="1"/>
    </x:row>
    <x:row r="54">
      <x:c r="A54" s="1"/>
      <x:c r="B54" s="1"/>
      <x:c r="D54" s="1"/>
      <x:c r="F54" s="1"/>
      <x:c r="G54" s="1"/>
    </x:row>
    <x:row r="55">
      <x:c r="A55" s="1"/>
      <x:c r="B55" s="1"/>
      <x:c r="D55" s="1"/>
      <x:c r="F55" s="1"/>
      <x:c r="G55" s="1"/>
    </x:row>
    <x:row r="56">
      <x:c r="A56" s="1"/>
      <x:c r="B56" s="1"/>
      <x:c r="D56" s="1"/>
      <x:c r="F56" s="1"/>
      <x:c r="G56" s="1"/>
    </x:row>
    <x:row r="57">
      <x:c r="A57" s="1"/>
      <x:c r="B57" s="1"/>
      <x:c r="D57" s="1"/>
      <x:c r="F57" s="1"/>
      <x:c r="G57" s="1"/>
    </x:row>
    <x:row r="58">
      <x:c r="A58" s="1"/>
      <x:c r="B58" s="1"/>
      <x:c r="D58" s="1"/>
      <x:c r="F58" s="1"/>
      <x:c r="G58" s="1"/>
    </x:row>
    <x:row r="59">
      <x:c r="A59" s="1"/>
      <x:c r="B59" s="1"/>
      <x:c r="D59" s="1"/>
      <x:c r="F59" s="1"/>
      <x:c r="G59" s="1"/>
    </x:row>
    <x:row r="60">
      <x:c r="A60" s="1"/>
      <x:c r="B60" s="1"/>
      <x:c r="D60" s="1"/>
      <x:c r="F60" s="1"/>
      <x:c r="G60" s="1"/>
    </x:row>
    <x:row r="61">
      <x:c r="A61" s="1"/>
      <x:c r="B61" s="1"/>
      <x:c r="D61" s="1"/>
      <x:c r="F61" s="1"/>
      <x:c r="G61" s="1"/>
    </x:row>
    <x:row r="62">
      <x:c r="A62" s="1"/>
      <x:c r="B62" s="1"/>
      <x:c r="D62" s="1"/>
      <x:c r="F62" s="1"/>
      <x:c r="G62" s="1"/>
    </x:row>
    <x:row r="63">
      <x:c r="A63" s="1"/>
      <x:c r="B63" s="1"/>
      <x:c r="D63" s="1"/>
      <x:c r="F63" s="1"/>
      <x:c r="G63" s="1"/>
    </x:row>
    <x:row r="64">
      <x:c r="A64" s="1"/>
      <x:c r="B64" s="1"/>
      <x:c r="D64" s="1"/>
      <x:c r="F64" s="1"/>
      <x:c r="G64" s="1"/>
    </x:row>
    <x:row r="65">
      <x:c r="A65" s="1"/>
      <x:c r="B65" s="1"/>
      <x:c r="D65" s="1"/>
      <x:c r="F65" s="1"/>
      <x:c r="G65" s="1"/>
    </x:row>
    <x:row r="66">
      <x:c r="A66" s="1"/>
      <x:c r="B66" s="1"/>
      <x:c r="D66" s="1"/>
      <x:c r="F66" s="1"/>
      <x:c r="G66" s="1"/>
    </x:row>
    <x:row r="67">
      <x:c r="A67" s="1"/>
      <x:c r="B67" s="1"/>
      <x:c r="D67" s="1"/>
      <x:c r="F67" s="1"/>
      <x:c r="G67" s="1"/>
    </x:row>
    <x:row r="68">
      <x:c r="A68" s="1"/>
      <x:c r="B68" s="1"/>
      <x:c r="D68" s="1"/>
      <x:c r="F68" s="1"/>
      <x:c r="G68" s="1"/>
    </x:row>
    <x:row r="69">
      <x:c r="A69" s="1"/>
      <x:c r="B69" s="1"/>
      <x:c r="D69" s="1"/>
      <x:c r="F69" s="1"/>
      <x:c r="G69" s="1"/>
    </x:row>
    <x:row r="70">
      <x:c r="A70" s="1"/>
      <x:c r="B70" s="1"/>
      <x:c r="D70" s="1"/>
      <x:c r="F70" s="1"/>
      <x:c r="G70" s="1"/>
    </x:row>
    <x:row r="71">
      <x:c r="A71" s="1"/>
      <x:c r="B71" s="1"/>
      <x:c r="D71" s="1"/>
      <x:c r="F71" s="1"/>
      <x:c r="G71" s="1"/>
    </x:row>
    <x:row r="72">
      <x:c r="A72" s="1"/>
      <x:c r="B72" s="1"/>
      <x:c r="D72" s="1"/>
      <x:c r="F72" s="1"/>
      <x:c r="G72" s="1"/>
    </x:row>
    <x:row r="73">
      <x:c r="A73" s="1"/>
      <x:c r="B73" s="1"/>
      <x:c r="D73" s="1"/>
      <x:c r="F73" s="1"/>
      <x:c r="G73" s="1"/>
    </x:row>
    <x:row r="74">
      <x:c r="A74" s="1"/>
      <x:c r="B74" s="1"/>
      <x:c r="D74" s="1"/>
      <x:c r="F74" s="1"/>
      <x:c r="G74" s="1"/>
    </x:row>
    <x:row r="75">
      <x:c r="A75" s="1"/>
      <x:c r="B75" s="1"/>
      <x:c r="D75" s="1"/>
      <x:c r="F75" s="1"/>
      <x:c r="G75" s="1"/>
    </x:row>
    <x:row r="76">
      <x:c r="A76" s="1"/>
      <x:c r="B76" s="1"/>
      <x:c r="D76" s="1"/>
      <x:c r="F76" s="1"/>
      <x:c r="G76" s="1"/>
    </x:row>
    <x:row r="77">
      <x:c r="A77" s="1"/>
      <x:c r="B77" s="1"/>
      <x:c r="D77" s="1"/>
      <x:c r="F77" s="1"/>
      <x:c r="G77" s="1"/>
    </x:row>
    <x:row r="78">
      <x:c r="A78" s="1"/>
      <x:c r="B78" s="1"/>
      <x:c r="D78" s="1"/>
      <x:c r="F78" s="1"/>
      <x:c r="G78" s="1"/>
    </x:row>
    <x:row r="79">
      <x:c r="A79" s="1"/>
      <x:c r="B79" s="1"/>
      <x:c r="D79" s="1"/>
      <x:c r="F79" s="1"/>
      <x:c r="G79" s="1"/>
    </x:row>
    <x:row r="80">
      <x:c r="A80" s="1"/>
      <x:c r="B80" s="1"/>
      <x:c r="D80" s="1"/>
      <x:c r="F80" s="1"/>
      <x:c r="G80" s="1"/>
    </x:row>
    <x:row r="81">
      <x:c r="A81" s="1"/>
      <x:c r="B81" s="1"/>
      <x:c r="D81" s="1"/>
      <x:c r="F81" s="1"/>
      <x:c r="G81" s="1"/>
    </x:row>
    <x:row r="82">
      <x:c r="A82" s="1"/>
      <x:c r="B82" s="1"/>
      <x:c r="D82" s="1"/>
      <x:c r="F82" s="1"/>
      <x:c r="G82" s="1"/>
    </x:row>
    <x:row r="83">
      <x:c r="A83" s="1"/>
      <x:c r="B83" s="1"/>
      <x:c r="D83" s="1"/>
      <x:c r="F83" s="1"/>
      <x:c r="G83" s="1"/>
    </x:row>
    <x:row r="84">
      <x:c r="A84" s="1"/>
      <x:c r="B84" s="1"/>
      <x:c r="D84" s="1"/>
      <x:c r="F84" s="1"/>
      <x:c r="G84" s="1"/>
    </x:row>
    <x:row r="85">
      <x:c r="A85" s="1"/>
      <x:c r="B85" s="1"/>
      <x:c r="D85" s="1"/>
      <x:c r="F85" s="1"/>
      <x:c r="G85" s="1"/>
    </x:row>
    <x:row r="86">
      <x:c r="A86" s="1"/>
      <x:c r="B86" s="1"/>
      <x:c r="D86" s="1"/>
      <x:c r="F86" s="1"/>
      <x:c r="G86" s="1"/>
    </x:row>
    <x:row r="87">
      <x:c r="A87" s="1"/>
      <x:c r="B87" s="1"/>
      <x:c r="D87" s="1"/>
      <x:c r="F87" s="1"/>
      <x:c r="G87" s="1"/>
    </x:row>
    <x:row r="88">
      <x:c r="A88" s="1"/>
      <x:c r="B88" s="1"/>
      <x:c r="D88" s="1"/>
      <x:c r="F88" s="1"/>
      <x:c r="G88" s="1"/>
    </x:row>
    <x:row r="89">
      <x:c r="A89" s="1"/>
      <x:c r="B89" s="1"/>
      <x:c r="D89" s="1"/>
      <x:c r="F89" s="1"/>
      <x:c r="G89" s="1"/>
    </x:row>
    <x:row r="90">
      <x:c r="A90" s="1"/>
      <x:c r="B90" s="1"/>
      <x:c r="D90" s="1"/>
      <x:c r="F90" s="1"/>
      <x:c r="G90" s="1"/>
    </x:row>
    <x:row r="91">
      <x:c r="A91" s="1"/>
      <x:c r="B91" s="1"/>
      <x:c r="D91" s="1"/>
      <x:c r="F91" s="1"/>
      <x:c r="G91" s="1"/>
    </x:row>
    <x:row r="92">
      <x:c r="A92" s="1"/>
      <x:c r="B92" s="1"/>
      <x:c r="D92" s="1"/>
      <x:c r="F92" s="1"/>
      <x:c r="G92" s="1"/>
    </x:row>
    <x:row r="93">
      <x:c r="A93" s="1"/>
      <x:c r="B93" s="1"/>
      <x:c r="D93" s="1"/>
      <x:c r="F93" s="1"/>
      <x:c r="G93" s="1"/>
    </x:row>
    <x:row r="94">
      <x:c r="A94" s="1"/>
      <x:c r="B94" s="1"/>
      <x:c r="D94" s="1"/>
      <x:c r="F94" s="1"/>
      <x:c r="G94" s="1"/>
    </x:row>
    <x:row r="95">
      <x:c r="A95" s="1"/>
      <x:c r="B95" s="1"/>
      <x:c r="D95" s="1"/>
      <x:c r="F95" s="1"/>
      <x:c r="G95" s="1"/>
    </x:row>
    <x:row r="96">
      <x:c r="A96" s="1"/>
      <x:c r="B96" s="1"/>
      <x:c r="D96" s="1"/>
      <x:c r="F96" s="1"/>
      <x:c r="G96" s="1"/>
    </x:row>
    <x:row r="97">
      <x:c r="A97" s="1"/>
      <x:c r="B97" s="1"/>
      <x:c r="D97" s="1"/>
      <x:c r="F97" s="1"/>
      <x:c r="G97" s="1"/>
    </x:row>
    <x:row r="98">
      <x:c r="A98" s="1"/>
      <x:c r="B98" s="1"/>
      <x:c r="D98" s="1"/>
      <x:c r="F98" s="1"/>
      <x:c r="G98" s="1"/>
    </x:row>
    <x:row r="99">
      <x:c r="A99" s="1"/>
      <x:c r="B99" s="1"/>
      <x:c r="D99" s="1"/>
      <x:c r="F99" s="1"/>
      <x:c r="G99" s="1"/>
    </x:row>
    <x:row r="100">
      <x:c r="A100" s="1"/>
      <x:c r="B100" s="1"/>
      <x:c r="D100" s="1"/>
      <x:c r="F100" s="1"/>
      <x:c r="G100" s="1"/>
    </x:row>
    <x:row r="101">
      <x:c r="A101" s="1"/>
      <x:c r="B101" s="1"/>
      <x:c r="D101" s="1"/>
      <x:c r="F101" s="1"/>
      <x:c r="G101" s="1"/>
    </x:row>
    <x:row r="102">
      <x:c r="A102" s="1"/>
      <x:c r="B102" s="1"/>
      <x:c r="D102" s="1"/>
      <x:c r="F102" s="1"/>
      <x:c r="G102" s="1"/>
    </x:row>
    <x:row r="103">
      <x:c r="A103" s="1"/>
      <x:c r="B103" s="1"/>
      <x:c r="D103" s="1"/>
      <x:c r="F103" s="1"/>
      <x:c r="G103" s="1"/>
    </x:row>
    <x:row r="104">
      <x:c r="A104" s="1"/>
      <x:c r="B104" s="1"/>
      <x:c r="D104" s="1"/>
      <x:c r="F104" s="1"/>
      <x:c r="G104" s="1"/>
    </x:row>
    <x:row r="105">
      <x:c r="A105" s="1"/>
      <x:c r="B105" s="1"/>
      <x:c r="D105" s="1"/>
      <x:c r="F105" s="1"/>
      <x:c r="G105" s="1"/>
    </x:row>
    <x:row r="106">
      <x:c r="A106" s="1"/>
      <x:c r="B106" s="1"/>
      <x:c r="D106" s="1"/>
      <x:c r="F106" s="1"/>
      <x:c r="G106" s="1"/>
    </x:row>
    <x:row r="107">
      <x:c r="A107" s="1"/>
      <x:c r="B107" s="1"/>
      <x:c r="D107" s="1"/>
      <x:c r="F107" s="1"/>
      <x:c r="G107" s="1"/>
    </x:row>
    <x:row r="108">
      <x:c r="A108" s="1"/>
      <x:c r="B108" s="1"/>
      <x:c r="D108" s="1"/>
      <x:c r="F108" s="1"/>
      <x:c r="G108" s="1"/>
    </x:row>
    <x:row r="109">
      <x:c r="A109" s="1"/>
      <x:c r="B109" s="1"/>
      <x:c r="D109" s="1"/>
      <x:c r="F109" s="1"/>
      <x:c r="G109" s="1"/>
    </x:row>
    <x:row r="110">
      <x:c r="A110" s="1"/>
      <x:c r="B110" s="1"/>
      <x:c r="D110" s="1"/>
      <x:c r="F110" s="1"/>
      <x:c r="G110" s="1"/>
    </x:row>
    <x:row r="111">
      <x:c r="A111" s="1"/>
      <x:c r="B111" s="1"/>
      <x:c r="D111" s="1"/>
      <x:c r="F111" s="1"/>
      <x:c r="G111" s="1"/>
    </x:row>
    <x:row r="112">
      <x:c r="A112" s="1"/>
      <x:c r="B112" s="1"/>
      <x:c r="D112" s="1"/>
      <x:c r="F112" s="1"/>
      <x:c r="G112" s="1"/>
    </x:row>
    <x:row r="113">
      <x:c r="A113" s="1"/>
      <x:c r="B113" s="1"/>
      <x:c r="D113" s="1"/>
      <x:c r="F113" s="1"/>
      <x:c r="G113" s="1"/>
    </x:row>
    <x:row r="114">
      <x:c r="A114" s="1"/>
      <x:c r="B114" s="1"/>
      <x:c r="D114" s="1"/>
      <x:c r="F114" s="1"/>
      <x:c r="G114" s="1"/>
    </x:row>
    <x:row r="115">
      <x:c r="A115" s="1"/>
      <x:c r="B115" s="1"/>
      <x:c r="D115" s="1"/>
      <x:c r="F115" s="1"/>
      <x:c r="G115" s="1"/>
    </x:row>
    <x:row r="116">
      <x:c r="A116" s="1"/>
      <x:c r="B116" s="1"/>
      <x:c r="D116" s="1"/>
      <x:c r="F116" s="1"/>
      <x:c r="G116" s="1"/>
    </x:row>
    <x:row r="117">
      <x:c r="A117" s="1"/>
      <x:c r="B117" s="1"/>
      <x:c r="D117" s="1"/>
      <x:c r="F117" s="1"/>
      <x:c r="G117" s="1"/>
    </x:row>
    <x:row r="118">
      <x:c r="A118" s="1"/>
      <x:c r="B118" s="1"/>
      <x:c r="D118" s="1"/>
      <x:c r="F118" s="1"/>
      <x:c r="G118" s="1"/>
    </x:row>
    <x:row r="119">
      <x:c r="A119" s="1"/>
      <x:c r="B119" s="1"/>
      <x:c r="D119" s="1"/>
      <x:c r="F119" s="1"/>
      <x:c r="G119" s="1"/>
    </x:row>
    <x:row r="120">
      <x:c r="A120" s="1"/>
      <x:c r="B120" s="1"/>
      <x:c r="D120" s="1"/>
      <x:c r="F120" s="1"/>
      <x:c r="G120" s="1"/>
    </x:row>
    <x:row r="121">
      <x:c r="A121" s="1"/>
      <x:c r="B121" s="1"/>
      <x:c r="D121" s="1"/>
      <x:c r="F121" s="1"/>
      <x:c r="G121" s="1"/>
    </x:row>
    <x:row r="122">
      <x:c r="A122" s="1"/>
      <x:c r="B122" s="1"/>
      <x:c r="D122" s="1"/>
      <x:c r="F122" s="1"/>
      <x:c r="G122" s="1"/>
    </x:row>
    <x:row r="123">
      <x:c r="A123" s="1"/>
      <x:c r="B123" s="1"/>
      <x:c r="D123" s="1"/>
      <x:c r="F123" s="1"/>
      <x:c r="G123" s="1"/>
    </x:row>
    <x:row r="124">
      <x:c r="A124" s="1"/>
      <x:c r="B124" s="1"/>
      <x:c r="D124" s="1"/>
      <x:c r="F124" s="1"/>
      <x:c r="G124" s="1"/>
    </x:row>
    <x:row r="125">
      <x:c r="A125" s="1"/>
      <x:c r="B125" s="1"/>
      <x:c r="D125" s="1"/>
      <x:c r="F125" s="1"/>
      <x:c r="G125" s="1"/>
    </x:row>
    <x:row r="126">
      <x:c r="A126" s="1"/>
      <x:c r="B126" s="1"/>
      <x:c r="D126" s="1"/>
      <x:c r="F126" s="1"/>
      <x:c r="G126" s="1"/>
    </x:row>
    <x:row r="127">
      <x:c r="A127" s="1"/>
      <x:c r="B127" s="1"/>
      <x:c r="D127" s="1"/>
      <x:c r="F127" s="1"/>
      <x:c r="G127" s="1"/>
    </x:row>
    <x:row r="128">
      <x:c r="A128" s="1"/>
      <x:c r="B128" s="1"/>
      <x:c r="D128" s="1"/>
      <x:c r="F128" s="1"/>
      <x:c r="G128" s="1"/>
    </x:row>
    <x:row r="129">
      <x:c r="A129" s="1"/>
      <x:c r="B129" s="1"/>
      <x:c r="D129" s="1"/>
      <x:c r="F129" s="1"/>
      <x:c r="G129" s="1"/>
    </x:row>
    <x:row r="130">
      <x:c r="A130" s="1"/>
      <x:c r="B130" s="1"/>
      <x:c r="D130" s="1"/>
      <x:c r="F130" s="1"/>
      <x:c r="G130" s="1"/>
    </x:row>
    <x:row r="131">
      <x:c r="A131" s="1"/>
      <x:c r="B131" s="1"/>
      <x:c r="D131" s="1"/>
      <x:c r="F131" s="1"/>
      <x:c r="G131" s="1"/>
    </x:row>
    <x:row r="132">
      <x:c r="A132" s="1"/>
      <x:c r="B132" s="1"/>
      <x:c r="D132" s="1"/>
      <x:c r="F132" s="1"/>
      <x:c r="G132" s="1"/>
    </x:row>
    <x:row r="133">
      <x:c r="A133" s="1"/>
      <x:c r="B133" s="1"/>
      <x:c r="D133" s="1"/>
      <x:c r="F133" s="1"/>
      <x:c r="G133" s="1"/>
    </x:row>
    <x:row r="134">
      <x:c r="A134" s="1"/>
      <x:c r="B134" s="1"/>
      <x:c r="D134" s="1"/>
      <x:c r="F134" s="1"/>
      <x:c r="G134" s="1"/>
    </x:row>
    <x:row r="135">
      <x:c r="A135" s="1"/>
      <x:c r="B135" s="1"/>
      <x:c r="D135" s="1"/>
      <x:c r="F135" s="1"/>
      <x:c r="G135" s="1"/>
    </x:row>
    <x:row r="136">
      <x:c r="A136" s="1"/>
      <x:c r="B136" s="1"/>
      <x:c r="D136" s="1"/>
      <x:c r="F136" s="1"/>
      <x:c r="G136" s="1"/>
    </x:row>
    <x:row r="137">
      <x:c r="A137" s="1"/>
      <x:c r="B137" s="1"/>
      <x:c r="D137" s="1"/>
      <x:c r="F137" s="1"/>
      <x:c r="G137" s="1"/>
    </x:row>
    <x:row r="138">
      <x:c r="A138" s="1"/>
      <x:c r="B138" s="1"/>
      <x:c r="D138" s="1"/>
      <x:c r="F138" s="1"/>
      <x:c r="G138" s="1"/>
    </x:row>
    <x:row r="139">
      <x:c r="A139" s="1"/>
      <x:c r="B139" s="1"/>
      <x:c r="D139" s="1"/>
      <x:c r="F139" s="1"/>
      <x:c r="G139" s="1"/>
    </x:row>
    <x:row r="140">
      <x:c r="A140" s="1"/>
      <x:c r="B140" s="1"/>
      <x:c r="D140" s="1"/>
      <x:c r="F140" s="1"/>
      <x:c r="G140" s="1"/>
    </x:row>
    <x:row r="141">
      <x:c r="A141" s="1"/>
      <x:c r="B141" s="1"/>
      <x:c r="D141" s="1"/>
      <x:c r="F141" s="1"/>
      <x:c r="G141" s="1"/>
    </x:row>
    <x:row r="142">
      <x:c r="A142" s="1"/>
      <x:c r="B142" s="1"/>
      <x:c r="D142" s="1"/>
      <x:c r="F142" s="1"/>
      <x:c r="G142" s="1"/>
    </x:row>
    <x:row r="143">
      <x:c r="A143" s="1"/>
      <x:c r="B143" s="1"/>
      <x:c r="D143" s="1"/>
      <x:c r="F143" s="1"/>
      <x:c r="G143" s="1"/>
    </x:row>
    <x:row r="144">
      <x:c r="A144" s="1"/>
      <x:c r="B144" s="1"/>
      <x:c r="D144" s="1"/>
      <x:c r="F144" s="1"/>
      <x:c r="G144" s="1"/>
    </x:row>
    <x:row r="145">
      <x:c r="A145" s="1"/>
      <x:c r="B145" s="1"/>
      <x:c r="D145" s="1"/>
      <x:c r="F145" s="1"/>
      <x:c r="G145" s="1"/>
    </x:row>
    <x:row r="146">
      <x:c r="A146" s="1"/>
      <x:c r="B146" s="1"/>
      <x:c r="D146" s="1"/>
      <x:c r="F146" s="1"/>
      <x:c r="G146" s="1"/>
    </x:row>
    <x:row r="147">
      <x:c r="A147" s="1"/>
      <x:c r="B147" s="1"/>
      <x:c r="D147" s="1"/>
      <x:c r="F147" s="1"/>
      <x:c r="G147" s="1"/>
    </x:row>
    <x:row r="148">
      <x:c r="A148" s="1"/>
      <x:c r="B148" s="1"/>
      <x:c r="D148" s="1"/>
      <x:c r="F148" s="1"/>
      <x:c r="G148" s="1"/>
    </x:row>
    <x:row r="149">
      <x:c r="A149" s="1"/>
      <x:c r="B149" s="1"/>
      <x:c r="D149" s="1"/>
      <x:c r="F149" s="1"/>
      <x:c r="G149" s="1"/>
    </x:row>
    <x:row r="150">
      <x:c r="A150" s="1"/>
      <x:c r="B150" s="1"/>
      <x:c r="D150" s="1"/>
      <x:c r="F150" s="1"/>
      <x:c r="G150" s="1"/>
    </x:row>
    <x:row r="151">
      <x:c r="A151" s="1"/>
      <x:c r="B151" s="1"/>
      <x:c r="D151" s="1"/>
      <x:c r="F151" s="1"/>
      <x:c r="G151" s="1"/>
    </x:row>
    <x:row r="152">
      <x:c r="A152" s="1"/>
      <x:c r="B152" s="1"/>
      <x:c r="D152" s="1"/>
      <x:c r="F152" s="1"/>
      <x:c r="G152" s="1"/>
    </x:row>
    <x:row r="153">
      <x:c r="A153" s="1"/>
      <x:c r="B153" s="1"/>
      <x:c r="D153" s="1"/>
      <x:c r="F153" s="1"/>
      <x:c r="G153" s="1"/>
    </x:row>
    <x:row r="154">
      <x:c r="A154" s="1"/>
      <x:c r="B154" s="1"/>
      <x:c r="D154" s="1"/>
      <x:c r="F154" s="1"/>
      <x:c r="G154" s="1"/>
    </x:row>
    <x:row r="155">
      <x:c r="A155" s="1"/>
      <x:c r="B155" s="1"/>
      <x:c r="D155" s="1"/>
      <x:c r="F155" s="1"/>
      <x:c r="G155" s="1"/>
    </x:row>
    <x:row r="156">
      <x:c r="A156" s="1"/>
      <x:c r="B156" s="1"/>
      <x:c r="D156" s="1"/>
      <x:c r="F156" s="1"/>
      <x:c r="G156" s="1"/>
    </x:row>
    <x:row r="157">
      <x:c r="A157" s="1"/>
      <x:c r="B157" s="1"/>
      <x:c r="D157" s="1"/>
      <x:c r="F157" s="1"/>
      <x:c r="G157" s="1"/>
    </x:row>
    <x:row r="158">
      <x:c r="A158" s="1"/>
      <x:c r="B158" s="1"/>
      <x:c r="D158" s="1"/>
      <x:c r="F158" s="1"/>
      <x:c r="G158" s="1"/>
    </x:row>
    <x:row r="159">
      <x:c r="A159" s="1"/>
      <x:c r="B159" s="1"/>
      <x:c r="D159" s="1"/>
      <x:c r="F159" s="1"/>
      <x:c r="G159" s="1"/>
    </x:row>
    <x:row r="160">
      <x:c r="A160" s="1"/>
      <x:c r="B160" s="1"/>
      <x:c r="D160" s="1"/>
      <x:c r="F160" s="1"/>
      <x:c r="G160" s="1"/>
    </x:row>
    <x:row r="161">
      <x:c r="A161" s="1"/>
      <x:c r="B161" s="1"/>
      <x:c r="D161" s="1"/>
      <x:c r="F161" s="1"/>
      <x:c r="G161" s="1"/>
    </x:row>
    <x:row r="162">
      <x:c r="A162" s="1"/>
      <x:c r="B162" s="1"/>
      <x:c r="D162" s="1"/>
      <x:c r="F162" s="1"/>
      <x:c r="G162" s="1"/>
    </x:row>
    <x:row r="163">
      <x:c r="A163" s="1"/>
      <x:c r="B163" s="1"/>
      <x:c r="D163" s="1"/>
      <x:c r="F163" s="1"/>
      <x:c r="G163" s="1"/>
    </x:row>
    <x:row r="164">
      <x:c r="A164" s="1"/>
      <x:c r="B164" s="1"/>
      <x:c r="D164" s="1"/>
      <x:c r="F164" s="1"/>
      <x:c r="G164" s="1"/>
    </x:row>
    <x:row r="165">
      <x:c r="A165" s="1"/>
      <x:c r="B165" s="1"/>
      <x:c r="D165" s="1"/>
      <x:c r="F165" s="1"/>
      <x:c r="G165" s="1"/>
    </x:row>
    <x:row r="166">
      <x:c r="A166" s="1"/>
      <x:c r="B166" s="1"/>
      <x:c r="D166" s="1"/>
      <x:c r="F166" s="1"/>
      <x:c r="G166" s="1"/>
    </x:row>
    <x:row r="167">
      <x:c r="A167" s="1"/>
      <x:c r="B167" s="1"/>
      <x:c r="D167" s="1"/>
      <x:c r="F167" s="1"/>
      <x:c r="G167" s="1"/>
    </x:row>
    <x:row r="168">
      <x:c r="A168" s="1"/>
      <x:c r="B168" s="1"/>
      <x:c r="D168" s="1"/>
      <x:c r="F168" s="1"/>
      <x:c r="G168" s="1"/>
    </x:row>
    <x:row r="169">
      <x:c r="A169" s="1"/>
      <x:c r="B169" s="1"/>
      <x:c r="D169" s="1"/>
      <x:c r="F169" s="1"/>
      <x:c r="G169" s="1"/>
    </x:row>
    <x:row r="170">
      <x:c r="A170" s="1"/>
      <x:c r="B170" s="1"/>
      <x:c r="D170" s="1"/>
      <x:c r="F170" s="1"/>
      <x:c r="G170" s="1"/>
    </x:row>
    <x:row r="171">
      <x:c r="A171" s="1"/>
      <x:c r="B171" s="1"/>
      <x:c r="D171" s="1"/>
      <x:c r="F171" s="1"/>
      <x:c r="G171" s="1"/>
    </x:row>
    <x:row r="172">
      <x:c r="A172" s="1"/>
      <x:c r="B172" s="1"/>
      <x:c r="D172" s="1"/>
      <x:c r="F172" s="1"/>
      <x:c r="G172" s="1"/>
    </x:row>
    <x:row r="173">
      <x:c r="A173" s="1"/>
      <x:c r="B173" s="1"/>
      <x:c r="D173" s="1"/>
      <x:c r="F173" s="1"/>
      <x:c r="G173" s="1"/>
    </x:row>
    <x:row r="174">
      <x:c r="A174" s="1"/>
      <x:c r="B174" s="1"/>
      <x:c r="D174" s="1"/>
      <x:c r="F174" s="1"/>
      <x:c r="G174" s="1"/>
    </x:row>
    <x:row r="175">
      <x:c r="A175" s="1"/>
      <x:c r="B175" s="1"/>
      <x:c r="D175" s="1"/>
      <x:c r="F175" s="1"/>
      <x:c r="G175" s="1"/>
    </x:row>
    <x:row r="176">
      <x:c r="A176" s="1"/>
      <x:c r="B176" s="1"/>
      <x:c r="D176" s="1"/>
      <x:c r="F176" s="1"/>
      <x:c r="G176" s="1"/>
    </x:row>
    <x:row r="177">
      <x:c r="A177" s="1"/>
      <x:c r="B177" s="1"/>
      <x:c r="D177" s="1"/>
      <x:c r="F177" s="1"/>
      <x:c r="G177" s="1"/>
    </x:row>
    <x:row r="178">
      <x:c r="A178" s="1"/>
      <x:c r="B178" s="1"/>
      <x:c r="D178" s="1"/>
      <x:c r="F178" s="1"/>
      <x:c r="G178" s="1"/>
    </x:row>
    <x:row r="179">
      <x:c r="A179" s="1"/>
      <x:c r="B179" s="1"/>
      <x:c r="D179" s="1"/>
      <x:c r="F179" s="1"/>
      <x:c r="G179" s="1"/>
    </x:row>
    <x:row r="180">
      <x:c r="A180" s="1"/>
      <x:c r="B180" s="1"/>
      <x:c r="D180" s="1"/>
      <x:c r="F180" s="1"/>
      <x:c r="G180" s="1"/>
    </x:row>
    <x:row r="181">
      <x:c r="A181" s="1"/>
      <x:c r="B181" s="1"/>
      <x:c r="D181" s="1"/>
      <x:c r="F181" s="1"/>
      <x:c r="G181" s="1"/>
    </x:row>
    <x:row r="182">
      <x:c r="A182" s="1"/>
      <x:c r="B182" s="1"/>
      <x:c r="D182" s="1"/>
      <x:c r="F182" s="1"/>
      <x:c r="G182" s="1"/>
    </x:row>
    <x:row r="183">
      <x:c r="A183" s="1"/>
      <x:c r="B183" s="1"/>
      <x:c r="D183" s="1"/>
      <x:c r="F183" s="1"/>
      <x:c r="G183" s="1"/>
    </x:row>
    <x:row r="184">
      <x:c r="A184" s="1"/>
      <x:c r="B184" s="1"/>
      <x:c r="D184" s="1"/>
      <x:c r="F184" s="1"/>
      <x:c r="G184" s="1"/>
    </x:row>
    <x:row r="185">
      <x:c r="A185" s="1"/>
      <x:c r="B185" s="1"/>
      <x:c r="D185" s="1"/>
      <x:c r="F185" s="1"/>
      <x:c r="G185" s="1"/>
    </x:row>
    <x:row r="186">
      <x:c r="A186" s="1"/>
      <x:c r="B186" s="1"/>
      <x:c r="D186" s="1"/>
      <x:c r="F186" s="1"/>
      <x:c r="G186" s="1"/>
    </x:row>
    <x:row r="187">
      <x:c r="A187" s="1"/>
      <x:c r="B187" s="1"/>
      <x:c r="D187" s="1"/>
      <x:c r="F187" s="1"/>
      <x:c r="G187" s="1"/>
    </x:row>
    <x:row r="188">
      <x:c r="A188" s="1"/>
      <x:c r="B188" s="1"/>
      <x:c r="D188" s="1"/>
      <x:c r="F188" s="1"/>
      <x:c r="G188" s="1"/>
    </x:row>
    <x:row r="189">
      <x:c r="A189" s="1"/>
      <x:c r="B189" s="1"/>
      <x:c r="D189" s="1"/>
      <x:c r="F189" s="1"/>
      <x:c r="G189" s="1"/>
    </x:row>
    <x:row r="190">
      <x:c r="A190" s="1"/>
      <x:c r="B190" s="1"/>
      <x:c r="D190" s="1"/>
      <x:c r="F190" s="1"/>
      <x:c r="G190" s="1"/>
    </x:row>
    <x:row r="191">
      <x:c r="A191" s="1"/>
      <x:c r="B191" s="1"/>
      <x:c r="D191" s="1"/>
      <x:c r="F191" s="1"/>
      <x:c r="G191" s="1"/>
    </x:row>
    <x:row r="192">
      <x:c r="A192" s="1"/>
      <x:c r="B192" s="1"/>
      <x:c r="D192" s="1"/>
      <x:c r="F192" s="1"/>
      <x:c r="G192" s="1"/>
    </x:row>
    <x:row r="193">
      <x:c r="A193" s="1"/>
      <x:c r="B193" s="1"/>
      <x:c r="D193" s="1"/>
      <x:c r="F193" s="1"/>
      <x:c r="G193" s="1"/>
    </x:row>
    <x:row r="194">
      <x:c r="A194" s="1"/>
      <x:c r="B194" s="1"/>
      <x:c r="D194" s="1"/>
      <x:c r="F194" s="1"/>
      <x:c r="G194" s="1"/>
    </x:row>
    <x:row r="195">
      <x:c r="A195" s="1"/>
      <x:c r="B195" s="1"/>
      <x:c r="D195" s="1"/>
      <x:c r="F195" s="1"/>
      <x:c r="G195" s="1"/>
    </x:row>
    <x:row r="196">
      <x:c r="A196" s="1"/>
      <x:c r="B196" s="1"/>
      <x:c r="D196" s="1"/>
      <x:c r="F196" s="1"/>
      <x:c r="G196" s="1"/>
    </x:row>
    <x:row r="197">
      <x:c r="A197" s="1"/>
      <x:c r="B197" s="1"/>
      <x:c r="D197" s="1"/>
      <x:c r="F197" s="1"/>
      <x:c r="G197" s="1"/>
    </x:row>
    <x:row r="198">
      <x:c r="A198" s="1"/>
      <x:c r="B198" s="1"/>
      <x:c r="D198" s="1"/>
      <x:c r="F198" s="1"/>
      <x:c r="G198" s="1"/>
    </x:row>
    <x:row r="199">
      <x:c r="A199" s="1"/>
      <x:c r="B199" s="1"/>
      <x:c r="D199" s="1"/>
      <x:c r="F199" s="1"/>
      <x:c r="G199" s="1"/>
    </x:row>
    <x:row r="200">
      <x:c r="A200" s="1"/>
      <x:c r="B200" s="1"/>
      <x:c r="D200" s="1"/>
      <x:c r="F200" s="1"/>
      <x:c r="G200" s="1"/>
    </x:row>
    <x:row r="201">
      <x:c r="A201" s="1"/>
      <x:c r="B201" s="1"/>
      <x:c r="D201" s="1"/>
      <x:c r="F201" s="1"/>
      <x:c r="G201" s="1"/>
    </x:row>
    <x:row r="202">
      <x:c r="A202" s="1"/>
      <x:c r="B202" s="1"/>
      <x:c r="D202" s="1"/>
      <x:c r="F202" s="1"/>
      <x:c r="G202" s="1"/>
    </x:row>
    <x:row r="203">
      <x:c r="A203" s="1"/>
      <x:c r="B203" s="1"/>
      <x:c r="D203" s="1"/>
      <x:c r="F203" s="1"/>
      <x:c r="G203" s="1"/>
    </x:row>
    <x:row r="204">
      <x:c r="A204" s="1"/>
      <x:c r="B204" s="1"/>
      <x:c r="D204" s="1"/>
      <x:c r="F204" s="1"/>
      <x:c r="G204" s="1"/>
    </x:row>
    <x:row r="205">
      <x:c r="A205" s="1"/>
      <x:c r="B205" s="1"/>
      <x:c r="D205" s="1"/>
      <x:c r="F205" s="1"/>
      <x:c r="G205" s="1"/>
    </x:row>
    <x:row r="206">
      <x:c r="A206" s="1"/>
      <x:c r="B206" s="1"/>
      <x:c r="D206" s="1"/>
      <x:c r="F206" s="1"/>
      <x:c r="G206" s="1"/>
    </x:row>
    <x:row r="207">
      <x:c r="A207" s="1"/>
      <x:c r="B207" s="1"/>
      <x:c r="D207" s="1"/>
      <x:c r="F207" s="1"/>
      <x:c r="G207" s="1"/>
    </x:row>
    <x:row r="208">
      <x:c r="A208" s="1"/>
      <x:c r="B208" s="1"/>
      <x:c r="D208" s="1"/>
      <x:c r="F208" s="1"/>
      <x:c r="G208" s="1"/>
    </x:row>
    <x:row r="209">
      <x:c r="A209" s="1"/>
      <x:c r="B209" s="1"/>
      <x:c r="D209" s="1"/>
      <x:c r="F209" s="1"/>
      <x:c r="G209" s="1"/>
    </x:row>
    <x:row r="210">
      <x:c r="A210" s="1"/>
      <x:c r="B210" s="1"/>
      <x:c r="D210" s="1"/>
      <x:c r="F210" s="1"/>
      <x:c r="G210" s="1"/>
    </x:row>
    <x:row r="211">
      <x:c r="A211" s="1"/>
      <x:c r="B211" s="1"/>
      <x:c r="D211" s="1"/>
      <x:c r="F211" s="1"/>
      <x:c r="G211" s="1"/>
    </x:row>
    <x:row r="212">
      <x:c r="A212" s="1"/>
      <x:c r="B212" s="1"/>
      <x:c r="D212" s="1"/>
      <x:c r="F212" s="1"/>
      <x:c r="G212" s="1"/>
    </x:row>
    <x:row r="213">
      <x:c r="A213" s="1"/>
      <x:c r="B213" s="1"/>
      <x:c r="D213" s="1"/>
      <x:c r="F213" s="1"/>
      <x:c r="G213" s="1"/>
    </x:row>
    <x:row r="214">
      <x:c r="A214" s="1"/>
      <x:c r="B214" s="1"/>
      <x:c r="D214" s="1"/>
      <x:c r="F214" s="1"/>
      <x:c r="G214" s="1"/>
    </x:row>
    <x:row r="215">
      <x:c r="A215" s="1"/>
      <x:c r="B215" s="1"/>
      <x:c r="D215" s="1"/>
      <x:c r="F215" s="1"/>
      <x:c r="G215" s="1"/>
    </x:row>
    <x:row r="216">
      <x:c r="A216" s="1"/>
      <x:c r="B216" s="1"/>
      <x:c r="D216" s="1"/>
      <x:c r="F216" s="1"/>
      <x:c r="G216" s="1"/>
    </x:row>
    <x:row r="217">
      <x:c r="A217" s="1"/>
      <x:c r="B217" s="1"/>
      <x:c r="D217" s="1"/>
      <x:c r="F217" s="1"/>
      <x:c r="G217" s="1"/>
    </x:row>
    <x:row r="218">
      <x:c r="A218" s="1"/>
      <x:c r="B218" s="1"/>
      <x:c r="D218" s="1"/>
      <x:c r="F218" s="1"/>
      <x:c r="G218" s="1"/>
    </x:row>
    <x:row r="219">
      <x:c r="A219" s="1"/>
      <x:c r="B219" s="1"/>
      <x:c r="D219" s="1"/>
      <x:c r="F219" s="1"/>
      <x:c r="G219" s="1"/>
    </x:row>
    <x:row r="220">
      <x:c r="A220" s="1"/>
      <x:c r="B220" s="1"/>
      <x:c r="D220" s="1"/>
      <x:c r="F220" s="1"/>
      <x:c r="G220" s="1"/>
    </x:row>
    <x:row r="221">
      <x:c r="A221" s="1"/>
      <x:c r="B221" s="1"/>
      <x:c r="D221" s="1"/>
      <x:c r="F221" s="1"/>
      <x:c r="G221" s="1"/>
    </x:row>
    <x:row r="222">
      <x:c r="A222" s="1"/>
      <x:c r="B222" s="1"/>
      <x:c r="D222" s="1"/>
      <x:c r="F222" s="1"/>
      <x:c r="G222" s="1"/>
    </x:row>
    <x:row r="223">
      <x:c r="A223" s="1"/>
      <x:c r="B223" s="1"/>
      <x:c r="D223" s="1"/>
      <x:c r="F223" s="1"/>
      <x:c r="G223" s="1"/>
    </x:row>
    <x:row r="224">
      <x:c r="A224" s="1"/>
      <x:c r="B224" s="1"/>
      <x:c r="D224" s="1"/>
      <x:c r="F224" s="1"/>
      <x:c r="G224" s="1"/>
    </x:row>
    <x:row r="225">
      <x:c r="A225" s="1"/>
      <x:c r="B225" s="1"/>
      <x:c r="D225" s="1"/>
      <x:c r="F225" s="1"/>
      <x:c r="G225" s="1"/>
    </x:row>
    <x:row r="226">
      <x:c r="A226" s="1"/>
      <x:c r="B226" s="1"/>
      <x:c r="D226" s="1"/>
      <x:c r="F226" s="1"/>
      <x:c r="G226" s="1"/>
    </x:row>
    <x:row r="227">
      <x:c r="A227" s="1"/>
      <x:c r="B227" s="1"/>
      <x:c r="D227" s="1"/>
      <x:c r="F227" s="1"/>
      <x:c r="G227" s="1"/>
    </x:row>
    <x:row r="228">
      <x:c r="A228" s="1"/>
      <x:c r="B228" s="1"/>
      <x:c r="D228" s="1"/>
      <x:c r="F228" s="1"/>
      <x:c r="G228" s="1"/>
    </x:row>
    <x:row r="229">
      <x:c r="A229" s="1"/>
      <x:c r="B229" s="1"/>
      <x:c r="D229" s="1"/>
      <x:c r="F229" s="1"/>
      <x:c r="G229" s="1"/>
    </x:row>
    <x:row r="230">
      <x:c r="A230" s="1"/>
      <x:c r="B230" s="1"/>
      <x:c r="D230" s="1"/>
      <x:c r="F230" s="1"/>
      <x:c r="G230" s="1"/>
    </x:row>
    <x:row r="231">
      <x:c r="A231" s="1"/>
      <x:c r="B231" s="1"/>
      <x:c r="D231" s="1"/>
      <x:c r="F231" s="1"/>
      <x:c r="G231" s="1"/>
    </x:row>
    <x:row r="232">
      <x:c r="A232" s="1"/>
      <x:c r="B232" s="1"/>
      <x:c r="D232" s="1"/>
      <x:c r="F232" s="1"/>
      <x:c r="G232" s="1"/>
    </x:row>
    <x:row r="233">
      <x:c r="A233" s="1"/>
      <x:c r="B233" s="1"/>
      <x:c r="D233" s="1"/>
      <x:c r="F233" s="1"/>
      <x:c r="G233" s="1"/>
    </x:row>
    <x:row r="234">
      <x:c r="A234" s="1"/>
      <x:c r="B234" s="1"/>
      <x:c r="D234" s="1"/>
      <x:c r="F234" s="1"/>
      <x:c r="G234" s="1"/>
    </x:row>
    <x:row r="235">
      <x:c r="A235" s="1"/>
      <x:c r="B235" s="1"/>
      <x:c r="D235" s="1"/>
      <x:c r="F235" s="1"/>
      <x:c r="G235" s="1"/>
    </x:row>
    <x:row r="236">
      <x:c r="A236" s="1"/>
      <x:c r="B236" s="1"/>
      <x:c r="D236" s="1"/>
      <x:c r="F236" s="1"/>
      <x:c r="G236" s="1"/>
    </x:row>
    <x:row r="237">
      <x:c r="A237" s="1"/>
      <x:c r="B237" s="1"/>
      <x:c r="D237" s="1"/>
      <x:c r="F237" s="1"/>
      <x:c r="G237" s="1"/>
    </x:row>
    <x:row r="238">
      <x:c r="A238" s="1"/>
      <x:c r="B238" s="1"/>
      <x:c r="D238" s="1"/>
      <x:c r="F238" s="1"/>
      <x:c r="G238" s="1"/>
    </x:row>
    <x:row r="239">
      <x:c r="A239" s="1"/>
      <x:c r="B239" s="1"/>
      <x:c r="D239" s="1"/>
      <x:c r="F239" s="1"/>
      <x:c r="G239" s="1"/>
    </x:row>
    <x:row r="240">
      <x:c r="A240" s="1"/>
      <x:c r="B240" s="1"/>
      <x:c r="D240" s="1"/>
      <x:c r="F240" s="1"/>
      <x:c r="G240" s="1"/>
    </x:row>
    <x:row r="241">
      <x:c r="A241" s="1"/>
      <x:c r="B241" s="1"/>
      <x:c r="D241" s="1"/>
      <x:c r="F241" s="1"/>
      <x:c r="G241" s="1"/>
    </x:row>
    <x:row r="242">
      <x:c r="A242" s="1"/>
      <x:c r="B242" s="1"/>
      <x:c r="D242" s="1"/>
      <x:c r="F242" s="1"/>
      <x:c r="G242" s="1"/>
    </x:row>
    <x:row r="243">
      <x:c r="A243" s="1"/>
      <x:c r="B243" s="1"/>
      <x:c r="D243" s="1"/>
      <x:c r="F243" s="1"/>
      <x:c r="G243" s="1"/>
    </x:row>
    <x:row r="244">
      <x:c r="A244" s="1"/>
      <x:c r="B244" s="1"/>
      <x:c r="D244" s="1"/>
      <x:c r="F244" s="1"/>
      <x:c r="G244" s="1"/>
    </x:row>
    <x:row r="245">
      <x:c r="A245" s="1"/>
      <x:c r="B245" s="1"/>
      <x:c r="D245" s="1"/>
      <x:c r="F245" s="1"/>
      <x:c r="G245" s="1"/>
    </x:row>
    <x:row r="246">
      <x:c r="A246" s="1"/>
      <x:c r="B246" s="1"/>
      <x:c r="D246" s="1"/>
      <x:c r="F246" s="1"/>
      <x:c r="G246" s="1"/>
    </x:row>
    <x:row r="247">
      <x:c r="A247" s="1"/>
      <x:c r="B247" s="1"/>
      <x:c r="D247" s="1"/>
      <x:c r="F247" s="1"/>
      <x:c r="G247" s="1"/>
    </x:row>
    <x:row r="248">
      <x:c r="A248" s="1"/>
      <x:c r="B248" s="1"/>
      <x:c r="D248" s="1"/>
      <x:c r="F248" s="1"/>
      <x:c r="G248" s="1"/>
    </x:row>
    <x:row r="249">
      <x:c r="A249" s="1"/>
      <x:c r="B249" s="1"/>
      <x:c r="D249" s="1"/>
      <x:c r="F249" s="1"/>
      <x:c r="G249" s="1"/>
    </x:row>
    <x:row r="250">
      <x:c r="A250" s="1"/>
      <x:c r="B250" s="1"/>
      <x:c r="D250" s="1"/>
      <x:c r="F250" s="1"/>
      <x:c r="G250" s="1"/>
    </x:row>
    <x:row r="251">
      <x:c r="A251" s="1"/>
      <x:c r="B251" s="1"/>
      <x:c r="D251" s="1"/>
      <x:c r="F251" s="1"/>
      <x:c r="G251" s="1"/>
    </x:row>
    <x:row r="252">
      <x:c r="A252" s="1"/>
      <x:c r="B252" s="1"/>
      <x:c r="D252" s="1"/>
      <x:c r="F252" s="1"/>
      <x:c r="G252" s="1"/>
    </x:row>
    <x:row r="253">
      <x:c r="A253" s="1"/>
      <x:c r="B253" s="1"/>
      <x:c r="D253" s="1"/>
      <x:c r="F253" s="1"/>
      <x:c r="G253" s="1"/>
    </x:row>
    <x:row r="254">
      <x:c r="A254" s="1"/>
      <x:c r="B254" s="1"/>
      <x:c r="D254" s="1"/>
      <x:c r="F254" s="1"/>
      <x:c r="G254" s="1"/>
    </x:row>
    <x:row r="255">
      <x:c r="A255" s="1"/>
      <x:c r="B255" s="1"/>
      <x:c r="D255" s="1"/>
      <x:c r="F255" s="1"/>
      <x:c r="G255" s="1"/>
    </x:row>
    <x:row r="256">
      <x:c r="A256" s="1"/>
      <x:c r="B256" s="1"/>
      <x:c r="D256" s="1"/>
      <x:c r="F256" s="1"/>
      <x:c r="G256" s="1"/>
    </x:row>
    <x:row r="257">
      <x:c r="A257" s="1"/>
      <x:c r="B257" s="1"/>
      <x:c r="D257" s="1"/>
      <x:c r="F257" s="1"/>
      <x:c r="G257" s="1"/>
    </x:row>
    <x:row r="258">
      <x:c r="A258" s="1"/>
      <x:c r="B258" s="1"/>
      <x:c r="D258" s="1"/>
      <x:c r="F258" s="1"/>
      <x:c r="G258" s="1"/>
    </x:row>
    <x:row r="259">
      <x:c r="A259" s="1"/>
      <x:c r="B259" s="1"/>
      <x:c r="D259" s="1"/>
      <x:c r="F259" s="1"/>
      <x:c r="G259" s="1"/>
    </x:row>
    <x:row r="260">
      <x:c r="A260" s="1"/>
      <x:c r="B260" s="1"/>
      <x:c r="D260" s="1"/>
      <x:c r="F260" s="1"/>
      <x:c r="G260" s="1"/>
    </x:row>
    <x:row r="261">
      <x:c r="A261" s="1"/>
      <x:c r="B261" s="1"/>
      <x:c r="D261" s="1"/>
      <x:c r="F261" s="1"/>
      <x:c r="G261" s="1"/>
    </x:row>
    <x:row r="262">
      <x:c r="A262" s="1"/>
      <x:c r="B262" s="1"/>
      <x:c r="D262" s="1"/>
      <x:c r="F262" s="1"/>
      <x:c r="G262" s="1"/>
    </x:row>
    <x:row r="263">
      <x:c r="A263" s="1"/>
      <x:c r="B263" s="1"/>
      <x:c r="D263" s="1"/>
      <x:c r="F263" s="1"/>
      <x:c r="G263" s="1"/>
    </x:row>
    <x:row r="264">
      <x:c r="A264" s="1"/>
      <x:c r="B264" s="1"/>
      <x:c r="D264" s="1"/>
      <x:c r="F264" s="1"/>
      <x:c r="G264" s="1"/>
    </x:row>
    <x:row r="265">
      <x:c r="A265" s="1"/>
      <x:c r="B265" s="1"/>
      <x:c r="D265" s="1"/>
      <x:c r="F265" s="1"/>
      <x:c r="G265" s="1"/>
    </x:row>
    <x:row r="266">
      <x:c r="A266" s="1"/>
      <x:c r="B266" s="1"/>
      <x:c r="D266" s="1"/>
      <x:c r="F266" s="1"/>
      <x:c r="G266" s="1"/>
    </x:row>
    <x:row r="267">
      <x:c r="A267" s="1"/>
      <x:c r="B267" s="1"/>
      <x:c r="D267" s="1"/>
      <x:c r="F267" s="1"/>
      <x:c r="G267" s="1"/>
    </x:row>
    <x:row r="268">
      <x:c r="A268" s="1"/>
      <x:c r="B268" s="1"/>
      <x:c r="D268" s="1"/>
      <x:c r="F268" s="1"/>
      <x:c r="G268" s="1"/>
    </x:row>
    <x:row r="269">
      <x:c r="A269" s="1"/>
      <x:c r="B269" s="1"/>
      <x:c r="D269" s="1"/>
      <x:c r="F269" s="1"/>
      <x:c r="G269" s="1"/>
    </x:row>
    <x:row r="270">
      <x:c r="A270" s="1"/>
      <x:c r="B270" s="1"/>
      <x:c r="D270" s="1"/>
      <x:c r="F270" s="1"/>
      <x:c r="G270" s="1"/>
    </x:row>
    <x:row r="271">
      <x:c r="A271" s="1"/>
      <x:c r="B271" s="1"/>
      <x:c r="D271" s="1"/>
      <x:c r="F271" s="1"/>
      <x:c r="G271" s="1"/>
    </x:row>
    <x:row r="272">
      <x:c r="A272" s="1"/>
      <x:c r="B272" s="1"/>
      <x:c r="D272" s="1"/>
      <x:c r="F272" s="1"/>
      <x:c r="G272" s="1"/>
    </x:row>
    <x:row r="273">
      <x:c r="A273" s="1"/>
      <x:c r="B273" s="1"/>
      <x:c r="D273" s="1"/>
      <x:c r="F273" s="1"/>
      <x:c r="G273" s="1"/>
    </x:row>
    <x:row r="274">
      <x:c r="A274" s="1"/>
      <x:c r="B274" s="1"/>
      <x:c r="D274" s="1"/>
      <x:c r="F274" s="1"/>
      <x:c r="G274" s="1"/>
    </x:row>
    <x:row r="275">
      <x:c r="A275" s="1"/>
      <x:c r="B275" s="1"/>
      <x:c r="D275" s="1"/>
      <x:c r="F275" s="1"/>
      <x:c r="G275" s="1"/>
    </x:row>
    <x:row r="276">
      <x:c r="A276" s="1"/>
      <x:c r="B276" s="1"/>
      <x:c r="D276" s="1"/>
      <x:c r="F276" s="1"/>
      <x:c r="G276" s="1"/>
    </x:row>
    <x:row r="277">
      <x:c r="A277" s="1"/>
      <x:c r="B277" s="1"/>
      <x:c r="D277" s="1"/>
      <x:c r="F277" s="1"/>
      <x:c r="G277" s="1"/>
    </x:row>
    <x:row r="278">
      <x:c r="A278" s="1"/>
      <x:c r="B278" s="1"/>
      <x:c r="D278" s="1"/>
      <x:c r="F278" s="1"/>
      <x:c r="G278" s="1"/>
    </x:row>
    <x:row r="279">
      <x:c r="A279" s="1"/>
      <x:c r="B279" s="1"/>
      <x:c r="D279" s="1"/>
      <x:c r="F279" s="1"/>
      <x:c r="G279" s="1"/>
    </x:row>
    <x:row r="280">
      <x:c r="A280" s="1"/>
      <x:c r="B280" s="1"/>
      <x:c r="D280" s="1"/>
      <x:c r="F280" s="1"/>
      <x:c r="G280" s="1"/>
    </x:row>
    <x:row r="281">
      <x:c r="A281" s="1"/>
      <x:c r="B281" s="1"/>
      <x:c r="D281" s="1"/>
      <x:c r="F281" s="1"/>
      <x:c r="G281" s="1"/>
    </x:row>
    <x:row r="282">
      <x:c r="A282" s="1"/>
      <x:c r="B282" s="1"/>
      <x:c r="D282" s="1"/>
      <x:c r="F282" s="1"/>
      <x:c r="G282" s="1"/>
    </x:row>
    <x:row r="283">
      <x:c r="A283" s="1"/>
      <x:c r="B283" s="1"/>
      <x:c r="D283" s="1"/>
      <x:c r="F283" s="1"/>
      <x:c r="G283" s="1"/>
    </x:row>
    <x:row r="284">
      <x:c r="A284" s="1"/>
      <x:c r="B284" s="1"/>
      <x:c r="D284" s="1"/>
      <x:c r="F284" s="1"/>
      <x:c r="G284" s="1"/>
    </x:row>
    <x:row r="285">
      <x:c r="A285" s="1"/>
      <x:c r="B285" s="1"/>
      <x:c r="D285" s="1"/>
      <x:c r="F285" s="1"/>
      <x:c r="G285" s="1"/>
    </x:row>
    <x:row r="286">
      <x:c r="A286" s="1"/>
      <x:c r="B286" s="1"/>
      <x:c r="D286" s="1"/>
      <x:c r="F286" s="1"/>
      <x:c r="G286" s="1"/>
    </x:row>
    <x:row r="287">
      <x:c r="A287" s="1"/>
      <x:c r="B287" s="1"/>
      <x:c r="D287" s="1"/>
      <x:c r="F287" s="1"/>
      <x:c r="G287" s="1"/>
    </x:row>
    <x:row r="288">
      <x:c r="A288" s="1"/>
      <x:c r="B288" s="1"/>
      <x:c r="D288" s="1"/>
      <x:c r="F288" s="1"/>
      <x:c r="G288" s="1"/>
    </x:row>
    <x:row r="289">
      <x:c r="A289" s="1"/>
      <x:c r="B289" s="1"/>
      <x:c r="D289" s="1"/>
      <x:c r="F289" s="1"/>
      <x:c r="G289" s="1"/>
    </x:row>
    <x:row r="290">
      <x:c r="A290" s="1"/>
      <x:c r="B290" s="1"/>
      <x:c r="D290" s="1"/>
      <x:c r="F290" s="1"/>
      <x:c r="G290" s="1"/>
    </x:row>
    <x:row r="291">
      <x:c r="A291" s="1"/>
      <x:c r="B291" s="1"/>
      <x:c r="D291" s="1"/>
      <x:c r="F291" s="1"/>
      <x:c r="G291" s="1"/>
    </x:row>
    <x:row r="292">
      <x:c r="A292" s="1"/>
      <x:c r="B292" s="1"/>
      <x:c r="D292" s="1"/>
      <x:c r="F292" s="1"/>
      <x:c r="G292" s="1"/>
    </x:row>
    <x:row r="293">
      <x:c r="A293" s="1"/>
      <x:c r="B293" s="1"/>
      <x:c r="D293" s="1"/>
      <x:c r="F293" s="1"/>
      <x:c r="G293" s="1"/>
    </x:row>
    <x:row r="294">
      <x:c r="A294" s="1"/>
      <x:c r="B294" s="1"/>
      <x:c r="D294" s="1"/>
      <x:c r="F294" s="1"/>
      <x:c r="G294" s="1"/>
    </x:row>
    <x:row r="295">
      <x:c r="A295" s="1"/>
      <x:c r="B295" s="1"/>
      <x:c r="D295" s="1"/>
      <x:c r="F295" s="1"/>
      <x:c r="G295" s="1"/>
    </x:row>
    <x:row r="296">
      <x:c r="A296" s="1"/>
      <x:c r="B296" s="1"/>
      <x:c r="D296" s="1"/>
      <x:c r="F296" s="1"/>
      <x:c r="G296" s="1"/>
    </x:row>
    <x:row r="297">
      <x:c r="A297" s="1"/>
      <x:c r="B297" s="1"/>
      <x:c r="D297" s="1"/>
      <x:c r="F297" s="1"/>
      <x:c r="G297" s="1"/>
    </x:row>
    <x:row r="298">
      <x:c r="A298" s="1"/>
      <x:c r="B298" s="1"/>
      <x:c r="D298" s="1"/>
      <x:c r="F298" s="1"/>
      <x:c r="G298" s="1"/>
    </x:row>
    <x:row r="299">
      <x:c r="A299" s="1"/>
      <x:c r="B299" s="1"/>
      <x:c r="D299" s="1"/>
      <x:c r="F299" s="1"/>
      <x:c r="G299" s="1"/>
    </x:row>
    <x:row r="300">
      <x:c r="A300" s="1"/>
      <x:c r="B300" s="1"/>
      <x:c r="D300" s="1"/>
      <x:c r="F300" s="1"/>
      <x:c r="G300" s="1"/>
    </x:row>
    <x:row r="301">
      <x:c r="A301" s="1"/>
      <x:c r="B301" s="1"/>
      <x:c r="D301" s="1"/>
      <x:c r="F301" s="1"/>
      <x:c r="G301" s="1"/>
    </x:row>
    <x:row r="302">
      <x:c r="A302" s="1"/>
      <x:c r="B302" s="1"/>
      <x:c r="D302" s="1"/>
      <x:c r="F302" s="1"/>
      <x:c r="G302" s="1"/>
    </x:row>
    <x:row r="303">
      <x:c r="A303" s="1"/>
      <x:c r="B303" s="1"/>
      <x:c r="D303" s="1"/>
      <x:c r="F303" s="1"/>
      <x:c r="G303" s="1"/>
    </x:row>
    <x:row r="304">
      <x:c r="A304" s="1"/>
      <x:c r="B304" s="1"/>
      <x:c r="D304" s="1"/>
      <x:c r="F304" s="1"/>
      <x:c r="G304" s="1"/>
    </x:row>
    <x:row r="305">
      <x:c r="A305" s="1"/>
      <x:c r="B305" s="1"/>
      <x:c r="D305" s="1"/>
      <x:c r="F305" s="1"/>
      <x:c r="G305" s="1"/>
    </x:row>
    <x:row r="306">
      <x:c r="A306" s="1"/>
      <x:c r="B306" s="1"/>
      <x:c r="D306" s="1"/>
      <x:c r="F306" s="1"/>
      <x:c r="G306" s="1"/>
    </x:row>
    <x:row r="307">
      <x:c r="A307" s="1"/>
      <x:c r="B307" s="1"/>
      <x:c r="D307" s="1"/>
      <x:c r="F307" s="1"/>
      <x:c r="G307" s="1"/>
    </x:row>
    <x:row r="308">
      <x:c r="A308" s="1"/>
      <x:c r="B308" s="1"/>
      <x:c r="D308" s="1"/>
      <x:c r="F308" s="1"/>
      <x:c r="G308" s="1"/>
    </x:row>
    <x:row r="309">
      <x:c r="A309" s="1"/>
      <x:c r="B309" s="1"/>
      <x:c r="D309" s="1"/>
      <x:c r="F309" s="1"/>
      <x:c r="G309" s="1"/>
    </x:row>
    <x:row r="310">
      <x:c r="A310" s="1"/>
      <x:c r="B310" s="1"/>
      <x:c r="D310" s="1"/>
      <x:c r="F310" s="1"/>
      <x:c r="G310" s="1"/>
    </x:row>
    <x:row r="311">
      <x:c r="A311" s="1"/>
      <x:c r="B311" s="1"/>
      <x:c r="D311" s="1"/>
      <x:c r="F311" s="1"/>
      <x:c r="G311" s="1"/>
    </x:row>
    <x:row r="312">
      <x:c r="A312" s="1"/>
      <x:c r="B312" s="1"/>
      <x:c r="D312" s="1"/>
      <x:c r="F312" s="1"/>
      <x:c r="G312" s="1"/>
    </x:row>
    <x:row r="313">
      <x:c r="A313" s="1"/>
      <x:c r="B313" s="1"/>
      <x:c r="D313" s="1"/>
      <x:c r="F313" s="1"/>
      <x:c r="G313" s="1"/>
    </x:row>
    <x:row r="314">
      <x:c r="A314" s="1"/>
      <x:c r="B314" s="1"/>
      <x:c r="D314" s="1"/>
      <x:c r="F314" s="1"/>
      <x:c r="G314" s="1"/>
    </x:row>
    <x:row r="315">
      <x:c r="A315" s="1"/>
      <x:c r="B315" s="1"/>
      <x:c r="D315" s="1"/>
      <x:c r="F315" s="1"/>
      <x:c r="G315" s="1"/>
    </x:row>
    <x:row r="316">
      <x:c r="A316" s="1"/>
      <x:c r="B316" s="1"/>
      <x:c r="D316" s="1"/>
      <x:c r="F316" s="1"/>
      <x:c r="G316" s="1"/>
    </x:row>
    <x:row r="317">
      <x:c r="A317" s="1"/>
      <x:c r="B317" s="1"/>
      <x:c r="D317" s="1"/>
      <x:c r="F317" s="1"/>
      <x:c r="G317" s="1"/>
    </x:row>
    <x:row r="318">
      <x:c r="A318" s="1"/>
      <x:c r="B318" s="1"/>
      <x:c r="D318" s="1"/>
      <x:c r="F318" s="1"/>
      <x:c r="G318" s="1"/>
    </x:row>
    <x:row r="319">
      <x:c r="A319" s="1"/>
      <x:c r="B319" s="1"/>
      <x:c r="D319" s="1"/>
      <x:c r="F319" s="1"/>
      <x:c r="G319" s="1"/>
    </x:row>
    <x:row r="320">
      <x:c r="A320" s="1"/>
      <x:c r="B320" s="1"/>
      <x:c r="D320" s="1"/>
      <x:c r="F320" s="1"/>
      <x:c r="G320" s="1"/>
    </x:row>
    <x:row r="321">
      <x:c r="A321" s="1"/>
      <x:c r="B321" s="1"/>
      <x:c r="D321" s="1"/>
      <x:c r="F321" s="1"/>
      <x:c r="G321" s="1"/>
    </x:row>
    <x:row r="322">
      <x:c r="A322" s="1"/>
      <x:c r="B322" s="1"/>
      <x:c r="D322" s="1"/>
      <x:c r="F322" s="1"/>
      <x:c r="G322" s="1"/>
    </x:row>
    <x:row r="323">
      <x:c r="A323" s="1"/>
      <x:c r="B323" s="1"/>
      <x:c r="D323" s="1"/>
      <x:c r="F323" s="1"/>
      <x:c r="G323" s="1"/>
    </x:row>
    <x:row r="324">
      <x:c r="A324" s="1"/>
      <x:c r="B324" s="1"/>
      <x:c r="D324" s="1"/>
      <x:c r="F324" s="1"/>
      <x:c r="G324" s="1"/>
    </x:row>
    <x:row r="325">
      <x:c r="A325" s="1"/>
      <x:c r="B325" s="1"/>
      <x:c r="D325" s="1"/>
      <x:c r="F325" s="1"/>
      <x:c r="G325" s="1"/>
    </x:row>
    <x:row r="326">
      <x:c r="A326" s="1"/>
      <x:c r="B326" s="1"/>
      <x:c r="D326" s="1"/>
      <x:c r="F326" s="1"/>
      <x:c r="G326" s="1"/>
    </x:row>
    <x:row r="327">
      <x:c r="A327" s="1"/>
      <x:c r="B327" s="1"/>
      <x:c r="D327" s="1"/>
      <x:c r="F327" s="1"/>
      <x:c r="G327" s="1"/>
    </x:row>
    <x:row r="328">
      <x:c r="A328" s="1"/>
      <x:c r="B328" s="1"/>
      <x:c r="D328" s="1"/>
      <x:c r="F328" s="1"/>
      <x:c r="G328" s="1"/>
    </x:row>
    <x:row r="329">
      <x:c r="A329" s="1"/>
      <x:c r="B329" s="1"/>
      <x:c r="D329" s="1"/>
      <x:c r="F329" s="1"/>
      <x:c r="G329" s="1"/>
    </x:row>
    <x:row r="330">
      <x:c r="A330" s="1"/>
      <x:c r="B330" s="1"/>
      <x:c r="D330" s="1"/>
      <x:c r="F330" s="1"/>
      <x:c r="G330" s="1"/>
    </x:row>
    <x:row r="331">
      <x:c r="A331" s="1"/>
      <x:c r="B331" s="1"/>
      <x:c r="D331" s="1"/>
      <x:c r="F331" s="1"/>
      <x:c r="G331" s="1"/>
    </x:row>
    <x:row r="332">
      <x:c r="A332" s="1"/>
      <x:c r="B332" s="1"/>
      <x:c r="D332" s="1"/>
      <x:c r="F332" s="1"/>
      <x:c r="G332" s="1"/>
    </x:row>
    <x:row r="333">
      <x:c r="A333" s="1"/>
      <x:c r="B333" s="1"/>
      <x:c r="D333" s="1"/>
      <x:c r="F333" s="1"/>
      <x:c r="G333" s="1"/>
    </x:row>
    <x:row r="334">
      <x:c r="A334" s="1"/>
      <x:c r="B334" s="1"/>
      <x:c r="D334" s="1"/>
      <x:c r="F334" s="1"/>
      <x:c r="G334" s="1"/>
    </x:row>
    <x:row r="335">
      <x:c r="A335" s="1"/>
      <x:c r="B335" s="1"/>
      <x:c r="D335" s="1"/>
      <x:c r="F335" s="1"/>
      <x:c r="G335" s="1"/>
    </x:row>
    <x:row r="336">
      <x:c r="A336" s="1"/>
      <x:c r="B336" s="1"/>
      <x:c r="D336" s="1"/>
      <x:c r="F336" s="1"/>
      <x:c r="G336" s="1"/>
    </x:row>
    <x:row r="337">
      <x:c r="A337" s="1"/>
      <x:c r="B337" s="1"/>
      <x:c r="D337" s="1"/>
      <x:c r="F337" s="1"/>
      <x:c r="G337" s="1"/>
    </x:row>
    <x:row r="338">
      <x:c r="A338" s="1"/>
      <x:c r="B338" s="1"/>
      <x:c r="D338" s="1"/>
      <x:c r="F338" s="1"/>
      <x:c r="G338" s="1"/>
    </x:row>
    <x:row r="339">
      <x:c r="A339" s="1"/>
      <x:c r="B339" s="1"/>
      <x:c r="D339" s="1"/>
      <x:c r="F339" s="1"/>
      <x:c r="G339" s="1"/>
    </x:row>
    <x:row r="340">
      <x:c r="A340" s="1"/>
      <x:c r="B340" s="1"/>
      <x:c r="D340" s="1"/>
      <x:c r="F340" s="1"/>
      <x:c r="G340" s="1"/>
    </x:row>
    <x:row r="341">
      <x:c r="A341" s="1"/>
      <x:c r="B341" s="1"/>
      <x:c r="D341" s="1"/>
      <x:c r="F341" s="1"/>
      <x:c r="G341" s="1"/>
    </x:row>
    <x:row r="342">
      <x:c r="A342" s="1"/>
      <x:c r="B342" s="1"/>
      <x:c r="D342" s="1"/>
      <x:c r="F342" s="1"/>
      <x:c r="G342" s="1"/>
    </x:row>
    <x:row r="343">
      <x:c r="A343" s="1"/>
      <x:c r="B343" s="1"/>
      <x:c r="D343" s="1"/>
      <x:c r="F343" s="1"/>
      <x:c r="G343" s="1"/>
    </x:row>
    <x:row r="344">
      <x:c r="A344" s="1"/>
      <x:c r="B344" s="1"/>
      <x:c r="D344" s="1"/>
      <x:c r="F344" s="1"/>
      <x:c r="G344" s="1"/>
    </x:row>
    <x:row r="345">
      <x:c r="A345" s="1"/>
      <x:c r="B345" s="1"/>
      <x:c r="D345" s="1"/>
      <x:c r="F345" s="1"/>
      <x:c r="G345" s="1"/>
    </x:row>
    <x:row r="346">
      <x:c r="A346" s="1"/>
      <x:c r="B346" s="1"/>
      <x:c r="D346" s="1"/>
      <x:c r="F346" s="1"/>
      <x:c r="G346" s="1"/>
    </x:row>
    <x:row r="347">
      <x:c r="A347" s="1"/>
      <x:c r="B347" s="1"/>
      <x:c r="D347" s="1"/>
      <x:c r="F347" s="1"/>
      <x:c r="G347" s="1"/>
    </x:row>
    <x:row r="348">
      <x:c r="A348" s="1"/>
      <x:c r="B348" s="1"/>
      <x:c r="D348" s="1"/>
      <x:c r="F348" s="1"/>
      <x:c r="G348" s="1"/>
    </x:row>
    <x:row r="349">
      <x:c r="A349" s="1"/>
      <x:c r="B349" s="1"/>
      <x:c r="D349" s="1"/>
      <x:c r="F349" s="1"/>
      <x:c r="G349" s="1"/>
    </x:row>
    <x:row r="350">
      <x:c r="A350" s="1"/>
      <x:c r="B350" s="1"/>
      <x:c r="D350" s="1"/>
      <x:c r="F350" s="1"/>
      <x:c r="G350" s="1"/>
    </x:row>
    <x:row r="351">
      <x:c r="A351" s="1"/>
      <x:c r="B351" s="1"/>
      <x:c r="D351" s="1"/>
      <x:c r="F351" s="1"/>
      <x:c r="G351" s="1"/>
    </x:row>
    <x:row r="352">
      <x:c r="A352" s="1"/>
      <x:c r="B352" s="1"/>
      <x:c r="D352" s="1"/>
      <x:c r="F352" s="1"/>
      <x:c r="G352" s="1"/>
    </x:row>
    <x:row r="353">
      <x:c r="A353" s="1"/>
      <x:c r="B353" s="1"/>
      <x:c r="D353" s="1"/>
      <x:c r="F353" s="1"/>
      <x:c r="G353" s="1"/>
    </x:row>
    <x:row r="354">
      <x:c r="A354" s="1"/>
      <x:c r="B354" s="1"/>
      <x:c r="D354" s="1"/>
      <x:c r="F354" s="1"/>
      <x:c r="G354" s="1"/>
    </x:row>
    <x:row r="355">
      <x:c r="A355" s="1"/>
      <x:c r="B355" s="1"/>
      <x:c r="D355" s="1"/>
      <x:c r="F355" s="1"/>
      <x:c r="G355" s="1"/>
    </x:row>
    <x:row r="356">
      <x:c r="A356" s="1"/>
      <x:c r="B356" s="1"/>
      <x:c r="D356" s="1"/>
      <x:c r="F356" s="1"/>
      <x:c r="G356" s="1"/>
    </x:row>
    <x:row r="357">
      <x:c r="A357" s="1"/>
      <x:c r="B357" s="1"/>
      <x:c r="D357" s="1"/>
      <x:c r="F357" s="1"/>
      <x:c r="G357" s="1"/>
    </x:row>
    <x:row r="358">
      <x:c r="A358" s="1"/>
      <x:c r="B358" s="1"/>
      <x:c r="D358" s="1"/>
      <x:c r="F358" s="1"/>
      <x:c r="G358" s="1"/>
    </x:row>
    <x:row r="359">
      <x:c r="A359" s="1"/>
      <x:c r="B359" s="1"/>
      <x:c r="D359" s="1"/>
      <x:c r="F359" s="1"/>
      <x:c r="G359" s="1"/>
    </x:row>
    <x:row r="360">
      <x:c r="A360" s="1"/>
      <x:c r="B360" s="1"/>
      <x:c r="D360" s="1"/>
      <x:c r="F360" s="1"/>
      <x:c r="G360" s="1"/>
    </x:row>
    <x:row r="361">
      <x:c r="A361" s="1"/>
      <x:c r="B361" s="1"/>
      <x:c r="D361" s="1"/>
      <x:c r="F361" s="1"/>
      <x:c r="G361" s="1"/>
    </x:row>
    <x:row r="362">
      <x:c r="A362" s="1"/>
      <x:c r="B362" s="1"/>
      <x:c r="D362" s="1"/>
      <x:c r="F362" s="1"/>
      <x:c r="G362" s="1"/>
    </x:row>
    <x:row r="363">
      <x:c r="A363" s="1"/>
      <x:c r="B363" s="1"/>
      <x:c r="D363" s="1"/>
      <x:c r="F363" s="1"/>
      <x:c r="G363" s="1"/>
    </x:row>
    <x:row r="364">
      <x:c r="A364" s="1"/>
      <x:c r="B364" s="1"/>
      <x:c r="D364" s="1"/>
      <x:c r="F364" s="1"/>
      <x:c r="G364" s="1"/>
    </x:row>
    <x:row r="365">
      <x:c r="A365" s="1"/>
      <x:c r="B365" s="1"/>
      <x:c r="D365" s="1"/>
      <x:c r="F365" s="1"/>
      <x:c r="G365" s="1"/>
    </x:row>
    <x:row r="366">
      <x:c r="A366" s="1"/>
      <x:c r="B366" s="1"/>
      <x:c r="D366" s="1"/>
      <x:c r="F366" s="1"/>
      <x:c r="G366" s="1"/>
    </x:row>
    <x:row r="367">
      <x:c r="A367" s="1"/>
      <x:c r="B367" s="1"/>
      <x:c r="D367" s="1"/>
      <x:c r="F367" s="1"/>
      <x:c r="G367" s="1"/>
    </x:row>
    <x:row r="368">
      <x:c r="A368" s="1"/>
      <x:c r="B368" s="1"/>
      <x:c r="D368" s="1"/>
      <x:c r="F368" s="1"/>
      <x:c r="G368" s="1"/>
    </x:row>
    <x:row r="369">
      <x:c r="A369" s="1"/>
      <x:c r="B369" s="1"/>
      <x:c r="D369" s="1"/>
      <x:c r="F369" s="1"/>
      <x:c r="G369" s="1"/>
    </x:row>
    <x:row r="370">
      <x:c r="A370" s="1"/>
      <x:c r="B370" s="1"/>
      <x:c r="D370" s="1"/>
      <x:c r="F370" s="1"/>
      <x:c r="G370" s="1"/>
    </x:row>
    <x:row r="371">
      <x:c r="A371" s="1"/>
      <x:c r="B371" s="1"/>
      <x:c r="D371" s="1"/>
      <x:c r="F371" s="1"/>
      <x:c r="G371" s="1"/>
    </x:row>
    <x:row r="372">
      <x:c r="A372" s="1"/>
      <x:c r="B372" s="1"/>
      <x:c r="D372" s="1"/>
      <x:c r="F372" s="1"/>
      <x:c r="G372" s="1"/>
    </x:row>
    <x:row r="373">
      <x:c r="A373" s="1"/>
      <x:c r="B373" s="1"/>
      <x:c r="D373" s="1"/>
      <x:c r="F373" s="1"/>
      <x:c r="G373" s="1"/>
    </x:row>
    <x:row r="374">
      <x:c r="A374" s="1"/>
      <x:c r="B374" s="1"/>
      <x:c r="D374" s="1"/>
      <x:c r="F374" s="1"/>
      <x:c r="G374" s="1"/>
    </x:row>
    <x:row r="375">
      <x:c r="A375" s="1"/>
      <x:c r="B375" s="1"/>
      <x:c r="D375" s="1"/>
      <x:c r="F375" s="1"/>
      <x:c r="G375" s="1"/>
    </x:row>
    <x:row r="376">
      <x:c r="A376" s="1"/>
      <x:c r="B376" s="1"/>
      <x:c r="D376" s="1"/>
      <x:c r="F376" s="1"/>
      <x:c r="G376" s="1"/>
    </x:row>
    <x:row r="377">
      <x:c r="A377" s="1"/>
      <x:c r="B377" s="1"/>
      <x:c r="D377" s="1"/>
      <x:c r="F377" s="1"/>
      <x:c r="G377" s="1"/>
    </x:row>
    <x:row r="378">
      <x:c r="A378" s="1"/>
      <x:c r="B378" s="1"/>
      <x:c r="D378" s="1"/>
      <x:c r="F378" s="1"/>
      <x:c r="G378" s="1"/>
    </x:row>
    <x:row r="379">
      <x:c r="A379" s="1"/>
      <x:c r="B379" s="1"/>
      <x:c r="D379" s="1"/>
      <x:c r="F379" s="1"/>
      <x:c r="G379" s="1"/>
    </x:row>
    <x:row r="380">
      <x:c r="A380" s="1"/>
      <x:c r="B380" s="1"/>
      <x:c r="D380" s="1"/>
      <x:c r="F380" s="1"/>
      <x:c r="G380" s="1"/>
    </x:row>
    <x:row r="381">
      <x:c r="A381" s="1"/>
      <x:c r="B381" s="1"/>
      <x:c r="D381" s="1"/>
      <x:c r="F381" s="1"/>
      <x:c r="G381" s="1"/>
    </x:row>
    <x:row r="382">
      <x:c r="A382" s="1"/>
      <x:c r="B382" s="1"/>
      <x:c r="D382" s="1"/>
      <x:c r="F382" s="1"/>
      <x:c r="G382" s="1"/>
    </x:row>
    <x:row r="383">
      <x:c r="A383" s="1"/>
      <x:c r="B383" s="1"/>
      <x:c r="D383" s="1"/>
      <x:c r="F383" s="1"/>
      <x:c r="G383" s="1"/>
    </x:row>
    <x:row r="384">
      <x:c r="A384" s="1"/>
      <x:c r="B384" s="1"/>
      <x:c r="D384" s="1"/>
      <x:c r="F384" s="1"/>
      <x:c r="G384" s="1"/>
    </x:row>
    <x:row r="385">
      <x:c r="A385" s="1"/>
      <x:c r="B385" s="1"/>
      <x:c r="D385" s="1"/>
      <x:c r="F385" s="1"/>
      <x:c r="G385" s="1"/>
    </x:row>
    <x:row r="386">
      <x:c r="A386" s="1"/>
      <x:c r="B386" s="1"/>
      <x:c r="D386" s="1"/>
      <x:c r="F386" s="1"/>
      <x:c r="G386" s="1"/>
    </x:row>
    <x:row r="387">
      <x:c r="A387" s="1"/>
      <x:c r="B387" s="1"/>
      <x:c r="D387" s="1"/>
      <x:c r="F387" s="1"/>
      <x:c r="G387" s="1"/>
    </x:row>
    <x:row r="388">
      <x:c r="A388" s="1"/>
      <x:c r="B388" s="1"/>
      <x:c r="D388" s="1"/>
      <x:c r="F388" s="1"/>
      <x:c r="G388" s="1"/>
    </x:row>
    <x:row r="389">
      <x:c r="A389" s="1"/>
      <x:c r="B389" s="1"/>
      <x:c r="D389" s="1"/>
      <x:c r="F389" s="1"/>
      <x:c r="G389" s="1"/>
    </x:row>
    <x:row r="390">
      <x:c r="A390" s="1"/>
      <x:c r="B390" s="1"/>
      <x:c r="D390" s="1"/>
      <x:c r="F390" s="1"/>
      <x:c r="G390" s="1"/>
    </x:row>
    <x:row r="391">
      <x:c r="A391" s="1"/>
      <x:c r="B391" s="1"/>
      <x:c r="D391" s="1"/>
      <x:c r="F391" s="1"/>
      <x:c r="G391" s="1"/>
    </x:row>
    <x:row r="392">
      <x:c r="A392" s="1"/>
      <x:c r="B392" s="1"/>
      <x:c r="D392" s="1"/>
      <x:c r="F392" s="1"/>
      <x:c r="G392" s="1"/>
    </x:row>
    <x:row r="393">
      <x:c r="A393" s="1"/>
      <x:c r="B393" s="1"/>
      <x:c r="D393" s="1"/>
      <x:c r="F393" s="1"/>
      <x:c r="G393" s="1"/>
    </x:row>
    <x:row r="394">
      <x:c r="A394" s="1"/>
      <x:c r="B394" s="1"/>
      <x:c r="D394" s="1"/>
      <x:c r="F394" s="1"/>
      <x:c r="G394" s="1"/>
    </x:row>
    <x:row r="395">
      <x:c r="A395" s="1"/>
      <x:c r="B395" s="1"/>
      <x:c r="D395" s="1"/>
      <x:c r="F395" s="1"/>
      <x:c r="G395" s="1"/>
    </x:row>
    <x:row r="396">
      <x:c r="A396" s="1"/>
      <x:c r="B396" s="1"/>
      <x:c r="D396" s="1"/>
      <x:c r="F396" s="1"/>
      <x:c r="G396" s="1"/>
    </x:row>
    <x:row r="397">
      <x:c r="A397" s="1"/>
      <x:c r="B397" s="1"/>
      <x:c r="D397" s="1"/>
      <x:c r="F397" s="1"/>
      <x:c r="G397" s="1"/>
    </x:row>
    <x:row r="398">
      <x:c r="A398" s="1"/>
      <x:c r="B398" s="1"/>
      <x:c r="D398" s="1"/>
      <x:c r="F398" s="1"/>
      <x:c r="G398" s="1"/>
    </x:row>
    <x:row r="399">
      <x:c r="A399" s="1"/>
      <x:c r="B399" s="1"/>
      <x:c r="D399" s="1"/>
      <x:c r="F399" s="1"/>
      <x:c r="G399" s="1"/>
    </x:row>
    <x:row r="400">
      <x:c r="A400" s="1"/>
      <x:c r="B400" s="1"/>
      <x:c r="D400" s="1"/>
      <x:c r="F400" s="1"/>
      <x:c r="G400" s="1"/>
    </x:row>
    <x:row r="401">
      <x:c r="A401" s="1"/>
      <x:c r="B401" s="1"/>
      <x:c r="D401" s="1"/>
      <x:c r="F401" s="1"/>
      <x:c r="G401" s="1"/>
    </x:row>
    <x:row r="402">
      <x:c r="A402" s="1"/>
      <x:c r="B402" s="1"/>
      <x:c r="D402" s="1"/>
      <x:c r="F402" s="1"/>
      <x:c r="G402" s="1"/>
    </x:row>
    <x:row r="403">
      <x:c r="A403" s="1"/>
      <x:c r="B403" s="1"/>
      <x:c r="D403" s="1"/>
      <x:c r="F403" s="1"/>
      <x:c r="G403" s="1"/>
    </x:row>
    <x:row r="404">
      <x:c r="A404" s="1"/>
      <x:c r="B404" s="1"/>
      <x:c r="D404" s="1"/>
      <x:c r="F404" s="1"/>
      <x:c r="G404" s="1"/>
    </x:row>
    <x:row r="405">
      <x:c r="A405" s="1"/>
      <x:c r="B405" s="1"/>
      <x:c r="D405" s="1"/>
      <x:c r="F405" s="1"/>
      <x:c r="G405" s="1"/>
    </x:row>
    <x:row r="406">
      <x:c r="A406" s="1"/>
      <x:c r="B406" s="1"/>
      <x:c r="D406" s="1"/>
      <x:c r="F406" s="1"/>
      <x:c r="G406" s="1"/>
    </x:row>
    <x:row r="407">
      <x:c r="A407" s="1"/>
      <x:c r="B407" s="1"/>
      <x:c r="D407" s="1"/>
      <x:c r="F407" s="1"/>
      <x:c r="G407" s="1"/>
    </x:row>
    <x:row r="408">
      <x:c r="A408" s="1"/>
      <x:c r="B408" s="1"/>
      <x:c r="D408" s="1"/>
      <x:c r="F408" s="1"/>
      <x:c r="G408" s="1"/>
    </x:row>
    <x:row r="409">
      <x:c r="A409" s="1"/>
      <x:c r="B409" s="1"/>
      <x:c r="D409" s="1"/>
      <x:c r="F409" s="1"/>
      <x:c r="G409" s="1"/>
    </x:row>
    <x:row r="410">
      <x:c r="A410" s="1"/>
      <x:c r="B410" s="1"/>
      <x:c r="D410" s="1"/>
      <x:c r="F410" s="1"/>
      <x:c r="G410" s="1"/>
    </x:row>
    <x:row r="411">
      <x:c r="A411" s="1"/>
      <x:c r="B411" s="1"/>
      <x:c r="D411" s="1"/>
      <x:c r="F411" s="1"/>
      <x:c r="G411" s="1"/>
    </x:row>
    <x:row r="412">
      <x:c r="A412" s="1"/>
      <x:c r="B412" s="1"/>
      <x:c r="D412" s="1"/>
      <x:c r="F412" s="1"/>
      <x:c r="G412" s="1"/>
    </x:row>
    <x:row r="413">
      <x:c r="A413" s="1"/>
      <x:c r="B413" s="1"/>
      <x:c r="D413" s="1"/>
      <x:c r="F413" s="1"/>
      <x:c r="G413" s="1"/>
    </x:row>
    <x:row r="414">
      <x:c r="A414" s="1"/>
      <x:c r="B414" s="1"/>
      <x:c r="D414" s="1"/>
      <x:c r="F414" s="1"/>
      <x:c r="G414" s="1"/>
    </x:row>
    <x:row r="415">
      <x:c r="A415" s="1"/>
      <x:c r="B415" s="1"/>
      <x:c r="D415" s="1"/>
      <x:c r="F415" s="1"/>
      <x:c r="G415" s="1"/>
    </x:row>
    <x:row r="416">
      <x:c r="A416" s="1"/>
      <x:c r="B416" s="1"/>
      <x:c r="D416" s="1"/>
      <x:c r="F416" s="1"/>
      <x:c r="G416" s="1"/>
    </x:row>
    <x:row r="417">
      <x:c r="A417" s="1"/>
      <x:c r="B417" s="1"/>
      <x:c r="D417" s="1"/>
      <x:c r="F417" s="1"/>
      <x:c r="G417" s="1"/>
    </x:row>
    <x:row r="418">
      <x:c r="A418" s="1"/>
      <x:c r="B418" s="1"/>
      <x:c r="D418" s="1"/>
      <x:c r="F418" s="1"/>
      <x:c r="G418" s="1"/>
    </x:row>
    <x:row r="419">
      <x:c r="A419" s="1"/>
      <x:c r="B419" s="1"/>
      <x:c r="D419" s="1"/>
      <x:c r="F419" s="1"/>
      <x:c r="G419" s="1"/>
    </x:row>
    <x:row r="420">
      <x:c r="A420" s="1"/>
      <x:c r="B420" s="1"/>
      <x:c r="D420" s="1"/>
      <x:c r="F420" s="1"/>
      <x:c r="G420" s="1"/>
    </x:row>
    <x:row r="421">
      <x:c r="A421" s="1"/>
      <x:c r="B421" s="1"/>
      <x:c r="D421" s="1"/>
      <x:c r="F421" s="1"/>
      <x:c r="G421" s="1"/>
    </x:row>
    <x:row r="422">
      <x:c r="A422" s="1"/>
      <x:c r="B422" s="1"/>
      <x:c r="D422" s="1"/>
      <x:c r="F422" s="1"/>
      <x:c r="G422" s="1"/>
    </x:row>
    <x:row r="423">
      <x:c r="A423" s="1"/>
      <x:c r="B423" s="1"/>
      <x:c r="D423" s="1"/>
      <x:c r="F423" s="1"/>
      <x:c r="G423" s="1"/>
    </x:row>
    <x:row r="424">
      <x:c r="A424" s="1"/>
      <x:c r="B424" s="1"/>
      <x:c r="D424" s="1"/>
      <x:c r="F424" s="1"/>
      <x:c r="G424" s="1"/>
    </x:row>
    <x:row r="425">
      <x:c r="A425" s="1"/>
      <x:c r="B425" s="1"/>
      <x:c r="D425" s="1"/>
      <x:c r="F425" s="1"/>
      <x:c r="G425" s="1"/>
    </x:row>
    <x:row r="426">
      <x:c r="A426" s="1"/>
      <x:c r="B426" s="1"/>
      <x:c r="D426" s="1"/>
      <x:c r="F426" s="1"/>
      <x:c r="G426" s="1"/>
    </x:row>
    <x:row r="427">
      <x:c r="A427" s="1"/>
      <x:c r="B427" s="1"/>
      <x:c r="D427" s="1"/>
      <x:c r="F427" s="1"/>
      <x:c r="G427" s="1"/>
    </x:row>
    <x:row r="428">
      <x:c r="A428" s="1"/>
      <x:c r="B428" s="1"/>
      <x:c r="D428" s="1"/>
      <x:c r="F428" s="1"/>
      <x:c r="G428" s="1"/>
    </x:row>
    <x:row r="429">
      <x:c r="A429" s="1"/>
      <x:c r="B429" s="1"/>
      <x:c r="D429" s="1"/>
      <x:c r="F429" s="1"/>
      <x:c r="G429" s="1"/>
    </x:row>
    <x:row r="430">
      <x:c r="A430" s="1"/>
      <x:c r="B430" s="1"/>
      <x:c r="D430" s="1"/>
      <x:c r="F430" s="1"/>
      <x:c r="G430" s="1"/>
    </x:row>
    <x:row r="431">
      <x:c r="A431" s="1"/>
      <x:c r="B431" s="1"/>
      <x:c r="D431" s="1"/>
      <x:c r="F431" s="1"/>
      <x:c r="G431" s="1"/>
    </x:row>
    <x:row r="432">
      <x:c r="A432" s="1"/>
      <x:c r="B432" s="1"/>
      <x:c r="D432" s="1"/>
      <x:c r="F432" s="1"/>
      <x:c r="G432" s="1"/>
    </x:row>
    <x:row r="433">
      <x:c r="A433" s="1"/>
      <x:c r="B433" s="1"/>
      <x:c r="D433" s="1"/>
      <x:c r="F433" s="1"/>
      <x:c r="G433" s="1"/>
    </x:row>
    <x:row r="434">
      <x:c r="A434" s="1"/>
      <x:c r="B434" s="1"/>
      <x:c r="D434" s="1"/>
      <x:c r="F434" s="1"/>
      <x:c r="G434" s="1"/>
    </x:row>
    <x:row r="435">
      <x:c r="A435" s="1"/>
      <x:c r="B435" s="1"/>
      <x:c r="D435" s="1"/>
      <x:c r="F435" s="1"/>
      <x:c r="G435" s="1"/>
    </x:row>
    <x:row r="436">
      <x:c r="A436" s="1"/>
      <x:c r="B436" s="1"/>
      <x:c r="D436" s="1"/>
      <x:c r="F436" s="1"/>
      <x:c r="G436" s="1"/>
    </x:row>
    <x:row r="437">
      <x:c r="A437" s="1"/>
      <x:c r="B437" s="1"/>
      <x:c r="D437" s="1"/>
      <x:c r="F437" s="1"/>
      <x:c r="G437" s="1"/>
    </x:row>
    <x:row r="438">
      <x:c r="A438" s="1"/>
      <x:c r="B438" s="1"/>
      <x:c r="D438" s="1"/>
      <x:c r="F438" s="1"/>
      <x:c r="G438" s="1"/>
    </x:row>
    <x:row r="439">
      <x:c r="A439" s="1"/>
      <x:c r="B439" s="1"/>
      <x:c r="D439" s="1"/>
      <x:c r="F439" s="1"/>
      <x:c r="G439" s="1"/>
    </x:row>
    <x:row r="440">
      <x:c r="A440" s="1"/>
      <x:c r="B440" s="1"/>
      <x:c r="D440" s="1"/>
      <x:c r="F440" s="1"/>
      <x:c r="G440" s="1"/>
    </x:row>
    <x:row r="441">
      <x:c r="A441" s="1"/>
      <x:c r="B441" s="1"/>
      <x:c r="D441" s="1"/>
      <x:c r="F441" s="1"/>
      <x:c r="G441" s="1"/>
    </x:row>
    <x:row r="442">
      <x:c r="A442" s="1"/>
      <x:c r="B442" s="1"/>
      <x:c r="D442" s="1"/>
      <x:c r="F442" s="1"/>
      <x:c r="G442" s="1"/>
    </x:row>
    <x:row r="443">
      <x:c r="A443" s="1"/>
      <x:c r="B443" s="1"/>
      <x:c r="D443" s="1"/>
      <x:c r="F443" s="1"/>
      <x:c r="G443" s="1"/>
    </x:row>
    <x:row r="444">
      <x:c r="A444" s="1"/>
      <x:c r="B444" s="1"/>
      <x:c r="D444" s="1"/>
      <x:c r="F444" s="1"/>
      <x:c r="G444" s="1"/>
    </x:row>
    <x:row r="445">
      <x:c r="A445" s="1"/>
      <x:c r="B445" s="1"/>
      <x:c r="D445" s="1"/>
      <x:c r="F445" s="1"/>
      <x:c r="G445" s="1"/>
    </x:row>
    <x:row r="446">
      <x:c r="A446" s="1"/>
      <x:c r="B446" s="1"/>
      <x:c r="D446" s="1"/>
      <x:c r="F446" s="1"/>
      <x:c r="G446" s="1"/>
    </x:row>
    <x:row r="447">
      <x:c r="A447" s="1"/>
      <x:c r="B447" s="1"/>
      <x:c r="D447" s="1"/>
      <x:c r="F447" s="1"/>
      <x:c r="G447" s="1"/>
    </x:row>
    <x:row r="448">
      <x:c r="A448" s="1"/>
      <x:c r="B448" s="1"/>
      <x:c r="D448" s="1"/>
      <x:c r="F448" s="1"/>
      <x:c r="G448" s="1"/>
    </x:row>
    <x:row r="449">
      <x:c r="A449" s="1"/>
      <x:c r="B449" s="1"/>
      <x:c r="D449" s="1"/>
      <x:c r="F449" s="1"/>
      <x:c r="G449" s="1"/>
    </x:row>
    <x:row r="450">
      <x:c r="A450" s="1"/>
      <x:c r="B450" s="1"/>
      <x:c r="D450" s="1"/>
      <x:c r="F450" s="1"/>
      <x:c r="G450" s="1"/>
    </x:row>
    <x:row r="451">
      <x:c r="A451" s="1"/>
      <x:c r="B451" s="1"/>
      <x:c r="D451" s="1"/>
      <x:c r="F451" s="1"/>
      <x:c r="G451" s="1"/>
    </x:row>
    <x:row r="452">
      <x:c r="A452" s="1"/>
      <x:c r="B452" s="1"/>
      <x:c r="D452" s="1"/>
      <x:c r="F452" s="1"/>
      <x:c r="G452" s="1"/>
    </x:row>
    <x:row r="453">
      <x:c r="A453" s="1"/>
      <x:c r="B453" s="1"/>
      <x:c r="D453" s="1"/>
      <x:c r="F453" s="1"/>
      <x:c r="G453" s="1"/>
    </x:row>
    <x:row r="454">
      <x:c r="A454" s="1"/>
      <x:c r="B454" s="1"/>
      <x:c r="D454" s="1"/>
      <x:c r="F454" s="1"/>
      <x:c r="G454" s="1"/>
    </x:row>
    <x:row r="455">
      <x:c r="A455" s="1"/>
      <x:c r="B455" s="1"/>
      <x:c r="D455" s="1"/>
      <x:c r="F455" s="1"/>
      <x:c r="G455" s="1"/>
    </x:row>
    <x:row r="456">
      <x:c r="A456" s="1"/>
      <x:c r="B456" s="1"/>
      <x:c r="D456" s="1"/>
      <x:c r="F456" s="1"/>
      <x:c r="G456" s="1"/>
    </x:row>
    <x:row r="457">
      <x:c r="A457" s="1"/>
      <x:c r="B457" s="1"/>
      <x:c r="D457" s="1"/>
      <x:c r="F457" s="1"/>
      <x:c r="G457" s="1"/>
    </x:row>
    <x:row r="458">
      <x:c r="A458" s="1"/>
      <x:c r="B458" s="1"/>
      <x:c r="D458" s="1"/>
      <x:c r="F458" s="1"/>
      <x:c r="G458" s="1"/>
    </x:row>
    <x:row r="459">
      <x:c r="A459" s="1"/>
      <x:c r="B459" s="1"/>
      <x:c r="D459" s="1"/>
      <x:c r="F459" s="1"/>
      <x:c r="G459" s="1"/>
    </x:row>
    <x:row r="460">
      <x:c r="A460" s="1"/>
      <x:c r="B460" s="1"/>
      <x:c r="D460" s="1"/>
      <x:c r="F460" s="1"/>
      <x:c r="G460" s="1"/>
    </x:row>
    <x:row r="461">
      <x:c r="A461" s="1"/>
      <x:c r="B461" s="1"/>
      <x:c r="D461" s="1"/>
      <x:c r="F461" s="1"/>
      <x:c r="G461" s="1"/>
    </x:row>
    <x:row r="462">
      <x:c r="A462" s="1"/>
      <x:c r="B462" s="1"/>
      <x:c r="D462" s="1"/>
      <x:c r="F462" s="1"/>
      <x:c r="G462" s="1"/>
    </x:row>
    <x:row r="463">
      <x:c r="A463" s="1"/>
      <x:c r="B463" s="1"/>
      <x:c r="D463" s="1"/>
      <x:c r="F463" s="1"/>
      <x:c r="G463" s="1"/>
    </x:row>
    <x:row r="464">
      <x:c r="A464" s="1"/>
      <x:c r="B464" s="1"/>
      <x:c r="D464" s="1"/>
      <x:c r="F464" s="1"/>
      <x:c r="G464" s="1"/>
    </x:row>
    <x:row r="465">
      <x:c r="A465" s="1"/>
      <x:c r="B465" s="1"/>
      <x:c r="D465" s="1"/>
      <x:c r="F465" s="1"/>
      <x:c r="G465" s="1"/>
    </x:row>
    <x:row r="466">
      <x:c r="A466" s="1"/>
      <x:c r="B466" s="1"/>
      <x:c r="D466" s="1"/>
      <x:c r="F466" s="1"/>
      <x:c r="G466" s="1"/>
    </x:row>
    <x:row r="467">
      <x:c r="A467" s="1"/>
      <x:c r="B467" s="1"/>
      <x:c r="D467" s="1"/>
      <x:c r="F467" s="1"/>
      <x:c r="G467" s="1"/>
    </x:row>
    <x:row r="468">
      <x:c r="A468" s="1"/>
      <x:c r="B468" s="1"/>
      <x:c r="D468" s="1"/>
      <x:c r="F468" s="1"/>
      <x:c r="G468" s="1"/>
    </x:row>
    <x:row r="469">
      <x:c r="A469" s="1"/>
      <x:c r="B469" s="1"/>
      <x:c r="D469" s="1"/>
      <x:c r="F469" s="1"/>
      <x:c r="G469" s="1"/>
    </x:row>
    <x:row r="470">
      <x:c r="A470" s="1"/>
      <x:c r="B470" s="1"/>
      <x:c r="D470" s="1"/>
      <x:c r="F470" s="1"/>
      <x:c r="G470" s="1"/>
    </x:row>
    <x:row r="471">
      <x:c r="A471" s="1"/>
      <x:c r="B471" s="1"/>
      <x:c r="D471" s="1"/>
      <x:c r="F471" s="1"/>
      <x:c r="G471" s="1"/>
    </x:row>
    <x:row r="472">
      <x:c r="A472" s="1"/>
      <x:c r="B472" s="1"/>
      <x:c r="D472" s="1"/>
      <x:c r="F472" s="1"/>
      <x:c r="G472" s="1"/>
    </x:row>
    <x:row r="473">
      <x:c r="A473" s="1"/>
      <x:c r="B473" s="1"/>
      <x:c r="D473" s="1"/>
      <x:c r="F473" s="1"/>
      <x:c r="G473" s="1"/>
    </x:row>
    <x:row r="474">
      <x:c r="A474" s="1"/>
      <x:c r="B474" s="1"/>
      <x:c r="D474" s="1"/>
      <x:c r="F474" s="1"/>
      <x:c r="G474" s="1"/>
    </x:row>
    <x:row r="475">
      <x:c r="A475" s="1"/>
      <x:c r="B475" s="1"/>
      <x:c r="D475" s="1"/>
      <x:c r="F475" s="1"/>
      <x:c r="G475" s="1"/>
    </x:row>
    <x:row r="476">
      <x:c r="A476" s="1"/>
      <x:c r="B476" s="1"/>
      <x:c r="D476" s="1"/>
      <x:c r="F476" s="1"/>
      <x:c r="G476" s="1"/>
    </x:row>
    <x:row r="477">
      <x:c r="A477" s="1"/>
      <x:c r="B477" s="1"/>
      <x:c r="D477" s="1"/>
      <x:c r="F477" s="1"/>
      <x:c r="G477" s="1"/>
    </x:row>
    <x:row r="478">
      <x:c r="A478" s="1"/>
      <x:c r="B478" s="1"/>
      <x:c r="D478" s="1"/>
      <x:c r="F478" s="1"/>
      <x:c r="G478" s="1"/>
    </x:row>
    <x:row r="479">
      <x:c r="A479" s="1"/>
      <x:c r="B479" s="1"/>
      <x:c r="D479" s="1"/>
      <x:c r="F479" s="1"/>
      <x:c r="G479" s="1"/>
    </x:row>
    <x:row r="480">
      <x:c r="A480" s="1"/>
      <x:c r="B480" s="1"/>
      <x:c r="D480" s="1"/>
      <x:c r="F480" s="1"/>
      <x:c r="G480" s="1"/>
    </x:row>
    <x:row r="481">
      <x:c r="A481" s="1"/>
      <x:c r="B481" s="1"/>
      <x:c r="D481" s="1"/>
      <x:c r="F481" s="1"/>
      <x:c r="G481" s="1"/>
    </x:row>
    <x:row r="482">
      <x:c r="A482" s="1"/>
      <x:c r="B482" s="1"/>
      <x:c r="D482" s="1"/>
      <x:c r="F482" s="1"/>
      <x:c r="G482" s="1"/>
    </x:row>
    <x:row r="483">
      <x:c r="A483" s="1"/>
      <x:c r="B483" s="1"/>
      <x:c r="D483" s="1"/>
      <x:c r="F483" s="1"/>
      <x:c r="G483" s="1"/>
    </x:row>
    <x:row r="484">
      <x:c r="A484" s="1"/>
      <x:c r="B484" s="1"/>
      <x:c r="D484" s="1"/>
      <x:c r="F484" s="1"/>
      <x:c r="G484" s="1"/>
    </x:row>
    <x:row r="485">
      <x:c r="A485" s="1"/>
      <x:c r="B485" s="1"/>
      <x:c r="D485" s="1"/>
      <x:c r="F485" s="1"/>
      <x:c r="G485" s="1"/>
    </x:row>
    <x:row r="486">
      <x:c r="A486" s="1"/>
      <x:c r="B486" s="1"/>
      <x:c r="D486" s="1"/>
      <x:c r="F486" s="1"/>
      <x:c r="G486" s="1"/>
    </x:row>
    <x:row r="487">
      <x:c r="A487" s="1"/>
      <x:c r="B487" s="1"/>
      <x:c r="D487" s="1"/>
      <x:c r="F487" s="1"/>
      <x:c r="G487" s="1"/>
    </x:row>
    <x:row r="488">
      <x:c r="A488" s="1"/>
      <x:c r="B488" s="1"/>
      <x:c r="D488" s="1"/>
      <x:c r="F488" s="1"/>
      <x:c r="G488" s="1"/>
    </x:row>
    <x:row r="489">
      <x:c r="A489" s="1"/>
      <x:c r="B489" s="1"/>
      <x:c r="D489" s="1"/>
      <x:c r="F489" s="1"/>
      <x:c r="G489" s="1"/>
    </x:row>
    <x:row r="490">
      <x:c r="A490" s="1"/>
      <x:c r="B490" s="1"/>
      <x:c r="D490" s="1"/>
      <x:c r="F490" s="1"/>
      <x:c r="G490" s="1"/>
    </x:row>
    <x:row r="491">
      <x:c r="A491" s="1"/>
      <x:c r="B491" s="1"/>
      <x:c r="D491" s="1"/>
      <x:c r="F491" s="1"/>
      <x:c r="G491" s="1"/>
    </x:row>
    <x:row r="492">
      <x:c r="A492" s="1"/>
      <x:c r="B492" s="1"/>
      <x:c r="D492" s="1"/>
      <x:c r="F492" s="1"/>
      <x:c r="G492" s="1"/>
    </x:row>
    <x:row r="493">
      <x:c r="A493" s="1"/>
      <x:c r="B493" s="1"/>
      <x:c r="D493" s="1"/>
      <x:c r="F493" s="1"/>
      <x:c r="G493" s="1"/>
    </x:row>
    <x:row r="494">
      <x:c r="A494" s="1"/>
      <x:c r="B494" s="1"/>
      <x:c r="D494" s="1"/>
      <x:c r="F494" s="1"/>
      <x:c r="G494" s="1"/>
    </x:row>
    <x:row r="495">
      <x:c r="A495" s="1"/>
      <x:c r="B495" s="1"/>
      <x:c r="D495" s="1"/>
      <x:c r="F495" s="1"/>
      <x:c r="G495" s="1"/>
    </x:row>
    <x:row r="496">
      <x:c r="A496" s="1"/>
      <x:c r="B496" s="1"/>
      <x:c r="D496" s="1"/>
      <x:c r="F496" s="1"/>
      <x:c r="G496" s="1"/>
    </x:row>
    <x:row r="497">
      <x:c r="A497" s="1"/>
      <x:c r="B497" s="1"/>
      <x:c r="D497" s="1"/>
      <x:c r="F497" s="1"/>
      <x:c r="G497" s="1"/>
    </x:row>
    <x:row r="498">
      <x:c r="A498" s="1"/>
      <x:c r="B498" s="1"/>
      <x:c r="D498" s="1"/>
      <x:c r="F498" s="1"/>
      <x:c r="G498" s="1"/>
    </x:row>
    <x:row r="499">
      <x:c r="A499" s="1"/>
      <x:c r="B499" s="1"/>
      <x:c r="D499" s="1"/>
      <x:c r="F499" s="1"/>
      <x:c r="G499" s="1"/>
    </x:row>
    <x:row r="500">
      <x:c r="A500" s="1"/>
      <x:c r="B500" s="1"/>
      <x:c r="D500" s="1"/>
      <x:c r="F500" s="1"/>
      <x:c r="G500" s="1"/>
    </x:row>
    <x:row r="501">
      <x:c r="A501" s="1"/>
      <x:c r="B501" s="1"/>
      <x:c r="D501" s="1"/>
      <x:c r="F501" s="1"/>
      <x:c r="G501" s="1"/>
    </x:row>
    <x:row r="502">
      <x:c r="A502" s="1"/>
      <x:c r="B502" s="1"/>
      <x:c r="D502" s="1"/>
      <x:c r="F502" s="1"/>
      <x:c r="G502" s="1"/>
    </x:row>
    <x:row r="503">
      <x:c r="A503" s="1"/>
      <x:c r="B503" s="1"/>
      <x:c r="D503" s="1"/>
      <x:c r="F503" s="1"/>
      <x:c r="G503" s="1"/>
    </x:row>
    <x:row r="504">
      <x:c r="A504" s="1"/>
      <x:c r="B504" s="1"/>
      <x:c r="D504" s="1"/>
      <x:c r="F504" s="1"/>
      <x:c r="G504" s="1"/>
    </x:row>
    <x:row r="505">
      <x:c r="A505" s="1"/>
      <x:c r="B505" s="1"/>
      <x:c r="D505" s="1"/>
      <x:c r="F505" s="1"/>
      <x:c r="G505" s="1"/>
    </x:row>
    <x:row r="506">
      <x:c r="A506" s="1"/>
      <x:c r="B506" s="1"/>
      <x:c r="D506" s="1"/>
      <x:c r="F506" s="1"/>
      <x:c r="G506" s="1"/>
    </x:row>
    <x:row r="507">
      <x:c r="A507" s="1"/>
      <x:c r="B507" s="1"/>
      <x:c r="D507" s="1"/>
      <x:c r="F507" s="1"/>
      <x:c r="G507" s="1"/>
    </x:row>
    <x:row r="508">
      <x:c r="A508" s="1"/>
      <x:c r="B508" s="1"/>
      <x:c r="D508" s="1"/>
      <x:c r="F508" s="1"/>
      <x:c r="G508" s="1"/>
    </x:row>
    <x:row r="509">
      <x:c r="A509" s="1"/>
      <x:c r="B509" s="1"/>
      <x:c r="D509" s="1"/>
      <x:c r="F509" s="1"/>
      <x:c r="G509" s="1"/>
    </x:row>
    <x:row r="510">
      <x:c r="A510" s="1"/>
      <x:c r="B510" s="1"/>
      <x:c r="D510" s="1"/>
      <x:c r="F510" s="1"/>
      <x:c r="G510" s="1"/>
    </x:row>
    <x:row r="511">
      <x:c r="A511" s="1"/>
      <x:c r="B511" s="1"/>
      <x:c r="D511" s="1"/>
      <x:c r="F511" s="1"/>
      <x:c r="G511" s="1"/>
    </x:row>
    <x:row r="512">
      <x:c r="A512" s="1"/>
      <x:c r="B512" s="1"/>
      <x:c r="D512" s="1"/>
      <x:c r="F512" s="1"/>
      <x:c r="G512" s="1"/>
    </x:row>
    <x:row r="513">
      <x:c r="A513" s="1"/>
      <x:c r="B513" s="1"/>
      <x:c r="D513" s="1"/>
      <x:c r="F513" s="1"/>
      <x:c r="G513" s="1"/>
    </x:row>
    <x:row r="514">
      <x:c r="A514" s="1"/>
      <x:c r="B514" s="1"/>
      <x:c r="D514" s="1"/>
      <x:c r="F514" s="1"/>
      <x:c r="G514" s="1"/>
    </x:row>
    <x:row r="515">
      <x:c r="A515" s="1"/>
      <x:c r="B515" s="1"/>
      <x:c r="D515" s="1"/>
      <x:c r="F515" s="1"/>
      <x:c r="G515" s="1"/>
    </x:row>
    <x:row r="516">
      <x:c r="A516" s="1"/>
      <x:c r="B516" s="1"/>
      <x:c r="D516" s="1"/>
      <x:c r="F516" s="1"/>
      <x:c r="G516" s="1"/>
    </x:row>
    <x:row r="517">
      <x:c r="A517" s="1"/>
      <x:c r="B517" s="1"/>
      <x:c r="D517" s="1"/>
      <x:c r="F517" s="1"/>
      <x:c r="G517" s="1"/>
    </x:row>
    <x:row r="518">
      <x:c r="A518" s="1"/>
      <x:c r="B518" s="1"/>
      <x:c r="D518" s="1"/>
      <x:c r="F518" s="1"/>
      <x:c r="G518" s="1"/>
    </x:row>
    <x:row r="519">
      <x:c r="A519" s="1"/>
      <x:c r="B519" s="1"/>
      <x:c r="D519" s="1"/>
      <x:c r="F519" s="1"/>
      <x:c r="G519" s="1"/>
    </x:row>
    <x:row r="520">
      <x:c r="A520" s="1"/>
      <x:c r="B520" s="1"/>
      <x:c r="D520" s="1"/>
      <x:c r="F520" s="1"/>
      <x:c r="G520" s="1"/>
    </x:row>
    <x:row r="521">
      <x:c r="A521" s="1"/>
      <x:c r="B521" s="1"/>
      <x:c r="D521" s="1"/>
      <x:c r="F521" s="1"/>
      <x:c r="G521" s="1"/>
    </x:row>
    <x:row r="522">
      <x:c r="A522" s="1"/>
      <x:c r="B522" s="1"/>
      <x:c r="D522" s="1"/>
      <x:c r="F522" s="1"/>
      <x:c r="G522" s="1"/>
    </x:row>
    <x:row r="523">
      <x:c r="A523" s="1"/>
      <x:c r="B523" s="1"/>
      <x:c r="D523" s="1"/>
      <x:c r="F523" s="1"/>
      <x:c r="G523" s="1"/>
    </x:row>
    <x:row r="524">
      <x:c r="A524" s="1"/>
      <x:c r="B524" s="1"/>
      <x:c r="D524" s="1"/>
      <x:c r="F524" s="1"/>
      <x:c r="G524" s="1"/>
    </x:row>
    <x:row r="525">
      <x:c r="A525" s="1"/>
      <x:c r="B525" s="1"/>
      <x:c r="D525" s="1"/>
      <x:c r="F525" s="1"/>
      <x:c r="G525" s="1"/>
    </x:row>
    <x:row r="526">
      <x:c r="A526" s="1"/>
      <x:c r="B526" s="1"/>
      <x:c r="D526" s="1"/>
      <x:c r="F526" s="1"/>
      <x:c r="G526" s="1"/>
    </x:row>
    <x:row r="527">
      <x:c r="A527" s="1"/>
      <x:c r="B527" s="1"/>
      <x:c r="D527" s="1"/>
      <x:c r="F527" s="1"/>
      <x:c r="G527" s="1"/>
    </x:row>
    <x:row r="528">
      <x:c r="A528" s="1"/>
      <x:c r="B528" s="1"/>
      <x:c r="D528" s="1"/>
      <x:c r="F528" s="1"/>
      <x:c r="G528" s="1"/>
    </x:row>
    <x:row r="529">
      <x:c r="A529" s="1"/>
      <x:c r="B529" s="1"/>
      <x:c r="D529" s="1"/>
      <x:c r="F529" s="1"/>
      <x:c r="G529" s="1"/>
    </x:row>
    <x:row r="530">
      <x:c r="A530" s="1"/>
      <x:c r="B530" s="1"/>
      <x:c r="D530" s="1"/>
      <x:c r="F530" s="1"/>
      <x:c r="G530" s="1"/>
    </x:row>
    <x:row r="531">
      <x:c r="A531" s="1"/>
      <x:c r="B531" s="1"/>
      <x:c r="D531" s="1"/>
      <x:c r="F531" s="1"/>
      <x:c r="G531" s="1"/>
    </x:row>
    <x:row r="532">
      <x:c r="A532" s="1"/>
      <x:c r="B532" s="1"/>
      <x:c r="D532" s="1"/>
      <x:c r="F532" s="1"/>
      <x:c r="G532" s="1"/>
    </x:row>
    <x:row r="533">
      <x:c r="A533" s="1"/>
      <x:c r="B533" s="1"/>
      <x:c r="D533" s="1"/>
      <x:c r="F533" s="1"/>
      <x:c r="G533" s="1"/>
    </x:row>
    <x:row r="534">
      <x:c r="A534" s="1"/>
      <x:c r="B534" s="1"/>
      <x:c r="D534" s="1"/>
      <x:c r="F534" s="1"/>
      <x:c r="G534" s="1"/>
    </x:row>
    <x:row r="535">
      <x:c r="A535" s="1"/>
      <x:c r="B535" s="1"/>
      <x:c r="D535" s="1"/>
      <x:c r="F535" s="1"/>
      <x:c r="G535" s="1"/>
    </x:row>
    <x:row r="536">
      <x:c r="A536" s="1"/>
      <x:c r="B536" s="1"/>
      <x:c r="D536" s="1"/>
      <x:c r="F536" s="1"/>
      <x:c r="G536" s="1"/>
    </x:row>
    <x:row r="537">
      <x:c r="A537" s="1"/>
      <x:c r="B537" s="1"/>
      <x:c r="D537" s="1"/>
      <x:c r="F537" s="1"/>
      <x:c r="G537" s="1"/>
    </x:row>
    <x:row r="538">
      <x:c r="A538" s="1"/>
      <x:c r="B538" s="1"/>
      <x:c r="D538" s="1"/>
      <x:c r="F538" s="1"/>
      <x:c r="G538" s="1"/>
    </x:row>
    <x:row r="539">
      <x:c r="A539" s="1"/>
      <x:c r="B539" s="1"/>
      <x:c r="D539" s="1"/>
      <x:c r="F539" s="1"/>
      <x:c r="G539" s="1"/>
    </x:row>
    <x:row r="540">
      <x:c r="A540" s="1"/>
      <x:c r="B540" s="1"/>
      <x:c r="D540" s="1"/>
      <x:c r="F540" s="1"/>
      <x:c r="G540" s="1"/>
    </x:row>
    <x:row r="541">
      <x:c r="A541" s="1"/>
      <x:c r="B541" s="1"/>
      <x:c r="D541" s="1"/>
      <x:c r="F541" s="1"/>
      <x:c r="G541" s="1"/>
    </x:row>
    <x:row r="542">
      <x:c r="A542" s="1"/>
      <x:c r="B542" s="1"/>
      <x:c r="D542" s="1"/>
      <x:c r="F542" s="1"/>
      <x:c r="G542" s="1"/>
    </x:row>
    <x:row r="543">
      <x:c r="A543" s="1"/>
      <x:c r="B543" s="1"/>
      <x:c r="D543" s="1"/>
      <x:c r="F543" s="1"/>
      <x:c r="G543" s="1"/>
    </x:row>
    <x:row r="544">
      <x:c r="A544" s="1"/>
      <x:c r="B544" s="1"/>
      <x:c r="D544" s="1"/>
      <x:c r="F544" s="1"/>
      <x:c r="G544" s="1"/>
    </x:row>
    <x:row r="545">
      <x:c r="A545" s="1"/>
      <x:c r="B545" s="1"/>
      <x:c r="D545" s="1"/>
      <x:c r="F545" s="1"/>
      <x:c r="G545" s="1"/>
    </x:row>
    <x:row r="546">
      <x:c r="A546" s="1"/>
      <x:c r="B546" s="1"/>
      <x:c r="D546" s="1"/>
      <x:c r="F546" s="1"/>
      <x:c r="G546" s="1"/>
    </x:row>
    <x:row r="547">
      <x:c r="A547" s="1"/>
      <x:c r="B547" s="1"/>
      <x:c r="D547" s="1"/>
      <x:c r="F547" s="1"/>
      <x:c r="G547" s="1"/>
    </x:row>
    <x:row r="548">
      <x:c r="A548" s="1"/>
      <x:c r="B548" s="1"/>
      <x:c r="D548" s="1"/>
      <x:c r="F548" s="1"/>
      <x:c r="G548" s="1"/>
    </x:row>
    <x:row r="549">
      <x:c r="A549" s="1"/>
      <x:c r="B549" s="1"/>
      <x:c r="D549" s="1"/>
      <x:c r="F549" s="1"/>
      <x:c r="G549" s="1"/>
    </x:row>
    <x:row r="550">
      <x:c r="A550" s="1"/>
      <x:c r="B550" s="1"/>
      <x:c r="D550" s="1"/>
      <x:c r="F550" s="1"/>
      <x:c r="G550" s="1"/>
    </x:row>
    <x:row r="551">
      <x:c r="A551" s="1"/>
      <x:c r="B551" s="1"/>
      <x:c r="D551" s="1"/>
      <x:c r="F551" s="1"/>
      <x:c r="G551" s="1"/>
    </x:row>
    <x:row r="552">
      <x:c r="A552" s="1"/>
      <x:c r="B552" s="1"/>
      <x:c r="D552" s="1"/>
      <x:c r="F552" s="1"/>
      <x:c r="G552" s="1"/>
    </x:row>
    <x:row r="553">
      <x:c r="A553" s="1"/>
      <x:c r="B553" s="1"/>
      <x:c r="D553" s="1"/>
      <x:c r="F553" s="1"/>
      <x:c r="G553" s="1"/>
    </x:row>
    <x:row r="554">
      <x:c r="A554" s="1"/>
      <x:c r="B554" s="1"/>
      <x:c r="D554" s="1"/>
      <x:c r="F554" s="1"/>
      <x:c r="G554" s="1"/>
    </x:row>
    <x:row r="555">
      <x:c r="A555" s="1"/>
      <x:c r="B555" s="1"/>
      <x:c r="D555" s="1"/>
      <x:c r="F555" s="1"/>
      <x:c r="G555" s="1"/>
    </x:row>
    <x:row r="556">
      <x:c r="A556" s="1"/>
      <x:c r="B556" s="1"/>
      <x:c r="D556" s="1"/>
      <x:c r="F556" s="1"/>
      <x:c r="G556" s="1"/>
    </x:row>
    <x:row r="557">
      <x:c r="A557" s="1"/>
      <x:c r="B557" s="1"/>
      <x:c r="D557" s="1"/>
      <x:c r="F557" s="1"/>
      <x:c r="G557" s="1"/>
    </x:row>
    <x:row r="558">
      <x:c r="A558" s="1"/>
      <x:c r="B558" s="1"/>
      <x:c r="D558" s="1"/>
      <x:c r="F558" s="1"/>
      <x:c r="G558" s="1"/>
    </x:row>
    <x:row r="559">
      <x:c r="A559" s="1"/>
      <x:c r="B559" s="1"/>
      <x:c r="D559" s="1"/>
      <x:c r="F559" s="1"/>
      <x:c r="G559" s="1"/>
    </x:row>
    <x:row r="560">
      <x:c r="A560" s="1"/>
      <x:c r="B560" s="1"/>
      <x:c r="D560" s="1"/>
      <x:c r="F560" s="1"/>
      <x:c r="G560" s="1"/>
    </x:row>
    <x:row r="561">
      <x:c r="A561" s="1"/>
      <x:c r="B561" s="1"/>
      <x:c r="D561" s="1"/>
      <x:c r="F561" s="1"/>
      <x:c r="G561" s="1"/>
    </x:row>
    <x:row r="562">
      <x:c r="A562" s="1"/>
      <x:c r="B562" s="1"/>
      <x:c r="D562" s="1"/>
      <x:c r="F562" s="1"/>
      <x:c r="G562" s="1"/>
    </x:row>
    <x:row r="563">
      <x:c r="A563" s="1"/>
      <x:c r="B563" s="1"/>
      <x:c r="D563" s="1"/>
      <x:c r="F563" s="1"/>
      <x:c r="G563" s="1"/>
    </x:row>
    <x:row r="564">
      <x:c r="A564" s="1"/>
      <x:c r="B564" s="1"/>
      <x:c r="D564" s="1"/>
      <x:c r="F564" s="1"/>
      <x:c r="G564" s="1"/>
    </x:row>
    <x:row r="565">
      <x:c r="A565" s="1"/>
      <x:c r="B565" s="1"/>
      <x:c r="D565" s="1"/>
      <x:c r="F565" s="1"/>
      <x:c r="G565" s="1"/>
    </x:row>
    <x:row r="566">
      <x:c r="A566" s="1"/>
      <x:c r="B566" s="1"/>
      <x:c r="D566" s="1"/>
      <x:c r="F566" s="1"/>
      <x:c r="G566" s="1"/>
    </x:row>
    <x:row r="567">
      <x:c r="A567" s="1"/>
      <x:c r="B567" s="1"/>
      <x:c r="D567" s="1"/>
      <x:c r="F567" s="1"/>
      <x:c r="G567" s="1"/>
    </x:row>
    <x:row r="568">
      <x:c r="A568" s="1"/>
      <x:c r="B568" s="1"/>
      <x:c r="D568" s="1"/>
      <x:c r="F568" s="1"/>
      <x:c r="G568" s="1"/>
    </x:row>
    <x:row r="569">
      <x:c r="A569" s="1"/>
      <x:c r="B569" s="1"/>
      <x:c r="D569" s="1"/>
      <x:c r="F569" s="1"/>
      <x:c r="G569" s="1"/>
    </x:row>
    <x:row r="570">
      <x:c r="A570" s="1"/>
      <x:c r="B570" s="1"/>
      <x:c r="D570" s="1"/>
      <x:c r="F570" s="1"/>
      <x:c r="G570" s="1"/>
    </x:row>
    <x:row r="571">
      <x:c r="A571" s="1"/>
      <x:c r="B571" s="1"/>
      <x:c r="D571" s="1"/>
      <x:c r="F571" s="1"/>
      <x:c r="G571" s="1"/>
    </x:row>
    <x:row r="572">
      <x:c r="A572" s="1"/>
      <x:c r="B572" s="1"/>
      <x:c r="D572" s="1"/>
      <x:c r="F572" s="1"/>
      <x:c r="G572" s="1"/>
    </x:row>
    <x:row r="573">
      <x:c r="A573" s="1"/>
      <x:c r="B573" s="1"/>
      <x:c r="D573" s="1"/>
      <x:c r="F573" s="1"/>
      <x:c r="G573" s="1"/>
    </x:row>
    <x:row r="574">
      <x:c r="A574" s="1"/>
      <x:c r="B574" s="1"/>
      <x:c r="D574" s="1"/>
      <x:c r="F574" s="1"/>
      <x:c r="G574" s="1"/>
    </x:row>
    <x:row r="575">
      <x:c r="A575" s="1"/>
      <x:c r="B575" s="1"/>
      <x:c r="D575" s="1"/>
      <x:c r="F575" s="1"/>
      <x:c r="G575" s="1"/>
    </x:row>
    <x:row r="576">
      <x:c r="A576" s="1"/>
      <x:c r="B576" s="1"/>
      <x:c r="D576" s="1"/>
      <x:c r="F576" s="1"/>
      <x:c r="G576" s="1"/>
    </x:row>
    <x:row r="577">
      <x:c r="A577" s="1"/>
      <x:c r="B577" s="1"/>
      <x:c r="D577" s="1"/>
      <x:c r="F577" s="1"/>
      <x:c r="G577" s="1"/>
    </x:row>
    <x:row r="578">
      <x:c r="A578" s="1"/>
      <x:c r="B578" s="1"/>
      <x:c r="D578" s="1"/>
      <x:c r="F578" s="1"/>
      <x:c r="G578" s="1"/>
    </x:row>
    <x:row r="579">
      <x:c r="A579" s="1"/>
      <x:c r="B579" s="1"/>
      <x:c r="D579" s="1"/>
      <x:c r="F579" s="1"/>
      <x:c r="G579" s="1"/>
    </x:row>
    <x:row r="580">
      <x:c r="A580" s="1"/>
      <x:c r="B580" s="1"/>
      <x:c r="D580" s="1"/>
      <x:c r="F580" s="1"/>
      <x:c r="G580" s="1"/>
    </x:row>
    <x:row r="581">
      <x:c r="A581" s="1"/>
      <x:c r="B581" s="1"/>
      <x:c r="D581" s="1"/>
      <x:c r="F581" s="1"/>
      <x:c r="G581" s="1"/>
    </x:row>
    <x:row r="582">
      <x:c r="A582" s="1"/>
      <x:c r="B582" s="1"/>
      <x:c r="D582" s="1"/>
      <x:c r="F582" s="1"/>
      <x:c r="G582" s="1"/>
    </x:row>
    <x:row r="583">
      <x:c r="A583" s="1"/>
      <x:c r="B583" s="1"/>
      <x:c r="D583" s="1"/>
      <x:c r="F583" s="1"/>
      <x:c r="G583" s="1"/>
    </x:row>
    <x:row r="584">
      <x:c r="A584" s="1"/>
      <x:c r="B584" s="1"/>
      <x:c r="D584" s="1"/>
      <x:c r="F584" s="1"/>
      <x:c r="G584" s="1"/>
    </x:row>
    <x:row r="585">
      <x:c r="A585" s="1"/>
      <x:c r="B585" s="1"/>
      <x:c r="D585" s="1"/>
      <x:c r="F585" s="1"/>
      <x:c r="G585" s="1"/>
    </x:row>
    <x:row r="586">
      <x:c r="A586" s="1"/>
      <x:c r="B586" s="1"/>
      <x:c r="D586" s="1"/>
      <x:c r="F586" s="1"/>
      <x:c r="G586" s="1"/>
    </x:row>
    <x:row r="587">
      <x:c r="A587" s="1"/>
      <x:c r="B587" s="1"/>
      <x:c r="D587" s="1"/>
      <x:c r="F587" s="1"/>
      <x:c r="G587" s="1"/>
    </x:row>
    <x:row r="588">
      <x:c r="A588" s="1"/>
      <x:c r="B588" s="1"/>
      <x:c r="D588" s="1"/>
      <x:c r="F588" s="1"/>
      <x:c r="G588" s="1"/>
    </x:row>
    <x:row r="589">
      <x:c r="A589" s="1"/>
      <x:c r="B589" s="1"/>
      <x:c r="D589" s="1"/>
      <x:c r="F589" s="1"/>
      <x:c r="G589" s="1"/>
    </x:row>
    <x:row r="590">
      <x:c r="A590" s="1"/>
      <x:c r="B590" s="1"/>
      <x:c r="D590" s="1"/>
      <x:c r="F590" s="1"/>
      <x:c r="G590" s="1"/>
    </x:row>
    <x:row r="591">
      <x:c r="A591" s="1"/>
      <x:c r="B591" s="1"/>
      <x:c r="D591" s="1"/>
      <x:c r="F591" s="1"/>
      <x:c r="G591" s="1"/>
    </x:row>
    <x:row r="592">
      <x:c r="A592" s="1"/>
      <x:c r="B592" s="1"/>
      <x:c r="D592" s="1"/>
      <x:c r="F592" s="1"/>
      <x:c r="G592" s="1"/>
    </x:row>
    <x:row r="593">
      <x:c r="A593" s="1"/>
      <x:c r="B593" s="1"/>
      <x:c r="D593" s="1"/>
      <x:c r="F593" s="1"/>
      <x:c r="G593" s="1"/>
    </x:row>
    <x:row r="594">
      <x:c r="A594" s="1"/>
      <x:c r="B594" s="1"/>
      <x:c r="D594" s="1"/>
      <x:c r="F594" s="1"/>
      <x:c r="G594" s="1"/>
    </x:row>
    <x:row r="595">
      <x:c r="A595" s="1"/>
      <x:c r="B595" s="1"/>
      <x:c r="D595" s="1"/>
      <x:c r="F595" s="1"/>
      <x:c r="G595" s="1"/>
    </x:row>
    <x:row r="596">
      <x:c r="A596" s="1"/>
      <x:c r="B596" s="1"/>
      <x:c r="D596" s="1"/>
      <x:c r="F596" s="1"/>
      <x:c r="G596" s="1"/>
    </x:row>
    <x:row r="597">
      <x:c r="A597" s="1"/>
      <x:c r="B597" s="1"/>
      <x:c r="D597" s="1"/>
      <x:c r="F597" s="1"/>
      <x:c r="G597" s="1"/>
    </x:row>
    <x:row r="598">
      <x:c r="A598" s="1"/>
      <x:c r="B598" s="1"/>
      <x:c r="D598" s="1"/>
      <x:c r="F598" s="1"/>
      <x:c r="G598" s="1"/>
    </x:row>
    <x:row r="599">
      <x:c r="A599" s="1"/>
      <x:c r="B599" s="1"/>
      <x:c r="D599" s="1"/>
      <x:c r="F599" s="1"/>
      <x:c r="G599" s="1"/>
    </x:row>
    <x:row r="600">
      <x:c r="A600" s="1"/>
      <x:c r="B600" s="1"/>
      <x:c r="D600" s="1"/>
      <x:c r="F600" s="1"/>
      <x:c r="G600" s="1"/>
    </x:row>
    <x:row r="601">
      <x:c r="A601" s="1"/>
      <x:c r="B601" s="1"/>
      <x:c r="D601" s="1"/>
      <x:c r="F601" s="1"/>
      <x:c r="G601" s="1"/>
    </x:row>
    <x:row r="602">
      <x:c r="A602" s="1"/>
      <x:c r="B602" s="1"/>
      <x:c r="D602" s="1"/>
      <x:c r="F602" s="1"/>
      <x:c r="G602" s="1"/>
    </x:row>
    <x:row r="603">
      <x:c r="A603" s="1"/>
      <x:c r="B603" s="1"/>
      <x:c r="D603" s="1"/>
      <x:c r="F603" s="1"/>
      <x:c r="G603" s="1"/>
    </x:row>
    <x:row r="604">
      <x:c r="A604" s="1"/>
      <x:c r="B604" s="1"/>
      <x:c r="D604" s="1"/>
      <x:c r="F604" s="1"/>
      <x:c r="G604" s="1"/>
    </x:row>
    <x:row r="605">
      <x:c r="A605" s="1"/>
      <x:c r="B605" s="1"/>
      <x:c r="D605" s="1"/>
      <x:c r="F605" s="1"/>
      <x:c r="G605" s="1"/>
    </x:row>
    <x:row r="606">
      <x:c r="A606" s="1"/>
      <x:c r="B606" s="1"/>
      <x:c r="D606" s="1"/>
      <x:c r="F606" s="1"/>
      <x:c r="G606" s="1"/>
    </x:row>
    <x:row r="607">
      <x:c r="A607" s="1"/>
      <x:c r="B607" s="1"/>
      <x:c r="D607" s="1"/>
      <x:c r="F607" s="1"/>
      <x:c r="G607" s="1"/>
    </x:row>
    <x:row r="608">
      <x:c r="A608" s="1"/>
      <x:c r="B608" s="1"/>
      <x:c r="D608" s="1"/>
      <x:c r="F608" s="1"/>
      <x:c r="G608" s="1"/>
    </x:row>
    <x:row r="609">
      <x:c r="A609" s="1"/>
      <x:c r="B609" s="1"/>
      <x:c r="D609" s="1"/>
      <x:c r="F609" s="1"/>
      <x:c r="G609" s="1"/>
    </x:row>
    <x:row r="610">
      <x:c r="A610" s="1"/>
      <x:c r="B610" s="1"/>
      <x:c r="D610" s="1"/>
      <x:c r="F610" s="1"/>
      <x:c r="G610" s="1"/>
    </x:row>
    <x:row r="611">
      <x:c r="A611" s="1"/>
      <x:c r="B611" s="1"/>
      <x:c r="D611" s="1"/>
      <x:c r="F611" s="1"/>
      <x:c r="G611" s="1"/>
    </x:row>
    <x:row r="612">
      <x:c r="A612" s="1"/>
      <x:c r="B612" s="1"/>
      <x:c r="D612" s="1"/>
      <x:c r="F612" s="1"/>
      <x:c r="G612" s="1"/>
    </x:row>
    <x:row r="613">
      <x:c r="A613" s="1"/>
      <x:c r="B613" s="1"/>
      <x:c r="D613" s="1"/>
      <x:c r="F613" s="1"/>
      <x:c r="G613" s="1"/>
    </x:row>
    <x:row r="614">
      <x:c r="A614" s="1"/>
      <x:c r="B614" s="1"/>
      <x:c r="D614" s="1"/>
      <x:c r="F614" s="1"/>
      <x:c r="G614" s="1"/>
    </x:row>
    <x:row r="615">
      <x:c r="A615" s="1"/>
      <x:c r="B615" s="1"/>
      <x:c r="D615" s="1"/>
      <x:c r="F615" s="1"/>
      <x:c r="G615" s="1"/>
    </x:row>
    <x:row r="616">
      <x:c r="A616" s="1"/>
      <x:c r="B616" s="1"/>
      <x:c r="D616" s="1"/>
      <x:c r="F616" s="1"/>
      <x:c r="G616" s="1"/>
    </x:row>
    <x:row r="617">
      <x:c r="A617" s="1"/>
      <x:c r="B617" s="1"/>
      <x:c r="D617" s="1"/>
      <x:c r="F617" s="1"/>
      <x:c r="G617" s="1"/>
    </x:row>
    <x:row r="618">
      <x:c r="A618" s="1"/>
      <x:c r="B618" s="1"/>
      <x:c r="D618" s="1"/>
      <x:c r="F618" s="1"/>
      <x:c r="G618" s="1"/>
    </x:row>
    <x:row r="619">
      <x:c r="A619" s="1"/>
      <x:c r="B619" s="1"/>
      <x:c r="D619" s="1"/>
      <x:c r="F619" s="1"/>
      <x:c r="G619" s="1"/>
    </x:row>
    <x:row r="620">
      <x:c r="A620" s="1"/>
      <x:c r="B620" s="1"/>
      <x:c r="D620" s="1"/>
      <x:c r="F620" s="1"/>
      <x:c r="G620" s="1"/>
    </x:row>
    <x:row r="621">
      <x:c r="A621" s="1"/>
      <x:c r="B621" s="1"/>
      <x:c r="D621" s="1"/>
      <x:c r="F621" s="1"/>
      <x:c r="G621" s="1"/>
    </x:row>
    <x:row r="622">
      <x:c r="A622" s="1"/>
      <x:c r="B622" s="1"/>
      <x:c r="D622" s="1"/>
      <x:c r="F622" s="1"/>
      <x:c r="G622" s="1"/>
    </x:row>
    <x:row r="623">
      <x:c r="A623" s="1"/>
      <x:c r="B623" s="1"/>
      <x:c r="D623" s="1"/>
      <x:c r="F623" s="1"/>
      <x:c r="G623" s="1"/>
    </x:row>
    <x:row r="624">
      <x:c r="A624" s="1"/>
      <x:c r="B624" s="1"/>
      <x:c r="D624" s="1"/>
      <x:c r="F624" s="1"/>
      <x:c r="G624" s="1"/>
    </x:row>
    <x:row r="625">
      <x:c r="A625" s="1"/>
      <x:c r="B625" s="1"/>
      <x:c r="D625" s="1"/>
      <x:c r="F625" s="1"/>
      <x:c r="G625" s="1"/>
    </x:row>
    <x:row r="626">
      <x:c r="A626" s="1"/>
      <x:c r="B626" s="1"/>
      <x:c r="D626" s="1"/>
      <x:c r="F626" s="1"/>
      <x:c r="G626" s="1"/>
    </x:row>
    <x:row r="627">
      <x:c r="A627" s="1"/>
      <x:c r="B627" s="1"/>
      <x:c r="D627" s="1"/>
      <x:c r="F627" s="1"/>
      <x:c r="G627" s="1"/>
    </x:row>
    <x:row r="628">
      <x:c r="A628" s="1"/>
      <x:c r="B628" s="1"/>
      <x:c r="D628" s="1"/>
      <x:c r="F628" s="1"/>
      <x:c r="G628" s="1"/>
    </x:row>
    <x:row r="629">
      <x:c r="A629" s="1"/>
      <x:c r="B629" s="1"/>
      <x:c r="D629" s="1"/>
      <x:c r="F629" s="1"/>
      <x:c r="G629" s="1"/>
    </x:row>
    <x:row r="630">
      <x:c r="A630" s="1"/>
      <x:c r="B630" s="1"/>
      <x:c r="D630" s="1"/>
      <x:c r="F630" s="1"/>
      <x:c r="G630" s="1"/>
    </x:row>
    <x:row r="631">
      <x:c r="A631" s="1"/>
      <x:c r="B631" s="1"/>
      <x:c r="D631" s="1"/>
      <x:c r="F631" s="1"/>
      <x:c r="G631" s="1"/>
    </x:row>
    <x:row r="632">
      <x:c r="A632" s="1"/>
      <x:c r="B632" s="1"/>
      <x:c r="D632" s="1"/>
      <x:c r="F632" s="1"/>
      <x:c r="G632" s="1"/>
    </x:row>
    <x:row r="633">
      <x:c r="A633" s="1"/>
      <x:c r="B633" s="1"/>
      <x:c r="D633" s="1"/>
      <x:c r="F633" s="1"/>
      <x:c r="G633" s="1"/>
    </x:row>
    <x:row r="634">
      <x:c r="A634" s="1"/>
      <x:c r="B634" s="1"/>
      <x:c r="D634" s="1"/>
      <x:c r="F634" s="1"/>
      <x:c r="G634" s="1"/>
    </x:row>
    <x:row r="635">
      <x:c r="A635" s="1"/>
      <x:c r="B635" s="1"/>
      <x:c r="D635" s="1"/>
      <x:c r="F635" s="1"/>
      <x:c r="G635" s="1"/>
    </x:row>
    <x:row r="636">
      <x:c r="A636" s="1"/>
      <x:c r="B636" s="1"/>
      <x:c r="D636" s="1"/>
      <x:c r="F636" s="1"/>
      <x:c r="G636" s="1"/>
    </x:row>
    <x:row r="637">
      <x:c r="A637" s="1"/>
      <x:c r="B637" s="1"/>
      <x:c r="D637" s="1"/>
      <x:c r="F637" s="1"/>
      <x:c r="G637" s="1"/>
    </x:row>
    <x:row r="638">
      <x:c r="A638" s="1"/>
      <x:c r="B638" s="1"/>
      <x:c r="D638" s="1"/>
      <x:c r="F638" s="1"/>
      <x:c r="G638" s="1"/>
    </x:row>
    <x:row r="639">
      <x:c r="A639" s="1"/>
      <x:c r="B639" s="1"/>
      <x:c r="D639" s="1"/>
      <x:c r="F639" s="1"/>
      <x:c r="G639" s="1"/>
    </x:row>
    <x:row r="640">
      <x:c r="A640" s="1"/>
      <x:c r="B640" s="1"/>
      <x:c r="D640" s="1"/>
      <x:c r="F640" s="1"/>
      <x:c r="G640" s="1"/>
    </x:row>
    <x:row r="641">
      <x:c r="A641" s="1"/>
      <x:c r="B641" s="1"/>
      <x:c r="D641" s="1"/>
      <x:c r="F641" s="1"/>
      <x:c r="G641" s="1"/>
    </x:row>
    <x:row r="642">
      <x:c r="A642" s="1"/>
      <x:c r="B642" s="1"/>
      <x:c r="D642" s="1"/>
      <x:c r="F642" s="1"/>
      <x:c r="G642" s="1"/>
    </x:row>
    <x:row r="643">
      <x:c r="A643" s="1"/>
      <x:c r="B643" s="1"/>
      <x:c r="D643" s="1"/>
      <x:c r="F643" s="1"/>
      <x:c r="G643" s="1"/>
    </x:row>
    <x:row r="644">
      <x:c r="A644" s="1"/>
      <x:c r="B644" s="1"/>
      <x:c r="D644" s="1"/>
      <x:c r="F644" s="1"/>
      <x:c r="G644" s="1"/>
    </x:row>
    <x:row r="645">
      <x:c r="A645" s="1"/>
      <x:c r="B645" s="1"/>
      <x:c r="D645" s="1"/>
      <x:c r="F645" s="1"/>
      <x:c r="G645" s="1"/>
    </x:row>
    <x:row r="646">
      <x:c r="A646" s="1"/>
      <x:c r="B646" s="1"/>
      <x:c r="D646" s="1"/>
      <x:c r="F646" s="1"/>
      <x:c r="G646" s="1"/>
    </x:row>
    <x:row r="647">
      <x:c r="A647" s="1"/>
      <x:c r="B647" s="1"/>
      <x:c r="D647" s="1"/>
      <x:c r="F647" s="1"/>
      <x:c r="G647" s="1"/>
    </x:row>
    <x:row r="648">
      <x:c r="A648" s="1"/>
      <x:c r="B648" s="1"/>
      <x:c r="D648" s="1"/>
      <x:c r="F648" s="1"/>
      <x:c r="G648" s="1"/>
    </x:row>
    <x:row r="649">
      <x:c r="A649" s="1"/>
      <x:c r="B649" s="1"/>
      <x:c r="D649" s="1"/>
      <x:c r="F649" s="1"/>
      <x:c r="G649" s="1"/>
    </x:row>
    <x:row r="650">
      <x:c r="A650" s="1"/>
      <x:c r="B650" s="1"/>
      <x:c r="D650" s="1"/>
      <x:c r="F650" s="1"/>
      <x:c r="G650" s="1"/>
    </x:row>
    <x:row r="651">
      <x:c r="A651" s="1"/>
      <x:c r="B651" s="1"/>
      <x:c r="D651" s="1"/>
      <x:c r="F651" s="1"/>
      <x:c r="G651" s="1"/>
    </x:row>
    <x:row r="652">
      <x:c r="A652" s="1"/>
      <x:c r="B652" s="1"/>
      <x:c r="D652" s="1"/>
      <x:c r="F652" s="1"/>
      <x:c r="G652" s="1"/>
    </x:row>
    <x:row r="653">
      <x:c r="A653" s="1"/>
      <x:c r="B653" s="1"/>
      <x:c r="D653" s="1"/>
      <x:c r="F653" s="1"/>
      <x:c r="G653" s="1"/>
    </x:row>
    <x:row r="654">
      <x:c r="A654" s="1"/>
      <x:c r="B654" s="1"/>
      <x:c r="D654" s="1"/>
      <x:c r="F654" s="1"/>
      <x:c r="G654" s="1"/>
    </x:row>
    <x:row r="655">
      <x:c r="A655" s="1"/>
      <x:c r="B655" s="1"/>
      <x:c r="D655" s="1"/>
      <x:c r="F655" s="1"/>
      <x:c r="G655" s="1"/>
    </x:row>
    <x:row r="656">
      <x:c r="A656" s="1"/>
      <x:c r="B656" s="1"/>
      <x:c r="D656" s="1"/>
      <x:c r="F656" s="1"/>
      <x:c r="G656" s="1"/>
    </x:row>
    <x:row r="657">
      <x:c r="A657" s="1"/>
      <x:c r="B657" s="1"/>
      <x:c r="D657" s="1"/>
      <x:c r="F657" s="1"/>
      <x:c r="G657" s="1"/>
    </x:row>
    <x:row r="658">
      <x:c r="A658" s="1"/>
      <x:c r="B658" s="1"/>
      <x:c r="D658" s="1"/>
      <x:c r="F658" s="1"/>
      <x:c r="G658" s="1"/>
    </x:row>
    <x:row r="659">
      <x:c r="A659" s="1"/>
      <x:c r="B659" s="1"/>
      <x:c r="D659" s="1"/>
      <x:c r="F659" s="1"/>
      <x:c r="G659" s="1"/>
    </x:row>
    <x:row r="660">
      <x:c r="A660" s="1"/>
      <x:c r="B660" s="1"/>
      <x:c r="D660" s="1"/>
      <x:c r="F660" s="1"/>
      <x:c r="G660" s="1"/>
    </x:row>
    <x:row r="661">
      <x:c r="A661" s="1"/>
      <x:c r="B661" s="1"/>
      <x:c r="D661" s="1"/>
      <x:c r="F661" s="1"/>
      <x:c r="G661" s="1"/>
    </x:row>
    <x:row r="662">
      <x:c r="A662" s="1"/>
      <x:c r="B662" s="1"/>
      <x:c r="D662" s="1"/>
      <x:c r="F662" s="1"/>
      <x:c r="G662" s="1"/>
    </x:row>
    <x:row r="663">
      <x:c r="A663" s="1"/>
      <x:c r="B663" s="1"/>
      <x:c r="D663" s="1"/>
      <x:c r="F663" s="1"/>
      <x:c r="G663" s="1"/>
    </x:row>
    <x:row r="664">
      <x:c r="A664" s="1"/>
      <x:c r="B664" s="1"/>
      <x:c r="D664" s="1"/>
      <x:c r="F664" s="1"/>
      <x:c r="G664" s="1"/>
    </x:row>
    <x:row r="665">
      <x:c r="A665" s="1"/>
      <x:c r="B665" s="1"/>
      <x:c r="D665" s="1"/>
      <x:c r="F665" s="1"/>
      <x:c r="G665" s="1"/>
    </x:row>
    <x:row r="666">
      <x:c r="A666" s="1"/>
      <x:c r="B666" s="1"/>
      <x:c r="D666" s="1"/>
      <x:c r="F666" s="1"/>
      <x:c r="G666" s="1"/>
    </x:row>
    <x:row r="667">
      <x:c r="A667" s="1"/>
      <x:c r="B667" s="1"/>
      <x:c r="D667" s="1"/>
      <x:c r="F667" s="1"/>
      <x:c r="G667" s="1"/>
    </x:row>
    <x:row r="668">
      <x:c r="A668" s="1"/>
      <x:c r="B668" s="1"/>
      <x:c r="D668" s="1"/>
      <x:c r="F668" s="1"/>
      <x:c r="G668" s="1"/>
    </x:row>
    <x:row r="669">
      <x:c r="A669" s="1"/>
      <x:c r="B669" s="1"/>
      <x:c r="D669" s="1"/>
      <x:c r="F669" s="1"/>
      <x:c r="G669" s="1"/>
    </x:row>
    <x:row r="670">
      <x:c r="A670" s="1"/>
      <x:c r="B670" s="1"/>
      <x:c r="D670" s="1"/>
      <x:c r="F670" s="1"/>
      <x:c r="G670" s="1"/>
    </x:row>
    <x:row r="671">
      <x:c r="A671" s="1"/>
      <x:c r="B671" s="1"/>
      <x:c r="D671" s="1"/>
      <x:c r="F671" s="1"/>
      <x:c r="G671" s="1"/>
    </x:row>
    <x:row r="672">
      <x:c r="A672" s="1"/>
      <x:c r="B672" s="1"/>
      <x:c r="D672" s="1"/>
      <x:c r="F672" s="1"/>
      <x:c r="G672" s="1"/>
    </x:row>
    <x:row r="673">
      <x:c r="A673" s="1"/>
      <x:c r="B673" s="1"/>
      <x:c r="D673" s="1"/>
      <x:c r="F673" s="1"/>
      <x:c r="G673" s="1"/>
    </x:row>
    <x:row r="674">
      <x:c r="A674" s="1"/>
      <x:c r="B674" s="1"/>
      <x:c r="D674" s="1"/>
      <x:c r="F674" s="1"/>
      <x:c r="G674" s="1"/>
    </x:row>
    <x:row r="675">
      <x:c r="A675" s="1"/>
      <x:c r="B675" s="1"/>
      <x:c r="D675" s="1"/>
      <x:c r="F675" s="1"/>
      <x:c r="G675" s="1"/>
    </x:row>
    <x:row r="676">
      <x:c r="A676" s="1"/>
      <x:c r="B676" s="1"/>
      <x:c r="D676" s="1"/>
      <x:c r="F676" s="1"/>
      <x:c r="G676" s="1"/>
    </x:row>
    <x:row r="677">
      <x:c r="A677" s="1"/>
      <x:c r="B677" s="1"/>
      <x:c r="D677" s="1"/>
      <x:c r="F677" s="1"/>
      <x:c r="G677" s="1"/>
    </x:row>
    <x:row r="678">
      <x:c r="A678" s="1"/>
      <x:c r="B678" s="1"/>
      <x:c r="D678" s="1"/>
      <x:c r="F678" s="1"/>
      <x:c r="G678" s="1"/>
    </x:row>
    <x:row r="679">
      <x:c r="A679" s="1"/>
      <x:c r="B679" s="1"/>
      <x:c r="D679" s="1"/>
      <x:c r="F679" s="1"/>
      <x:c r="G679" s="1"/>
    </x:row>
    <x:row r="680">
      <x:c r="A680" s="1"/>
      <x:c r="B680" s="1"/>
      <x:c r="D680" s="1"/>
      <x:c r="F680" s="1"/>
      <x:c r="G680" s="1"/>
    </x:row>
    <x:row r="681">
      <x:c r="A681" s="1"/>
      <x:c r="B681" s="1"/>
      <x:c r="D681" s="1"/>
      <x:c r="F681" s="1"/>
      <x:c r="G681" s="1"/>
    </x:row>
    <x:row r="682">
      <x:c r="A682" s="1"/>
      <x:c r="B682" s="1"/>
      <x:c r="D682" s="1"/>
      <x:c r="F682" s="1"/>
      <x:c r="G682" s="1"/>
    </x:row>
    <x:row r="683">
      <x:c r="A683" s="1"/>
      <x:c r="B683" s="1"/>
      <x:c r="D683" s="1"/>
      <x:c r="F683" s="1"/>
      <x:c r="G683" s="1"/>
    </x:row>
    <x:row r="684">
      <x:c r="A684" s="1"/>
      <x:c r="B684" s="1"/>
      <x:c r="D684" s="1"/>
      <x:c r="F684" s="1"/>
      <x:c r="G684" s="1"/>
    </x:row>
    <x:row r="685">
      <x:c r="A685" s="1"/>
      <x:c r="B685" s="1"/>
      <x:c r="D685" s="1"/>
      <x:c r="F685" s="1"/>
      <x:c r="G685" s="1"/>
    </x:row>
    <x:row r="686">
      <x:c r="A686" s="1"/>
      <x:c r="B686" s="1"/>
      <x:c r="D686" s="1"/>
      <x:c r="F686" s="1"/>
      <x:c r="G686" s="1"/>
    </x:row>
    <x:row r="687">
      <x:c r="A687" s="1"/>
      <x:c r="B687" s="1"/>
      <x:c r="D687" s="1"/>
      <x:c r="F687" s="1"/>
      <x:c r="G687" s="1"/>
    </x:row>
    <x:row r="688">
      <x:c r="A688" s="1"/>
      <x:c r="B688" s="1"/>
      <x:c r="D688" s="1"/>
      <x:c r="F688" s="1"/>
      <x:c r="G688" s="1"/>
    </x:row>
    <x:row r="689">
      <x:c r="A689" s="1"/>
      <x:c r="B689" s="1"/>
      <x:c r="D689" s="1"/>
      <x:c r="F689" s="1"/>
      <x:c r="G689" s="1"/>
    </x:row>
    <x:row r="690">
      <x:c r="A690" s="1"/>
      <x:c r="B690" s="1"/>
      <x:c r="D690" s="1"/>
      <x:c r="F690" s="1"/>
      <x:c r="G690" s="1"/>
    </x:row>
    <x:row r="691">
      <x:c r="A691" s="1"/>
      <x:c r="B691" s="1"/>
      <x:c r="D691" s="1"/>
      <x:c r="F691" s="1"/>
      <x:c r="G691" s="1"/>
    </x:row>
    <x:row r="692">
      <x:c r="A692" s="1"/>
      <x:c r="B692" s="1"/>
      <x:c r="D692" s="1"/>
      <x:c r="F692" s="1"/>
      <x:c r="G692" s="1"/>
    </x:row>
    <x:row r="693">
      <x:c r="A693" s="1"/>
      <x:c r="B693" s="1"/>
      <x:c r="D693" s="1"/>
      <x:c r="F693" s="1"/>
      <x:c r="G693" s="1"/>
    </x:row>
    <x:row r="694">
      <x:c r="A694" s="1"/>
      <x:c r="B694" s="1"/>
      <x:c r="D694" s="1"/>
      <x:c r="F694" s="1"/>
      <x:c r="G694" s="1"/>
    </x:row>
    <x:row r="695">
      <x:c r="A695" s="1"/>
      <x:c r="B695" s="1"/>
      <x:c r="D695" s="1"/>
      <x:c r="F695" s="1"/>
      <x:c r="G695" s="1"/>
    </x:row>
    <x:row r="696">
      <x:c r="A696" s="1"/>
      <x:c r="B696" s="1"/>
      <x:c r="D696" s="1"/>
      <x:c r="F696" s="1"/>
      <x:c r="G696" s="1"/>
    </x:row>
    <x:row r="697">
      <x:c r="A697" s="1"/>
      <x:c r="B697" s="1"/>
      <x:c r="D697" s="1"/>
      <x:c r="F697" s="1"/>
      <x:c r="G697" s="1"/>
    </x:row>
    <x:row r="698">
      <x:c r="A698" s="1"/>
      <x:c r="B698" s="1"/>
      <x:c r="D698" s="1"/>
      <x:c r="F698" s="1"/>
      <x:c r="G698" s="1"/>
    </x:row>
    <x:row r="699">
      <x:c r="A699" s="1"/>
      <x:c r="B699" s="1"/>
      <x:c r="D699" s="1"/>
      <x:c r="F699" s="1"/>
      <x:c r="G699" s="1"/>
    </x:row>
    <x:row r="700">
      <x:c r="A700" s="1"/>
      <x:c r="B700" s="1"/>
      <x:c r="D700" s="1"/>
      <x:c r="F700" s="1"/>
      <x:c r="G700" s="1"/>
    </x:row>
    <x:row r="701">
      <x:c r="A701" s="1"/>
      <x:c r="B701" s="1"/>
      <x:c r="D701" s="1"/>
      <x:c r="F701" s="1"/>
      <x:c r="G701" s="1"/>
    </x:row>
    <x:row r="702">
      <x:c r="A702" s="1"/>
      <x:c r="B702" s="1"/>
      <x:c r="D702" s="1"/>
      <x:c r="F702" s="1"/>
      <x:c r="G702" s="1"/>
    </x:row>
    <x:row r="703">
      <x:c r="A703" s="1"/>
      <x:c r="B703" s="1"/>
      <x:c r="D703" s="1"/>
      <x:c r="F703" s="1"/>
      <x:c r="G703" s="1"/>
    </x:row>
    <x:row r="704">
      <x:c r="A704" s="1"/>
      <x:c r="B704" s="1"/>
      <x:c r="D704" s="1"/>
      <x:c r="F704" s="1"/>
      <x:c r="G704" s="1"/>
    </x:row>
    <x:row r="705">
      <x:c r="A705" s="1"/>
      <x:c r="B705" s="1"/>
      <x:c r="D705" s="1"/>
      <x:c r="F705" s="1"/>
      <x:c r="G705" s="1"/>
    </x:row>
    <x:row r="706">
      <x:c r="A706" s="1"/>
      <x:c r="B706" s="1"/>
      <x:c r="D706" s="1"/>
      <x:c r="F706" s="1"/>
      <x:c r="G706" s="1"/>
    </x:row>
    <x:row r="707">
      <x:c r="A707" s="1"/>
      <x:c r="B707" s="1"/>
      <x:c r="D707" s="1"/>
      <x:c r="F707" s="1"/>
      <x:c r="G707" s="1"/>
    </x:row>
    <x:row r="708">
      <x:c r="A708" s="1"/>
      <x:c r="B708" s="1"/>
      <x:c r="D708" s="1"/>
      <x:c r="F708" s="1"/>
      <x:c r="G708" s="1"/>
    </x:row>
    <x:row r="709">
      <x:c r="A709" s="1"/>
      <x:c r="B709" s="1"/>
      <x:c r="D709" s="1"/>
      <x:c r="F709" s="1"/>
      <x:c r="G709" s="1"/>
    </x:row>
    <x:row r="710">
      <x:c r="A710" s="1"/>
      <x:c r="B710" s="1"/>
      <x:c r="D710" s="1"/>
      <x:c r="F710" s="1"/>
      <x:c r="G710" s="1"/>
    </x:row>
    <x:row r="711">
      <x:c r="A711" s="1"/>
      <x:c r="B711" s="1"/>
      <x:c r="D711" s="1"/>
      <x:c r="F711" s="1"/>
      <x:c r="G711" s="1"/>
    </x:row>
    <x:row r="712">
      <x:c r="A712" s="1"/>
      <x:c r="B712" s="1"/>
      <x:c r="D712" s="1"/>
      <x:c r="F712" s="1"/>
      <x:c r="G712" s="1"/>
    </x:row>
    <x:row r="713">
      <x:c r="A713" s="1"/>
      <x:c r="B713" s="1"/>
      <x:c r="D713" s="1"/>
      <x:c r="F713" s="1"/>
      <x:c r="G713" s="1"/>
    </x:row>
    <x:row r="714">
      <x:c r="A714" s="1"/>
      <x:c r="B714" s="1"/>
      <x:c r="D714" s="1"/>
      <x:c r="F714" s="1"/>
      <x:c r="G714" s="1"/>
    </x:row>
    <x:row r="715">
      <x:c r="A715" s="1"/>
      <x:c r="B715" s="1"/>
      <x:c r="D715" s="1"/>
      <x:c r="F715" s="1"/>
      <x:c r="G715" s="1"/>
    </x:row>
    <x:row r="716">
      <x:c r="A716" s="1"/>
      <x:c r="B716" s="1"/>
      <x:c r="D716" s="1"/>
      <x:c r="F716" s="1"/>
      <x:c r="G716" s="1"/>
    </x:row>
    <x:row r="717">
      <x:c r="A717" s="1"/>
      <x:c r="B717" s="1"/>
      <x:c r="D717" s="1"/>
      <x:c r="F717" s="1"/>
      <x:c r="G717" s="1"/>
    </x:row>
    <x:row r="718">
      <x:c r="A718" s="1"/>
      <x:c r="B718" s="1"/>
      <x:c r="D718" s="1"/>
      <x:c r="F718" s="1"/>
      <x:c r="G718" s="1"/>
    </x:row>
    <x:row r="719">
      <x:c r="A719" s="1"/>
      <x:c r="B719" s="1"/>
      <x:c r="D719" s="1"/>
      <x:c r="F719" s="1"/>
      <x:c r="G719" s="1"/>
    </x:row>
    <x:row r="720">
      <x:c r="A720" s="1"/>
      <x:c r="B720" s="1"/>
      <x:c r="D720" s="1"/>
      <x:c r="F720" s="1"/>
      <x:c r="G720" s="1"/>
    </x:row>
    <x:row r="721">
      <x:c r="A721" s="1"/>
      <x:c r="B721" s="1"/>
      <x:c r="D721" s="1"/>
      <x:c r="F721" s="1"/>
      <x:c r="G721" s="1"/>
    </x:row>
    <x:row r="722">
      <x:c r="A722" s="1"/>
      <x:c r="B722" s="1"/>
      <x:c r="D722" s="1"/>
      <x:c r="F722" s="1"/>
      <x:c r="G722" s="1"/>
    </x:row>
    <x:row r="723">
      <x:c r="A723" s="1"/>
      <x:c r="B723" s="1"/>
      <x:c r="D723" s="1"/>
      <x:c r="F723" s="1"/>
      <x:c r="G723" s="1"/>
    </x:row>
    <x:row r="724">
      <x:c r="A724" s="1"/>
      <x:c r="B724" s="1"/>
      <x:c r="D724" s="1"/>
      <x:c r="F724" s="1"/>
      <x:c r="G724" s="1"/>
    </x:row>
    <x:row r="725">
      <x:c r="A725" s="1"/>
      <x:c r="B725" s="1"/>
      <x:c r="D725" s="1"/>
      <x:c r="F725" s="1"/>
      <x:c r="G725" s="1"/>
    </x:row>
    <x:row r="726">
      <x:c r="A726" s="1"/>
      <x:c r="B726" s="1"/>
      <x:c r="D726" s="1"/>
      <x:c r="F726" s="1"/>
      <x:c r="G726" s="1"/>
    </x:row>
    <x:row r="727">
      <x:c r="A727" s="1"/>
      <x:c r="B727" s="1"/>
      <x:c r="D727" s="1"/>
      <x:c r="F727" s="1"/>
      <x:c r="G727" s="1"/>
    </x:row>
    <x:row r="728">
      <x:c r="A728" s="1"/>
      <x:c r="B728" s="1"/>
      <x:c r="D728" s="1"/>
      <x:c r="F728" s="1"/>
      <x:c r="G728" s="1"/>
    </x:row>
    <x:row r="729">
      <x:c r="A729" s="1"/>
      <x:c r="B729" s="1"/>
      <x:c r="D729" s="1"/>
      <x:c r="F729" s="1"/>
      <x:c r="G729" s="1"/>
    </x:row>
    <x:row r="730">
      <x:c r="A730" s="1"/>
      <x:c r="B730" s="1"/>
      <x:c r="D730" s="1"/>
      <x:c r="F730" s="1"/>
      <x:c r="G730" s="1"/>
    </x:row>
    <x:row r="731">
      <x:c r="A731" s="1"/>
      <x:c r="B731" s="1"/>
      <x:c r="D731" s="1"/>
      <x:c r="F731" s="1"/>
      <x:c r="G731" s="1"/>
    </x:row>
    <x:row r="732">
      <x:c r="A732" s="1"/>
      <x:c r="B732" s="1"/>
      <x:c r="D732" s="1"/>
      <x:c r="F732" s="1"/>
      <x:c r="G732" s="1"/>
    </x:row>
    <x:row r="733">
      <x:c r="A733" s="1"/>
      <x:c r="B733" s="1"/>
      <x:c r="D733" s="1"/>
      <x:c r="F733" s="1"/>
      <x:c r="G733" s="1"/>
    </x:row>
    <x:row r="734">
      <x:c r="A734" s="1"/>
      <x:c r="B734" s="1"/>
      <x:c r="D734" s="1"/>
      <x:c r="F734" s="1"/>
      <x:c r="G734" s="1"/>
    </x:row>
    <x:row r="735">
      <x:c r="A735" s="1"/>
      <x:c r="B735" s="1"/>
      <x:c r="D735" s="1"/>
      <x:c r="F735" s="1"/>
      <x:c r="G735" s="1"/>
    </x:row>
    <x:row r="736">
      <x:c r="A736" s="1"/>
      <x:c r="B736" s="1"/>
      <x:c r="D736" s="1"/>
      <x:c r="F736" s="1"/>
      <x:c r="G736" s="1"/>
    </x:row>
    <x:row r="737">
      <x:c r="A737" s="1"/>
      <x:c r="B737" s="1"/>
      <x:c r="D737" s="1"/>
      <x:c r="F737" s="1"/>
      <x:c r="G737" s="1"/>
    </x:row>
    <x:row r="738">
      <x:c r="A738" s="1"/>
      <x:c r="B738" s="1"/>
      <x:c r="D738" s="1"/>
      <x:c r="F738" s="1"/>
      <x:c r="G738" s="1"/>
    </x:row>
    <x:row r="739">
      <x:c r="A739" s="1"/>
      <x:c r="B739" s="1"/>
      <x:c r="D739" s="1"/>
      <x:c r="F739" s="1"/>
      <x:c r="G739" s="1"/>
    </x:row>
    <x:row r="740">
      <x:c r="A740" s="1"/>
      <x:c r="B740" s="1"/>
      <x:c r="D740" s="1"/>
      <x:c r="F740" s="1"/>
      <x:c r="G740" s="1"/>
    </x:row>
    <x:row r="741">
      <x:c r="A741" s="1"/>
      <x:c r="B741" s="1"/>
      <x:c r="D741" s="1"/>
      <x:c r="F741" s="1"/>
      <x:c r="G741" s="1"/>
    </x:row>
    <x:row r="742">
      <x:c r="A742" s="1"/>
      <x:c r="B742" s="1"/>
      <x:c r="D742" s="1"/>
      <x:c r="F742" s="1"/>
      <x:c r="G742" s="1"/>
    </x:row>
    <x:row r="743">
      <x:c r="A743" s="1"/>
      <x:c r="B743" s="1"/>
      <x:c r="D743" s="1"/>
      <x:c r="F743" s="1"/>
      <x:c r="G743" s="1"/>
    </x:row>
    <x:row r="744">
      <x:c r="A744" s="1"/>
      <x:c r="B744" s="1"/>
      <x:c r="D744" s="1"/>
      <x:c r="F744" s="1"/>
      <x:c r="G744" s="1"/>
    </x:row>
    <x:row r="745">
      <x:c r="A745" s="1"/>
      <x:c r="B745" s="1"/>
      <x:c r="D745" s="1"/>
      <x:c r="F745" s="1"/>
      <x:c r="G745" s="1"/>
    </x:row>
    <x:row r="746">
      <x:c r="A746" s="1"/>
      <x:c r="B746" s="1"/>
      <x:c r="D746" s="1"/>
      <x:c r="F746" s="1"/>
      <x:c r="G746" s="1"/>
    </x:row>
    <x:row r="747">
      <x:c r="A747" s="1"/>
      <x:c r="B747" s="1"/>
      <x:c r="D747" s="1"/>
      <x:c r="F747" s="1"/>
      <x:c r="G747" s="1"/>
    </x:row>
    <x:row r="748">
      <x:c r="A748" s="1"/>
      <x:c r="B748" s="1"/>
      <x:c r="D748" s="1"/>
      <x:c r="F748" s="1"/>
      <x:c r="G748" s="1"/>
    </x:row>
    <x:row r="749">
      <x:c r="A749" s="1"/>
      <x:c r="B749" s="1"/>
      <x:c r="D749" s="1"/>
      <x:c r="F749" s="1"/>
      <x:c r="G749" s="1"/>
    </x:row>
    <x:row r="750">
      <x:c r="A750" s="1"/>
      <x:c r="B750" s="1"/>
      <x:c r="D750" s="1"/>
      <x:c r="F750" s="1"/>
      <x:c r="G750" s="1"/>
    </x:row>
    <x:row r="751">
      <x:c r="A751" s="1"/>
      <x:c r="B751" s="1"/>
      <x:c r="D751" s="1"/>
      <x:c r="F751" s="1"/>
      <x:c r="G751" s="1"/>
    </x:row>
    <x:row r="752">
      <x:c r="A752" s="1"/>
      <x:c r="B752" s="1"/>
      <x:c r="D752" s="1"/>
      <x:c r="F752" s="1"/>
      <x:c r="G752" s="1"/>
    </x:row>
    <x:row r="753">
      <x:c r="A753" s="1"/>
      <x:c r="B753" s="1"/>
      <x:c r="D753" s="1"/>
      <x:c r="F753" s="1"/>
      <x:c r="G753" s="1"/>
    </x:row>
    <x:row r="754">
      <x:c r="A754" s="1"/>
      <x:c r="B754" s="1"/>
      <x:c r="D754" s="1"/>
      <x:c r="F754" s="1"/>
      <x:c r="G754" s="1"/>
    </x:row>
    <x:row r="755">
      <x:c r="A755" s="1"/>
      <x:c r="B755" s="1"/>
      <x:c r="D755" s="1"/>
      <x:c r="F755" s="1"/>
      <x:c r="G755" s="1"/>
    </x:row>
    <x:row r="756">
      <x:c r="A756" s="1"/>
      <x:c r="B756" s="1"/>
      <x:c r="D756" s="1"/>
      <x:c r="F756" s="1"/>
      <x:c r="G756" s="1"/>
    </x:row>
    <x:row r="757">
      <x:c r="A757" s="1"/>
      <x:c r="B757" s="1"/>
      <x:c r="D757" s="1"/>
      <x:c r="F757" s="1"/>
      <x:c r="G757" s="1"/>
    </x:row>
    <x:row r="758">
      <x:c r="A758" s="1"/>
      <x:c r="B758" s="1"/>
      <x:c r="D758" s="1"/>
      <x:c r="F758" s="1"/>
      <x:c r="G758" s="1"/>
    </x:row>
    <x:row r="759">
      <x:c r="A759" s="1"/>
      <x:c r="B759" s="1"/>
      <x:c r="D759" s="1"/>
      <x:c r="F759" s="1"/>
      <x:c r="G759" s="1"/>
    </x:row>
    <x:row r="760">
      <x:c r="A760" s="1"/>
      <x:c r="B760" s="1"/>
      <x:c r="D760" s="1"/>
      <x:c r="F760" s="1"/>
      <x:c r="G760" s="1"/>
    </x:row>
    <x:row r="761">
      <x:c r="A761" s="1"/>
      <x:c r="B761" s="1"/>
      <x:c r="D761" s="1"/>
      <x:c r="F761" s="1"/>
      <x:c r="G761" s="1"/>
    </x:row>
    <x:row r="762">
      <x:c r="A762" s="1"/>
      <x:c r="B762" s="1"/>
      <x:c r="D762" s="1"/>
      <x:c r="F762" s="1"/>
      <x:c r="G762" s="1"/>
    </x:row>
    <x:row r="763">
      <x:c r="A763" s="1"/>
      <x:c r="B763" s="1"/>
      <x:c r="D763" s="1"/>
      <x:c r="F763" s="1"/>
      <x:c r="G763" s="1"/>
    </x:row>
    <x:row r="764">
      <x:c r="A764" s="1"/>
      <x:c r="B764" s="1"/>
      <x:c r="D764" s="1"/>
      <x:c r="F764" s="1"/>
      <x:c r="G764" s="1"/>
    </x:row>
    <x:row r="765">
      <x:c r="A765" s="1"/>
      <x:c r="B765" s="1"/>
      <x:c r="D765" s="1"/>
      <x:c r="F765" s="1"/>
      <x:c r="G765" s="1"/>
    </x:row>
    <x:row r="766">
      <x:c r="A766" s="1"/>
      <x:c r="B766" s="1"/>
      <x:c r="D766" s="1"/>
      <x:c r="F766" s="1"/>
      <x:c r="G766" s="1"/>
    </x:row>
    <x:row r="767">
      <x:c r="A767" s="1"/>
      <x:c r="B767" s="1"/>
      <x:c r="D767" s="1"/>
      <x:c r="F767" s="1"/>
      <x:c r="G767" s="1"/>
    </x:row>
    <x:row r="768">
      <x:c r="A768" s="1"/>
      <x:c r="B768" s="1"/>
      <x:c r="D768" s="1"/>
      <x:c r="F768" s="1"/>
      <x:c r="G768" s="1"/>
    </x:row>
    <x:row r="769">
      <x:c r="A769" s="1"/>
      <x:c r="B769" s="1"/>
      <x:c r="D769" s="1"/>
      <x:c r="F769" s="1"/>
      <x:c r="G769" s="1"/>
    </x:row>
    <x:row r="770">
      <x:c r="A770" s="1"/>
      <x:c r="B770" s="1"/>
      <x:c r="D770" s="1"/>
      <x:c r="F770" s="1"/>
      <x:c r="G770" s="1"/>
    </x:row>
    <x:row r="771">
      <x:c r="A771" s="1"/>
      <x:c r="B771" s="1"/>
      <x:c r="D771" s="1"/>
      <x:c r="F771" s="1"/>
      <x:c r="G771" s="1"/>
    </x:row>
    <x:row r="772">
      <x:c r="A772" s="1"/>
      <x:c r="B772" s="1"/>
      <x:c r="D772" s="1"/>
      <x:c r="F772" s="1"/>
      <x:c r="G772" s="1"/>
    </x:row>
    <x:row r="773">
      <x:c r="A773" s="1"/>
      <x:c r="B773" s="1"/>
      <x:c r="D773" s="1"/>
      <x:c r="F773" s="1"/>
      <x:c r="G773" s="1"/>
    </x:row>
    <x:row r="774">
      <x:c r="A774" s="1"/>
      <x:c r="B774" s="1"/>
      <x:c r="D774" s="1"/>
      <x:c r="F774" s="1"/>
      <x:c r="G774" s="1"/>
    </x:row>
    <x:row r="775">
      <x:c r="A775" s="1"/>
      <x:c r="B775" s="1"/>
      <x:c r="D775" s="1"/>
      <x:c r="F775" s="1"/>
      <x:c r="G775" s="1"/>
    </x:row>
    <x:row r="776">
      <x:c r="A776" s="1"/>
      <x:c r="B776" s="1"/>
      <x:c r="D776" s="1"/>
      <x:c r="F776" s="1"/>
      <x:c r="G776" s="1"/>
    </x:row>
    <x:row r="777">
      <x:c r="A777" s="1"/>
      <x:c r="B777" s="1"/>
      <x:c r="D777" s="1"/>
      <x:c r="F777" s="1"/>
      <x:c r="G777" s="1"/>
    </x:row>
    <x:row r="778">
      <x:c r="A778" s="1"/>
      <x:c r="B778" s="1"/>
      <x:c r="D778" s="1"/>
      <x:c r="F778" s="1"/>
      <x:c r="G778" s="1"/>
    </x:row>
    <x:row r="779">
      <x:c r="A779" s="1"/>
      <x:c r="B779" s="1"/>
      <x:c r="D779" s="1"/>
      <x:c r="F779" s="1"/>
      <x:c r="G779" s="1"/>
    </x:row>
    <x:row r="780">
      <x:c r="A780" s="1"/>
      <x:c r="B780" s="1"/>
      <x:c r="D780" s="1"/>
      <x:c r="F780" s="1"/>
      <x:c r="G780" s="1"/>
    </x:row>
    <x:row r="781">
      <x:c r="A781" s="1"/>
      <x:c r="B781" s="1"/>
      <x:c r="D781" s="1"/>
      <x:c r="F781" s="1"/>
      <x:c r="G781" s="1"/>
    </x:row>
    <x:row r="782">
      <x:c r="A782" s="1"/>
      <x:c r="B782" s="1"/>
      <x:c r="D782" s="1"/>
      <x:c r="F782" s="1"/>
      <x:c r="G782" s="1"/>
    </x:row>
    <x:row r="783">
      <x:c r="A783" s="1"/>
      <x:c r="B783" s="1"/>
      <x:c r="D783" s="1"/>
      <x:c r="F783" s="1"/>
      <x:c r="G783" s="1"/>
    </x:row>
    <x:row r="784">
      <x:c r="A784" s="1"/>
      <x:c r="B784" s="1"/>
      <x:c r="D784" s="1"/>
      <x:c r="F784" s="1"/>
      <x:c r="G784" s="1"/>
    </x:row>
    <x:row r="785">
      <x:c r="A785" s="1"/>
      <x:c r="B785" s="1"/>
      <x:c r="D785" s="1"/>
      <x:c r="F785" s="1"/>
      <x:c r="G785" s="1"/>
    </x:row>
    <x:row r="786">
      <x:c r="A786" s="1"/>
      <x:c r="B786" s="1"/>
      <x:c r="D786" s="1"/>
      <x:c r="F786" s="1"/>
      <x:c r="G786" s="1"/>
    </x:row>
    <x:row r="787">
      <x:c r="A787" s="1"/>
      <x:c r="B787" s="1"/>
      <x:c r="D787" s="1"/>
      <x:c r="F787" s="1"/>
      <x:c r="G787" s="1"/>
    </x:row>
    <x:row r="788">
      <x:c r="A788" s="1"/>
      <x:c r="B788" s="1"/>
      <x:c r="D788" s="1"/>
      <x:c r="F788" s="1"/>
      <x:c r="G788" s="1"/>
    </x:row>
    <x:row r="789">
      <x:c r="A789" s="1"/>
      <x:c r="B789" s="1"/>
      <x:c r="D789" s="1"/>
      <x:c r="F789" s="1"/>
      <x:c r="G789" s="1"/>
    </x:row>
    <x:row r="790">
      <x:c r="A790" s="1"/>
      <x:c r="B790" s="1"/>
      <x:c r="D790" s="1"/>
      <x:c r="F790" s="1"/>
      <x:c r="G790" s="1"/>
    </x:row>
    <x:row r="791">
      <x:c r="A791" s="1"/>
      <x:c r="B791" s="1"/>
      <x:c r="D791" s="1"/>
      <x:c r="F791" s="1"/>
      <x:c r="G791" s="1"/>
    </x:row>
    <x:row r="792">
      <x:c r="A792" s="1"/>
      <x:c r="B792" s="1"/>
      <x:c r="D792" s="1"/>
      <x:c r="F792" s="1"/>
      <x:c r="G792" s="1"/>
    </x:row>
    <x:row r="793">
      <x:c r="A793" s="1"/>
      <x:c r="B793" s="1"/>
      <x:c r="D793" s="1"/>
      <x:c r="F793" s="1"/>
      <x:c r="G793" s="1"/>
    </x:row>
    <x:row r="794">
      <x:c r="A794" s="1"/>
      <x:c r="B794" s="1"/>
      <x:c r="D794" s="1"/>
      <x:c r="F794" s="1"/>
      <x:c r="G794" s="1"/>
    </x:row>
    <x:row r="795">
      <x:c r="A795" s="1"/>
      <x:c r="B795" s="1"/>
      <x:c r="D795" s="1"/>
      <x:c r="F795" s="1"/>
      <x:c r="G795" s="1"/>
    </x:row>
    <x:row r="796">
      <x:c r="A796" s="1"/>
      <x:c r="B796" s="1"/>
      <x:c r="D796" s="1"/>
      <x:c r="F796" s="1"/>
      <x:c r="G796" s="1"/>
    </x:row>
    <x:row r="797">
      <x:c r="A797" s="1"/>
      <x:c r="B797" s="1"/>
      <x:c r="D797" s="1"/>
      <x:c r="F797" s="1"/>
      <x:c r="G797" s="1"/>
    </x:row>
    <x:row r="798">
      <x:c r="A798" s="1"/>
      <x:c r="B798" s="1"/>
      <x:c r="D798" s="1"/>
      <x:c r="F798" s="1"/>
      <x:c r="G798" s="1"/>
    </x:row>
    <x:row r="799">
      <x:c r="A799" s="1"/>
      <x:c r="B799" s="1"/>
      <x:c r="D799" s="1"/>
      <x:c r="F799" s="1"/>
      <x:c r="G799" s="1"/>
    </x:row>
    <x:row r="800">
      <x:c r="A800" s="1"/>
      <x:c r="B800" s="1"/>
      <x:c r="D800" s="1"/>
      <x:c r="F800" s="1"/>
      <x:c r="G800" s="1"/>
    </x:row>
    <x:row r="801">
      <x:c r="A801" s="1"/>
      <x:c r="B801" s="1"/>
      <x:c r="D801" s="1"/>
      <x:c r="F801" s="1"/>
      <x:c r="G801" s="1"/>
    </x:row>
    <x:row r="802">
      <x:c r="A802" s="1"/>
      <x:c r="B802" s="1"/>
      <x:c r="D802" s="1"/>
      <x:c r="F802" s="1"/>
      <x:c r="G802" s="1"/>
    </x:row>
    <x:row r="803">
      <x:c r="A803" s="1"/>
      <x:c r="B803" s="1"/>
      <x:c r="D803" s="1"/>
      <x:c r="F803" s="1"/>
      <x:c r="G803" s="1"/>
    </x:row>
    <x:row r="804">
      <x:c r="A804" s="1"/>
      <x:c r="B804" s="1"/>
      <x:c r="D804" s="1"/>
      <x:c r="F804" s="1"/>
      <x:c r="G804" s="1"/>
    </x:row>
    <x:row r="805">
      <x:c r="A805" s="1"/>
      <x:c r="B805" s="1"/>
      <x:c r="D805" s="1"/>
      <x:c r="F805" s="1"/>
      <x:c r="G805" s="1"/>
    </x:row>
    <x:row r="806">
      <x:c r="A806" s="1"/>
      <x:c r="B806" s="1"/>
      <x:c r="D806" s="1"/>
      <x:c r="F806" s="1"/>
      <x:c r="G806" s="1"/>
    </x:row>
    <x:row r="807">
      <x:c r="A807" s="1"/>
      <x:c r="B807" s="1"/>
      <x:c r="D807" s="1"/>
      <x:c r="F807" s="1"/>
      <x:c r="G807" s="1"/>
    </x:row>
    <x:row r="808">
      <x:c r="A808" s="1"/>
      <x:c r="B808" s="1"/>
      <x:c r="D808" s="1"/>
      <x:c r="F808" s="1"/>
      <x:c r="G808" s="1"/>
    </x:row>
    <x:row r="809">
      <x:c r="A809" s="1"/>
      <x:c r="B809" s="1"/>
      <x:c r="D809" s="1"/>
      <x:c r="F809" s="1"/>
      <x:c r="G809" s="1"/>
    </x:row>
    <x:row r="810">
      <x:c r="A810" s="1"/>
      <x:c r="B810" s="1"/>
      <x:c r="D810" s="1"/>
      <x:c r="F810" s="1"/>
      <x:c r="G810" s="1"/>
    </x:row>
    <x:row r="811">
      <x:c r="A811" s="1"/>
      <x:c r="B811" s="1"/>
      <x:c r="D811" s="1"/>
      <x:c r="F811" s="1"/>
      <x:c r="G811" s="1"/>
    </x:row>
    <x:row r="812">
      <x:c r="A812" s="1"/>
      <x:c r="B812" s="1"/>
      <x:c r="D812" s="1"/>
      <x:c r="F812" s="1"/>
      <x:c r="G812" s="1"/>
    </x:row>
    <x:row r="813">
      <x:c r="A813" s="1"/>
      <x:c r="B813" s="1"/>
      <x:c r="D813" s="1"/>
      <x:c r="F813" s="1"/>
      <x:c r="G813" s="1"/>
    </x:row>
    <x:row r="814">
      <x:c r="A814" s="1"/>
      <x:c r="B814" s="1"/>
      <x:c r="D814" s="1"/>
      <x:c r="F814" s="1"/>
      <x:c r="G814" s="1"/>
    </x:row>
    <x:row r="815">
      <x:c r="A815" s="1"/>
      <x:c r="B815" s="1"/>
      <x:c r="D815" s="1"/>
      <x:c r="F815" s="1"/>
      <x:c r="G815" s="1"/>
    </x:row>
    <x:row r="816">
      <x:c r="A816" s="1"/>
      <x:c r="B816" s="1"/>
      <x:c r="D816" s="1"/>
      <x:c r="F816" s="1"/>
      <x:c r="G816" s="1"/>
    </x:row>
    <x:row r="817">
      <x:c r="A817" s="1"/>
      <x:c r="B817" s="1"/>
      <x:c r="D817" s="1"/>
      <x:c r="F817" s="1"/>
      <x:c r="G817" s="1"/>
    </x:row>
    <x:row r="818">
      <x:c r="A818" s="1"/>
      <x:c r="B818" s="1"/>
      <x:c r="D818" s="1"/>
      <x:c r="F818" s="1"/>
      <x:c r="G818" s="1"/>
    </x:row>
    <x:row r="819">
      <x:c r="A819" s="1"/>
      <x:c r="B819" s="1"/>
      <x:c r="D819" s="1"/>
      <x:c r="F819" s="1"/>
      <x:c r="G819" s="1"/>
    </x:row>
    <x:row r="820">
      <x:c r="A820" s="1"/>
      <x:c r="B820" s="1"/>
      <x:c r="D820" s="1"/>
      <x:c r="F820" s="1"/>
      <x:c r="G820" s="1"/>
    </x:row>
    <x:row r="821">
      <x:c r="A821" s="1"/>
      <x:c r="B821" s="1"/>
      <x:c r="D821" s="1"/>
      <x:c r="F821" s="1"/>
      <x:c r="G821" s="1"/>
    </x:row>
    <x:row r="822">
      <x:c r="A822" s="1"/>
      <x:c r="B822" s="1"/>
      <x:c r="D822" s="1"/>
      <x:c r="F822" s="1"/>
      <x:c r="G822" s="1"/>
    </x:row>
    <x:row r="823">
      <x:c r="A823" s="1"/>
      <x:c r="B823" s="1"/>
      <x:c r="D823" s="1"/>
      <x:c r="F823" s="1"/>
      <x:c r="G823" s="1"/>
    </x:row>
    <x:row r="824">
      <x:c r="A824" s="1"/>
      <x:c r="B824" s="1"/>
      <x:c r="D824" s="1"/>
      <x:c r="F824" s="1"/>
      <x:c r="G824" s="1"/>
    </x:row>
    <x:row r="825">
      <x:c r="A825" s="1"/>
      <x:c r="B825" s="1"/>
      <x:c r="D825" s="1"/>
      <x:c r="F825" s="1"/>
      <x:c r="G825" s="1"/>
    </x:row>
    <x:row r="826">
      <x:c r="A826" s="1"/>
      <x:c r="B826" s="1"/>
      <x:c r="D826" s="1"/>
      <x:c r="F826" s="1"/>
      <x:c r="G826" s="1"/>
    </x:row>
    <x:row r="827">
      <x:c r="A827" s="1"/>
      <x:c r="B827" s="1"/>
      <x:c r="D827" s="1"/>
      <x:c r="F827" s="1"/>
      <x:c r="G827" s="1"/>
    </x:row>
    <x:row r="828">
      <x:c r="A828" s="1"/>
      <x:c r="B828" s="1"/>
      <x:c r="D828" s="1"/>
      <x:c r="F828" s="1"/>
      <x:c r="G828" s="1"/>
    </x:row>
    <x:row r="829">
      <x:c r="A829" s="1"/>
      <x:c r="B829" s="1"/>
      <x:c r="D829" s="1"/>
      <x:c r="F829" s="1"/>
      <x:c r="G829" s="1"/>
    </x:row>
    <x:row r="830">
      <x:c r="A830" s="1"/>
      <x:c r="B830" s="1"/>
      <x:c r="D830" s="1"/>
      <x:c r="F830" s="1"/>
      <x:c r="G830" s="1"/>
    </x:row>
    <x:row r="831">
      <x:c r="A831" s="1"/>
      <x:c r="B831" s="1"/>
      <x:c r="D831" s="1"/>
      <x:c r="F831" s="1"/>
      <x:c r="G831" s="1"/>
    </x:row>
    <x:row r="832">
      <x:c r="A832" s="1"/>
      <x:c r="B832" s="1"/>
      <x:c r="D832" s="1"/>
      <x:c r="F832" s="1"/>
      <x:c r="G832" s="1"/>
    </x:row>
    <x:row r="833">
      <x:c r="A833" s="1"/>
      <x:c r="B833" s="1"/>
      <x:c r="D833" s="1"/>
      <x:c r="F833" s="1"/>
      <x:c r="G833" s="1"/>
    </x:row>
    <x:row r="834">
      <x:c r="A834" s="1"/>
      <x:c r="B834" s="1"/>
      <x:c r="D834" s="1"/>
      <x:c r="F834" s="1"/>
      <x:c r="G834" s="1"/>
    </x:row>
    <x:row r="835">
      <x:c r="A835" s="1"/>
      <x:c r="B835" s="1"/>
      <x:c r="D835" s="1"/>
      <x:c r="F835" s="1"/>
      <x:c r="G835" s="1"/>
    </x:row>
    <x:row r="836">
      <x:c r="A836" s="1"/>
      <x:c r="B836" s="1"/>
      <x:c r="D836" s="1"/>
      <x:c r="F836" s="1"/>
      <x:c r="G836" s="1"/>
    </x:row>
    <x:row r="837">
      <x:c r="A837" s="1"/>
      <x:c r="B837" s="1"/>
      <x:c r="D837" s="1"/>
      <x:c r="F837" s="1"/>
      <x:c r="G837" s="1"/>
    </x:row>
    <x:row r="838">
      <x:c r="A838" s="1"/>
      <x:c r="B838" s="1"/>
      <x:c r="D838" s="1"/>
      <x:c r="F838" s="1"/>
      <x:c r="G838" s="1"/>
    </x:row>
    <x:row r="839">
      <x:c r="A839" s="1"/>
      <x:c r="B839" s="1"/>
      <x:c r="D839" s="1"/>
      <x:c r="F839" s="1"/>
      <x:c r="G839" s="1"/>
    </x:row>
    <x:row r="840">
      <x:c r="A840" s="1"/>
      <x:c r="B840" s="1"/>
      <x:c r="D840" s="1"/>
      <x:c r="F840" s="1"/>
      <x:c r="G840" s="1"/>
    </x:row>
    <x:row r="841">
      <x:c r="A841" s="1"/>
      <x:c r="B841" s="1"/>
      <x:c r="D841" s="1"/>
      <x:c r="F841" s="1"/>
      <x:c r="G841" s="1"/>
    </x:row>
    <x:row r="842">
      <x:c r="A842" s="1"/>
      <x:c r="B842" s="1"/>
      <x:c r="D842" s="1"/>
      <x:c r="F842" s="1"/>
      <x:c r="G842" s="1"/>
    </x:row>
    <x:row r="843">
      <x:c r="A843" s="1"/>
      <x:c r="B843" s="1"/>
      <x:c r="D843" s="1"/>
      <x:c r="F843" s="1"/>
      <x:c r="G843" s="1"/>
    </x:row>
    <x:row r="844">
      <x:c r="A844" s="1"/>
      <x:c r="B844" s="1"/>
      <x:c r="D844" s="1"/>
      <x:c r="F844" s="1"/>
      <x:c r="G844" s="1"/>
    </x:row>
    <x:row r="845">
      <x:c r="A845" s="1"/>
      <x:c r="B845" s="1"/>
      <x:c r="D845" s="1"/>
      <x:c r="F845" s="1"/>
      <x:c r="G845" s="1"/>
    </x:row>
    <x:row r="846">
      <x:c r="A846" s="1"/>
      <x:c r="B846" s="1"/>
      <x:c r="D846" s="1"/>
      <x:c r="F846" s="1"/>
      <x:c r="G846" s="1"/>
    </x:row>
    <x:row r="847">
      <x:c r="A847" s="1"/>
      <x:c r="B847" s="1"/>
      <x:c r="D847" s="1"/>
      <x:c r="F847" s="1"/>
      <x:c r="G847" s="1"/>
    </x:row>
    <x:row r="848">
      <x:c r="A848" s="1"/>
      <x:c r="B848" s="1"/>
      <x:c r="D848" s="1"/>
      <x:c r="F848" s="1"/>
      <x:c r="G848" s="1"/>
    </x:row>
    <x:row r="849">
      <x:c r="A849" s="1"/>
      <x:c r="B849" s="1"/>
      <x:c r="D849" s="1"/>
      <x:c r="F849" s="1"/>
      <x:c r="G849" s="1"/>
    </x:row>
    <x:row r="850">
      <x:c r="A850" s="1"/>
      <x:c r="B850" s="1"/>
      <x:c r="D850" s="1"/>
      <x:c r="F850" s="1"/>
      <x:c r="G850" s="1"/>
    </x:row>
    <x:row r="851">
      <x:c r="A851" s="1"/>
      <x:c r="B851" s="1"/>
      <x:c r="D851" s="1"/>
      <x:c r="F851" s="1"/>
      <x:c r="G851" s="1"/>
    </x:row>
    <x:row r="852">
      <x:c r="A852" s="1"/>
      <x:c r="B852" s="1"/>
      <x:c r="D852" s="1"/>
      <x:c r="F852" s="1"/>
      <x:c r="G852" s="1"/>
    </x:row>
    <x:row r="853">
      <x:c r="A853" s="1"/>
      <x:c r="B853" s="1"/>
      <x:c r="D853" s="1"/>
      <x:c r="F853" s="1"/>
      <x:c r="G853" s="1"/>
    </x:row>
    <x:row r="854">
      <x:c r="A854" s="1"/>
      <x:c r="B854" s="1"/>
      <x:c r="D854" s="1"/>
      <x:c r="F854" s="1"/>
      <x:c r="G854" s="1"/>
    </x:row>
    <x:row r="855">
      <x:c r="A855" s="1"/>
      <x:c r="B855" s="1"/>
      <x:c r="D855" s="1"/>
      <x:c r="F855" s="1"/>
      <x:c r="G855" s="1"/>
    </x:row>
    <x:row r="856">
      <x:c r="A856" s="1"/>
      <x:c r="B856" s="1"/>
      <x:c r="D856" s="1"/>
      <x:c r="F856" s="1"/>
      <x:c r="G856" s="1"/>
    </x:row>
    <x:row r="857">
      <x:c r="A857" s="1"/>
      <x:c r="B857" s="1"/>
      <x:c r="D857" s="1"/>
      <x:c r="F857" s="1"/>
      <x:c r="G857" s="1"/>
    </x:row>
    <x:row r="858">
      <x:c r="A858" s="1"/>
      <x:c r="B858" s="1"/>
      <x:c r="D858" s="1"/>
      <x:c r="F858" s="1"/>
      <x:c r="G858" s="1"/>
    </x:row>
    <x:row r="859">
      <x:c r="A859" s="1"/>
      <x:c r="B859" s="1"/>
      <x:c r="D859" s="1"/>
      <x:c r="F859" s="1"/>
      <x:c r="G859" s="1"/>
    </x:row>
    <x:row r="860">
      <x:c r="A860" s="1"/>
      <x:c r="B860" s="1"/>
      <x:c r="D860" s="1"/>
      <x:c r="F860" s="1"/>
      <x:c r="G860" s="1"/>
    </x:row>
    <x:row r="861">
      <x:c r="A861" s="1"/>
      <x:c r="B861" s="1"/>
      <x:c r="D861" s="1"/>
      <x:c r="F861" s="1"/>
      <x:c r="G861" s="1"/>
    </x:row>
    <x:row r="862">
      <x:c r="A862" s="1"/>
      <x:c r="B862" s="1"/>
      <x:c r="D862" s="1"/>
      <x:c r="F862" s="1"/>
      <x:c r="G862" s="1"/>
    </x:row>
    <x:row r="863">
      <x:c r="A863" s="1"/>
      <x:c r="B863" s="1"/>
      <x:c r="D863" s="1"/>
      <x:c r="F863" s="1"/>
      <x:c r="G863" s="1"/>
    </x:row>
    <x:row r="864">
      <x:c r="A864" s="1"/>
      <x:c r="B864" s="1"/>
      <x:c r="D864" s="1"/>
      <x:c r="F864" s="1"/>
      <x:c r="G864" s="1"/>
    </x:row>
    <x:row r="865">
      <x:c r="A865" s="1"/>
      <x:c r="B865" s="1"/>
      <x:c r="D865" s="1"/>
      <x:c r="F865" s="1"/>
      <x:c r="G865" s="1"/>
    </x:row>
    <x:row r="866">
      <x:c r="A866" s="1"/>
      <x:c r="B866" s="1"/>
      <x:c r="D866" s="1"/>
      <x:c r="F866" s="1"/>
      <x:c r="G866" s="1"/>
    </x:row>
    <x:row r="867">
      <x:c r="A867" s="1"/>
      <x:c r="B867" s="1"/>
      <x:c r="D867" s="1"/>
      <x:c r="F867" s="1"/>
      <x:c r="G867" s="1"/>
    </x:row>
    <x:row r="868">
      <x:c r="A868" s="1"/>
      <x:c r="B868" s="1"/>
      <x:c r="D868" s="1"/>
      <x:c r="F868" s="1"/>
      <x:c r="G868" s="1"/>
    </x:row>
    <x:row r="869">
      <x:c r="A869" s="1"/>
      <x:c r="B869" s="1"/>
      <x:c r="D869" s="1"/>
      <x:c r="F869" s="1"/>
      <x:c r="G869" s="1"/>
    </x:row>
    <x:row r="870">
      <x:c r="A870" s="1"/>
      <x:c r="B870" s="1"/>
      <x:c r="D870" s="1"/>
      <x:c r="F870" s="1"/>
      <x:c r="G870" s="1"/>
    </x:row>
    <x:row r="871">
      <x:c r="A871" s="1"/>
      <x:c r="B871" s="1"/>
      <x:c r="D871" s="1"/>
      <x:c r="F871" s="1"/>
      <x:c r="G871" s="1"/>
    </x:row>
    <x:row r="872">
      <x:c r="A872" s="1"/>
      <x:c r="B872" s="1"/>
      <x:c r="D872" s="1"/>
      <x:c r="F872" s="1"/>
      <x:c r="G872" s="1"/>
    </x:row>
    <x:row r="873">
      <x:c r="A873" s="1"/>
      <x:c r="B873" s="1"/>
      <x:c r="D873" s="1"/>
      <x:c r="F873" s="1"/>
      <x:c r="G873" s="1"/>
    </x:row>
    <x:row r="874">
      <x:c r="A874" s="1"/>
      <x:c r="B874" s="1"/>
      <x:c r="D874" s="1"/>
      <x:c r="F874" s="1"/>
      <x:c r="G874" s="1"/>
    </x:row>
    <x:row r="875">
      <x:c r="A875" s="1"/>
      <x:c r="B875" s="1"/>
      <x:c r="D875" s="1"/>
      <x:c r="F875" s="1"/>
      <x:c r="G875" s="1"/>
    </x:row>
    <x:row r="876">
      <x:c r="A876" s="1"/>
      <x:c r="B876" s="1"/>
      <x:c r="D876" s="1"/>
      <x:c r="F876" s="1"/>
      <x:c r="G876" s="1"/>
    </x:row>
    <x:row r="877">
      <x:c r="A877" s="1"/>
      <x:c r="B877" s="1"/>
      <x:c r="D877" s="1"/>
      <x:c r="F877" s="1"/>
      <x:c r="G877" s="1"/>
    </x:row>
    <x:row r="878">
      <x:c r="A878" s="1"/>
      <x:c r="B878" s="1"/>
      <x:c r="D878" s="1"/>
      <x:c r="F878" s="1"/>
      <x:c r="G878" s="1"/>
    </x:row>
    <x:row r="879">
      <x:c r="A879" s="1"/>
      <x:c r="B879" s="1"/>
      <x:c r="D879" s="1"/>
      <x:c r="F879" s="1"/>
      <x:c r="G879" s="1"/>
    </x:row>
    <x:row r="880">
      <x:c r="A880" s="1"/>
      <x:c r="B880" s="1"/>
      <x:c r="D880" s="1"/>
      <x:c r="F880" s="1"/>
      <x:c r="G880" s="1"/>
    </x:row>
    <x:row r="881">
      <x:c r="A881" s="1"/>
      <x:c r="B881" s="1"/>
      <x:c r="D881" s="1"/>
      <x:c r="F881" s="1"/>
      <x:c r="G881" s="1"/>
    </x:row>
    <x:row r="882">
      <x:c r="A882" s="1"/>
      <x:c r="B882" s="1"/>
      <x:c r="D882" s="1"/>
      <x:c r="F882" s="1"/>
      <x:c r="G882" s="1"/>
    </x:row>
    <x:row r="883">
      <x:c r="A883" s="1"/>
      <x:c r="B883" s="1"/>
      <x:c r="D883" s="1"/>
      <x:c r="F883" s="1"/>
      <x:c r="G883" s="1"/>
    </x:row>
    <x:row r="884">
      <x:c r="A884" s="1"/>
      <x:c r="B884" s="1"/>
      <x:c r="D884" s="1"/>
      <x:c r="F884" s="1"/>
      <x:c r="G884" s="1"/>
    </x:row>
    <x:row r="885">
      <x:c r="A885" s="1"/>
      <x:c r="B885" s="1"/>
      <x:c r="D885" s="1"/>
      <x:c r="F885" s="1"/>
      <x:c r="G885" s="1"/>
    </x:row>
    <x:row r="886">
      <x:c r="A886" s="1"/>
      <x:c r="B886" s="1"/>
      <x:c r="D886" s="1"/>
      <x:c r="F886" s="1"/>
      <x:c r="G886" s="1"/>
    </x:row>
    <x:row r="887">
      <x:c r="A887" s="1"/>
      <x:c r="B887" s="1"/>
      <x:c r="D887" s="1"/>
      <x:c r="F887" s="1"/>
      <x:c r="G887" s="1"/>
    </x:row>
    <x:row r="888">
      <x:c r="A888" s="1"/>
      <x:c r="B888" s="1"/>
      <x:c r="D888" s="1"/>
      <x:c r="F888" s="1"/>
      <x:c r="G888" s="1"/>
    </x:row>
    <x:row r="889">
      <x:c r="A889" s="1"/>
      <x:c r="B889" s="1"/>
      <x:c r="D889" s="1"/>
      <x:c r="F889" s="1"/>
      <x:c r="G889" s="1"/>
    </x:row>
    <x:row r="890">
      <x:c r="A890" s="1"/>
      <x:c r="B890" s="1"/>
      <x:c r="D890" s="1"/>
      <x:c r="F890" s="1"/>
      <x:c r="G890" s="1"/>
    </x:row>
    <x:row r="891">
      <x:c r="A891" s="1"/>
      <x:c r="B891" s="1"/>
      <x:c r="D891" s="1"/>
      <x:c r="F891" s="1"/>
      <x:c r="G891" s="1"/>
    </x:row>
    <x:row r="892">
      <x:c r="A892" s="1"/>
      <x:c r="B892" s="1"/>
      <x:c r="D892" s="1"/>
      <x:c r="F892" s="1"/>
      <x:c r="G892" s="1"/>
    </x:row>
    <x:row r="893">
      <x:c r="A893" s="1"/>
      <x:c r="B893" s="1"/>
      <x:c r="D893" s="1"/>
      <x:c r="F893" s="1"/>
      <x:c r="G893" s="1"/>
    </x:row>
    <x:row r="894">
      <x:c r="A894" s="1"/>
      <x:c r="B894" s="1"/>
      <x:c r="D894" s="1"/>
      <x:c r="F894" s="1"/>
      <x:c r="G894" s="1"/>
    </x:row>
    <x:row r="895">
      <x:c r="A895" s="1"/>
      <x:c r="B895" s="1"/>
      <x:c r="D895" s="1"/>
      <x:c r="F895" s="1"/>
      <x:c r="G895" s="1"/>
    </x:row>
    <x:row r="896">
      <x:c r="A896" s="1"/>
      <x:c r="B896" s="1"/>
      <x:c r="D896" s="1"/>
      <x:c r="F896" s="1"/>
      <x:c r="G896" s="1"/>
    </x:row>
    <x:row r="897">
      <x:c r="A897" s="1"/>
      <x:c r="B897" s="1"/>
      <x:c r="D897" s="1"/>
      <x:c r="F897" s="1"/>
      <x:c r="G897" s="1"/>
    </x:row>
    <x:row r="898">
      <x:c r="A898" s="1"/>
      <x:c r="B898" s="1"/>
      <x:c r="D898" s="1"/>
      <x:c r="F898" s="1"/>
      <x:c r="G898" s="1"/>
    </x:row>
    <x:row r="899">
      <x:c r="A899" s="1"/>
      <x:c r="B899" s="1"/>
      <x:c r="D899" s="1"/>
      <x:c r="F899" s="1"/>
      <x:c r="G899" s="1"/>
    </x:row>
    <x:row r="900">
      <x:c r="A900" s="1"/>
      <x:c r="B900" s="1"/>
      <x:c r="D900" s="1"/>
      <x:c r="F900" s="1"/>
      <x:c r="G900" s="1"/>
    </x:row>
    <x:row r="901">
      <x:c r="A901" s="1"/>
      <x:c r="B901" s="1"/>
      <x:c r="D901" s="1"/>
      <x:c r="F901" s="1"/>
      <x:c r="G901" s="1"/>
    </x:row>
    <x:row r="902">
      <x:c r="A902" s="1"/>
      <x:c r="B902" s="1"/>
      <x:c r="D902" s="1"/>
      <x:c r="F902" s="1"/>
      <x:c r="G902" s="1"/>
    </x:row>
    <x:row r="903">
      <x:c r="A903" s="1"/>
      <x:c r="B903" s="1"/>
      <x:c r="D903" s="1"/>
      <x:c r="F903" s="1"/>
      <x:c r="G903" s="1"/>
    </x:row>
    <x:row r="904">
      <x:c r="A904" s="1"/>
      <x:c r="B904" s="1"/>
      <x:c r="D904" s="1"/>
      <x:c r="F904" s="1"/>
      <x:c r="G904" s="1"/>
    </x:row>
    <x:row r="905">
      <x:c r="A905" s="1"/>
      <x:c r="B905" s="1"/>
      <x:c r="D905" s="1"/>
      <x:c r="F905" s="1"/>
      <x:c r="G905" s="1"/>
    </x:row>
    <x:row r="906">
      <x:c r="A906" s="1"/>
      <x:c r="B906" s="1"/>
      <x:c r="D906" s="1"/>
      <x:c r="F906" s="1"/>
      <x:c r="G906" s="1"/>
    </x:row>
    <x:row r="907">
      <x:c r="A907" s="1"/>
      <x:c r="B907" s="1"/>
      <x:c r="D907" s="1"/>
      <x:c r="F907" s="1"/>
      <x:c r="G907" s="1"/>
    </x:row>
    <x:row r="908">
      <x:c r="A908" s="1"/>
      <x:c r="B908" s="1"/>
      <x:c r="D908" s="1"/>
      <x:c r="F908" s="1"/>
      <x:c r="G908" s="1"/>
    </x:row>
    <x:row r="909">
      <x:c r="A909" s="1"/>
      <x:c r="B909" s="1"/>
      <x:c r="D909" s="1"/>
      <x:c r="F909" s="1"/>
      <x:c r="G909" s="1"/>
    </x:row>
    <x:row r="910">
      <x:c r="A910" s="1"/>
      <x:c r="B910" s="1"/>
      <x:c r="D910" s="1"/>
      <x:c r="F910" s="1"/>
      <x:c r="G910" s="1"/>
    </x:row>
    <x:row r="911">
      <x:c r="A911" s="1"/>
      <x:c r="B911" s="1"/>
      <x:c r="D911" s="1"/>
      <x:c r="F911" s="1"/>
      <x:c r="G911" s="1"/>
    </x:row>
    <x:row r="912">
      <x:c r="A912" s="1"/>
      <x:c r="B912" s="1"/>
      <x:c r="D912" s="1"/>
      <x:c r="F912" s="1"/>
      <x:c r="G912" s="1"/>
    </x:row>
    <x:row r="913">
      <x:c r="A913" s="1"/>
      <x:c r="B913" s="1"/>
      <x:c r="D913" s="1"/>
      <x:c r="F913" s="1"/>
      <x:c r="G913" s="1"/>
    </x:row>
    <x:row r="914">
      <x:c r="A914" s="1"/>
      <x:c r="B914" s="1"/>
      <x:c r="D914" s="1"/>
      <x:c r="F914" s="1"/>
      <x:c r="G914" s="1"/>
    </x:row>
    <x:row r="915">
      <x:c r="A915" s="1"/>
      <x:c r="B915" s="1"/>
      <x:c r="D915" s="1"/>
      <x:c r="F915" s="1"/>
      <x:c r="G915" s="1"/>
    </x:row>
    <x:row r="916">
      <x:c r="A916" s="1"/>
      <x:c r="B916" s="1"/>
      <x:c r="D916" s="1"/>
      <x:c r="F916" s="1"/>
      <x:c r="G916" s="1"/>
    </x:row>
    <x:row r="917">
      <x:c r="A917" s="1"/>
      <x:c r="B917" s="1"/>
      <x:c r="D917" s="1"/>
      <x:c r="F917" s="1"/>
      <x:c r="G917" s="1"/>
    </x:row>
    <x:row r="918">
      <x:c r="A918" s="1"/>
      <x:c r="B918" s="1"/>
      <x:c r="D918" s="1"/>
      <x:c r="F918" s="1"/>
      <x:c r="G918" s="1"/>
    </x:row>
    <x:row r="919">
      <x:c r="A919" s="1"/>
      <x:c r="B919" s="1"/>
      <x:c r="D919" s="1"/>
      <x:c r="F919" s="1"/>
      <x:c r="G919" s="1"/>
    </x:row>
    <x:row r="920">
      <x:c r="A920" s="1"/>
      <x:c r="B920" s="1"/>
      <x:c r="D920" s="1"/>
      <x:c r="F920" s="1"/>
      <x:c r="G920" s="1"/>
    </x:row>
    <x:row r="921">
      <x:c r="A921" s="1"/>
      <x:c r="B921" s="1"/>
      <x:c r="D921" s="1"/>
      <x:c r="F921" s="1"/>
      <x:c r="G921" s="1"/>
    </x:row>
    <x:row r="922">
      <x:c r="A922" s="1"/>
      <x:c r="B922" s="1"/>
      <x:c r="D922" s="1"/>
      <x:c r="F922" s="1"/>
      <x:c r="G922" s="1"/>
    </x:row>
    <x:row r="923">
      <x:c r="A923" s="1"/>
      <x:c r="B923" s="1"/>
      <x:c r="D923" s="1"/>
      <x:c r="F923" s="1"/>
      <x:c r="G923" s="1"/>
    </x:row>
    <x:row r="924">
      <x:c r="A924" s="1"/>
      <x:c r="B924" s="1"/>
      <x:c r="D924" s="1"/>
      <x:c r="F924" s="1"/>
      <x:c r="G924" s="1"/>
    </x:row>
    <x:row r="925">
      <x:c r="A925" s="1"/>
      <x:c r="B925" s="1"/>
      <x:c r="D925" s="1"/>
      <x:c r="F925" s="1"/>
      <x:c r="G925" s="1"/>
    </x:row>
    <x:row r="926">
      <x:c r="A926" s="1"/>
      <x:c r="B926" s="1"/>
      <x:c r="D926" s="1"/>
      <x:c r="F926" s="1"/>
      <x:c r="G926" s="1"/>
    </x:row>
    <x:row r="927">
      <x:c r="A927" s="1"/>
      <x:c r="B927" s="1"/>
      <x:c r="D927" s="1"/>
      <x:c r="F927" s="1"/>
      <x:c r="G927" s="1"/>
    </x:row>
    <x:row r="928">
      <x:c r="A928" s="1"/>
      <x:c r="B928" s="1"/>
      <x:c r="D928" s="1"/>
      <x:c r="F928" s="1"/>
      <x:c r="G928" s="1"/>
    </x:row>
    <x:row r="929">
      <x:c r="A929" s="1"/>
      <x:c r="B929" s="1"/>
      <x:c r="D929" s="1"/>
      <x:c r="F929" s="1"/>
      <x:c r="G929" s="1"/>
    </x:row>
    <x:row r="930">
      <x:c r="A930" s="1"/>
      <x:c r="B930" s="1"/>
      <x:c r="D930" s="1"/>
      <x:c r="F930" s="1"/>
      <x:c r="G930" s="1"/>
    </x:row>
    <x:row r="931">
      <x:c r="A931" s="1"/>
      <x:c r="B931" s="1"/>
      <x:c r="D931" s="1"/>
      <x:c r="F931" s="1"/>
      <x:c r="G931" s="1"/>
    </x:row>
    <x:row r="932">
      <x:c r="A932" s="1"/>
      <x:c r="B932" s="1"/>
      <x:c r="D932" s="1"/>
      <x:c r="F932" s="1"/>
      <x:c r="G932" s="1"/>
    </x:row>
    <x:row r="933">
      <x:c r="A933" s="1"/>
      <x:c r="B933" s="1"/>
      <x:c r="D933" s="1"/>
      <x:c r="F933" s="1"/>
      <x:c r="G933" s="1"/>
    </x:row>
    <x:row r="934">
      <x:c r="A934" s="1"/>
      <x:c r="B934" s="1"/>
      <x:c r="D934" s="1"/>
      <x:c r="F934" s="1"/>
      <x:c r="G934" s="1"/>
    </x:row>
    <x:row r="935">
      <x:c r="A935" s="1"/>
      <x:c r="B935" s="1"/>
      <x:c r="D935" s="1"/>
      <x:c r="F935" s="1"/>
      <x:c r="G935" s="1"/>
    </x:row>
    <x:row r="936">
      <x:c r="A936" s="1"/>
      <x:c r="B936" s="1"/>
      <x:c r="D936" s="1"/>
      <x:c r="F936" s="1"/>
      <x:c r="G936" s="1"/>
    </x:row>
    <x:row r="937">
      <x:c r="A937" s="1"/>
      <x:c r="B937" s="1"/>
      <x:c r="D937" s="1"/>
      <x:c r="F937" s="1"/>
      <x:c r="G937" s="1"/>
    </x:row>
    <x:row r="938">
      <x:c r="A938" s="1"/>
      <x:c r="B938" s="1"/>
      <x:c r="D938" s="1"/>
      <x:c r="F938" s="1"/>
      <x:c r="G938" s="1"/>
    </x:row>
    <x:row r="939">
      <x:c r="A939" s="1"/>
      <x:c r="B939" s="1"/>
      <x:c r="D939" s="1"/>
      <x:c r="F939" s="1"/>
      <x:c r="G939" s="1"/>
    </x:row>
    <x:row r="940">
      <x:c r="A940" s="1"/>
      <x:c r="B940" s="1"/>
      <x:c r="D940" s="1"/>
      <x:c r="F940" s="1"/>
      <x:c r="G940" s="1"/>
    </x:row>
    <x:row r="941">
      <x:c r="A941" s="1"/>
      <x:c r="B941" s="1"/>
      <x:c r="D941" s="1"/>
      <x:c r="F941" s="1"/>
      <x:c r="G941" s="1"/>
    </x:row>
    <x:row r="942">
      <x:c r="A942" s="1"/>
      <x:c r="B942" s="1"/>
      <x:c r="D942" s="1"/>
      <x:c r="F942" s="1"/>
      <x:c r="G942" s="1"/>
    </x:row>
    <x:row r="943">
      <x:c r="A943" s="1"/>
      <x:c r="B943" s="1"/>
      <x:c r="D943" s="1"/>
      <x:c r="F943" s="1"/>
      <x:c r="G943" s="1"/>
    </x:row>
    <x:row r="944">
      <x:c r="A944" s="1"/>
      <x:c r="B944" s="1"/>
      <x:c r="D944" s="1"/>
      <x:c r="F944" s="1"/>
      <x:c r="G944" s="1"/>
    </x:row>
    <x:row r="945">
      <x:c r="A945" s="1"/>
      <x:c r="B945" s="1"/>
      <x:c r="D945" s="1"/>
      <x:c r="F945" s="1"/>
      <x:c r="G945" s="1"/>
    </x:row>
    <x:row r="946">
      <x:c r="A946" s="1"/>
      <x:c r="B946" s="1"/>
      <x:c r="D946" s="1"/>
      <x:c r="F946" s="1"/>
      <x:c r="G946" s="1"/>
    </x:row>
    <x:row r="947">
      <x:c r="A947" s="1"/>
      <x:c r="B947" s="1"/>
      <x:c r="D947" s="1"/>
      <x:c r="F947" s="1"/>
      <x:c r="G947" s="1"/>
    </x:row>
    <x:row r="948">
      <x:c r="A948" s="1"/>
      <x:c r="B948" s="1"/>
      <x:c r="D948" s="1"/>
      <x:c r="F948" s="1"/>
      <x:c r="G948" s="1"/>
    </x:row>
    <x:row r="949">
      <x:c r="A949" s="1"/>
      <x:c r="B949" s="1"/>
      <x:c r="D949" s="1"/>
      <x:c r="F949" s="1"/>
      <x:c r="G949" s="1"/>
    </x:row>
    <x:row r="950">
      <x:c r="A950" s="1"/>
      <x:c r="B950" s="1"/>
      <x:c r="D950" s="1"/>
      <x:c r="F950" s="1"/>
      <x:c r="G950" s="1"/>
    </x:row>
    <x:row r="951">
      <x:c r="A951" s="1"/>
      <x:c r="B951" s="1"/>
      <x:c r="D951" s="1"/>
      <x:c r="F951" s="1"/>
      <x:c r="G951" s="1"/>
    </x:row>
    <x:row r="952">
      <x:c r="A952" s="1"/>
      <x:c r="B952" s="1"/>
      <x:c r="D952" s="1"/>
      <x:c r="F952" s="1"/>
      <x:c r="G952" s="1"/>
    </x:row>
    <x:row r="953">
      <x:c r="A953" s="1"/>
      <x:c r="B953" s="1"/>
      <x:c r="D953" s="1"/>
      <x:c r="F953" s="1"/>
      <x:c r="G953" s="1"/>
    </x:row>
    <x:row r="954">
      <x:c r="A954" s="1"/>
      <x:c r="B954" s="1"/>
      <x:c r="D954" s="1"/>
      <x:c r="F954" s="1"/>
      <x:c r="G954" s="1"/>
    </x:row>
    <x:row r="955">
      <x:c r="A955" s="1"/>
      <x:c r="B955" s="1"/>
      <x:c r="D955" s="1"/>
      <x:c r="F955" s="1"/>
      <x:c r="G955" s="1"/>
    </x:row>
    <x:row r="956">
      <x:c r="A956" s="1"/>
      <x:c r="B956" s="1"/>
      <x:c r="D956" s="1"/>
      <x:c r="F956" s="1"/>
      <x:c r="G956" s="1"/>
    </x:row>
    <x:row r="957">
      <x:c r="A957" s="1"/>
      <x:c r="B957" s="1"/>
      <x:c r="D957" s="1"/>
      <x:c r="F957" s="1"/>
      <x:c r="G957" s="1"/>
    </x:row>
    <x:row r="958">
      <x:c r="A958" s="1"/>
      <x:c r="B958" s="1"/>
      <x:c r="D958" s="1"/>
      <x:c r="F958" s="1"/>
      <x:c r="G958" s="1"/>
    </x:row>
    <x:row r="959">
      <x:c r="A959" s="1"/>
      <x:c r="B959" s="1"/>
      <x:c r="D959" s="1"/>
      <x:c r="F959" s="1"/>
      <x:c r="G959" s="1"/>
    </x:row>
    <x:row r="960">
      <x:c r="A960" s="1"/>
      <x:c r="B960" s="1"/>
      <x:c r="D960" s="1"/>
      <x:c r="F960" s="1"/>
      <x:c r="G960" s="1"/>
    </x:row>
    <x:row r="961">
      <x:c r="A961" s="1"/>
      <x:c r="B961" s="1"/>
      <x:c r="D961" s="1"/>
      <x:c r="F961" s="1"/>
      <x:c r="G961" s="1"/>
    </x:row>
    <x:row r="962">
      <x:c r="A962" s="1"/>
      <x:c r="B962" s="1"/>
      <x:c r="D962" s="1"/>
      <x:c r="F962" s="1"/>
      <x:c r="G962" s="1"/>
    </x:row>
    <x:row r="963">
      <x:c r="A963" s="1"/>
      <x:c r="B963" s="1"/>
      <x:c r="D963" s="1"/>
      <x:c r="F963" s="1"/>
      <x:c r="G963" s="1"/>
    </x:row>
    <x:row r="964">
      <x:c r="A964" s="1"/>
      <x:c r="B964" s="1"/>
      <x:c r="D964" s="1"/>
      <x:c r="F964" s="1"/>
      <x:c r="G964" s="1"/>
    </x:row>
    <x:row r="965">
      <x:c r="A965" s="1"/>
      <x:c r="B965" s="1"/>
      <x:c r="D965" s="1"/>
      <x:c r="F965" s="1"/>
      <x:c r="G965" s="1"/>
    </x:row>
    <x:row r="966">
      <x:c r="A966" s="1"/>
      <x:c r="B966" s="1"/>
      <x:c r="D966" s="1"/>
      <x:c r="F966" s="1"/>
      <x:c r="G966" s="1"/>
    </x:row>
    <x:row r="967">
      <x:c r="A967" s="1"/>
      <x:c r="B967" s="1"/>
      <x:c r="D967" s="1"/>
      <x:c r="F967" s="1"/>
      <x:c r="G967" s="1"/>
    </x:row>
    <x:row r="968">
      <x:c r="A968" s="1"/>
      <x:c r="B968" s="1"/>
      <x:c r="D968" s="1"/>
      <x:c r="F968" s="1"/>
      <x:c r="G968" s="1"/>
    </x:row>
    <x:row r="969">
      <x:c r="A969" s="1"/>
      <x:c r="B969" s="1"/>
      <x:c r="D969" s="1"/>
      <x:c r="F969" s="1"/>
      <x:c r="G969" s="1"/>
    </x:row>
    <x:row r="970">
      <x:c r="A970" s="1"/>
      <x:c r="B970" s="1"/>
      <x:c r="D970" s="1"/>
      <x:c r="F970" s="1"/>
      <x:c r="G970" s="1"/>
    </x:row>
    <x:row r="971">
      <x:c r="A971" s="1"/>
      <x:c r="B971" s="1"/>
      <x:c r="D971" s="1"/>
      <x:c r="F971" s="1"/>
      <x:c r="G971" s="1"/>
    </x:row>
    <x:row r="972">
      <x:c r="A972" s="1"/>
      <x:c r="B972" s="1"/>
      <x:c r="D972" s="1"/>
      <x:c r="F972" s="1"/>
      <x:c r="G972" s="1"/>
    </x:row>
    <x:row r="973">
      <x:c r="A973" s="1"/>
      <x:c r="B973" s="1"/>
      <x:c r="D973" s="1"/>
      <x:c r="F973" s="1"/>
      <x:c r="G973" s="1"/>
    </x:row>
    <x:row r="974">
      <x:c r="A974" s="1"/>
      <x:c r="B974" s="1"/>
      <x:c r="D974" s="1"/>
      <x:c r="F974" s="1"/>
      <x:c r="G974" s="1"/>
    </x:row>
    <x:row r="975">
      <x:c r="A975" s="1"/>
      <x:c r="B975" s="1"/>
      <x:c r="D975" s="1"/>
      <x:c r="F975" s="1"/>
      <x:c r="G975" s="1"/>
    </x:row>
    <x:row r="976">
      <x:c r="A976" s="1"/>
      <x:c r="B976" s="1"/>
      <x:c r="D976" s="1"/>
      <x:c r="F976" s="1"/>
      <x:c r="G976" s="1"/>
    </x:row>
    <x:row r="977">
      <x:c r="A977" s="1"/>
      <x:c r="B977" s="1"/>
      <x:c r="D977" s="1"/>
      <x:c r="F977" s="1"/>
      <x:c r="G977" s="1"/>
    </x:row>
    <x:row r="978">
      <x:c r="A978" s="1"/>
      <x:c r="B978" s="1"/>
      <x:c r="D978" s="1"/>
      <x:c r="F978" s="1"/>
      <x:c r="G978" s="1"/>
    </x:row>
    <x:row r="979">
      <x:c r="A979" s="1"/>
      <x:c r="B979" s="1"/>
      <x:c r="D979" s="1"/>
      <x:c r="F979" s="1"/>
      <x:c r="G979" s="1"/>
    </x:row>
    <x:row r="980">
      <x:c r="A980" s="1"/>
      <x:c r="B980" s="1"/>
      <x:c r="D980" s="1"/>
      <x:c r="F980" s="1"/>
      <x:c r="G980" s="1"/>
    </x:row>
    <x:row r="981">
      <x:c r="A981" s="1"/>
      <x:c r="B981" s="1"/>
      <x:c r="D981" s="1"/>
      <x:c r="F981" s="1"/>
      <x:c r="G981" s="1"/>
    </x:row>
    <x:row r="982">
      <x:c r="A982" s="1"/>
      <x:c r="B982" s="1"/>
      <x:c r="D982" s="1"/>
      <x:c r="F982" s="1"/>
      <x:c r="G982" s="1"/>
    </x:row>
    <x:row r="983">
      <x:c r="A983" s="1"/>
      <x:c r="B983" s="1"/>
      <x:c r="D983" s="1"/>
      <x:c r="F983" s="1"/>
      <x:c r="G983" s="1"/>
    </x:row>
    <x:row r="984">
      <x:c r="A984" s="1"/>
      <x:c r="B984" s="1"/>
      <x:c r="D984" s="1"/>
      <x:c r="F984" s="1"/>
      <x:c r="G984" s="1"/>
    </x:row>
    <x:row r="985">
      <x:c r="A985" s="1"/>
      <x:c r="B985" s="1"/>
      <x:c r="D985" s="1"/>
      <x:c r="F985" s="1"/>
      <x:c r="G985" s="1"/>
    </x:row>
    <x:row r="986">
      <x:c r="A986" s="1"/>
      <x:c r="B986" s="1"/>
      <x:c r="D986" s="1"/>
      <x:c r="F986" s="1"/>
      <x:c r="G986" s="1"/>
    </x:row>
    <x:row r="987">
      <x:c r="A987" s="1"/>
      <x:c r="B987" s="1"/>
      <x:c r="D987" s="1"/>
      <x:c r="F987" s="1"/>
      <x:c r="G987" s="1"/>
    </x:row>
    <x:row r="988">
      <x:c r="A988" s="1"/>
      <x:c r="B988" s="1"/>
      <x:c r="D988" s="1"/>
      <x:c r="F988" s="1"/>
      <x:c r="G988" s="1"/>
    </x:row>
    <x:row r="989">
      <x:c r="A989" s="1"/>
      <x:c r="B989" s="1"/>
      <x:c r="D989" s="1"/>
      <x:c r="F989" s="1"/>
      <x:c r="G989" s="1"/>
    </x:row>
    <x:row r="990">
      <x:c r="A990" s="1"/>
      <x:c r="B990" s="1"/>
      <x:c r="D990" s="1"/>
      <x:c r="F990" s="1"/>
      <x:c r="G990" s="1"/>
    </x:row>
    <x:row r="991">
      <x:c r="A991" s="1"/>
      <x:c r="B991" s="1"/>
      <x:c r="D991" s="1"/>
      <x:c r="F991" s="1"/>
      <x:c r="G991" s="1"/>
    </x:row>
    <x:row r="992">
      <x:c r="A992" s="1"/>
      <x:c r="B992" s="1"/>
      <x:c r="D992" s="1"/>
      <x:c r="F992" s="1"/>
      <x:c r="G992" s="1"/>
    </x:row>
    <x:row r="993">
      <x:c r="A993" s="1"/>
      <x:c r="B993" s="1"/>
      <x:c r="D993" s="1"/>
      <x:c r="F993" s="1"/>
      <x:c r="G993" s="1"/>
    </x:row>
    <x:row r="994">
      <x:c r="A994" s="1"/>
      <x:c r="B994" s="1"/>
      <x:c r="D994" s="1"/>
      <x:c r="F994" s="1"/>
      <x:c r="G994" s="1"/>
    </x:row>
    <x:row r="995">
      <x:c r="A995" s="1"/>
      <x:c r="B995" s="1"/>
      <x:c r="D995" s="1"/>
      <x:c r="F995" s="1"/>
      <x:c r="G995" s="1"/>
    </x:row>
    <x:row r="996">
      <x:c r="A996" s="1"/>
      <x:c r="B996" s="1"/>
      <x:c r="D996" s="1"/>
      <x:c r="F996" s="1"/>
      <x:c r="G996" s="1"/>
    </x:row>
    <x:row r="997">
      <x:c r="A997" s="1"/>
      <x:c r="B997" s="1"/>
      <x:c r="D997" s="1"/>
      <x:c r="F997" s="1"/>
      <x:c r="G997" s="1"/>
    </x:row>
    <x:row r="998">
      <x:c r="A998" s="1"/>
      <x:c r="B998" s="1"/>
      <x:c r="D998" s="1"/>
      <x:c r="F998" s="1"/>
      <x:c r="G998" s="1"/>
    </x:row>
    <x:row r="999">
      <x:c r="A999" s="1"/>
      <x:c r="B999" s="1"/>
      <x:c r="D999" s="1"/>
      <x:c r="F999" s="1"/>
      <x:c r="G999" s="1"/>
    </x:row>
    <x:row r="1000">
      <x:c r="A1000" s="1"/>
      <x:c r="B1000" s="1"/>
      <x:c r="D1000" s="1"/>
      <x:c r="F1000" s="1"/>
      <x:c r="G1000" s="1"/>
    </x:row>
    <x:row r="1001">
      <x:c r="A1001" s="1"/>
      <x:c r="B1001" s="1"/>
      <x:c r="D1001" s="1"/>
      <x:c r="F1001" s="1"/>
      <x:c r="G1001" s="1"/>
    </x:row>
    <x:row r="1002">
      <x:c r="A1002" s="1"/>
      <x:c r="B1002" s="1"/>
      <x:c r="D1002" s="1"/>
      <x:c r="F1002" s="1"/>
      <x:c r="G1002" s="1"/>
    </x:row>
    <x:row r="1003">
      <x:c r="A1003" s="1"/>
      <x:c r="B1003" s="1"/>
      <x:c r="D1003" s="1"/>
      <x:c r="F1003" s="1"/>
      <x:c r="G1003" s="1"/>
    </x:row>
    <x:row r="1004">
      <x:c r="A1004" s="1"/>
      <x:c r="B1004" s="1"/>
      <x:c r="D1004" s="1"/>
      <x:c r="F1004" s="1"/>
      <x:c r="G1004" s="1"/>
    </x:row>
    <x:row r="1005">
      <x:c r="A1005" s="1"/>
      <x:c r="B1005" s="1"/>
      <x:c r="D1005" s="1"/>
      <x:c r="F1005" s="1"/>
      <x:c r="G1005" s="1"/>
    </x:row>
    <x:row r="1006">
      <x:c r="A1006" s="1"/>
      <x:c r="B1006" s="1"/>
      <x:c r="D1006" s="1"/>
      <x:c r="F1006" s="1"/>
      <x:c r="G1006" s="1"/>
    </x:row>
    <x:row r="1007">
      <x:c r="A1007" s="18"/>
      <x:c r="B1007" s="18"/>
      <x:c r="C1007" s="18"/>
      <x:c r="D1007" s="18"/>
      <x:c r="E1007" s="18"/>
      <x:c r="F1007" s="18"/>
      <x:c r="G1007" s="18"/>
      <x:c r="H1007" s="8"/>
      <x:c r="I1007" s="8"/>
      <x:c r="J1007" s="8"/>
    </x:row>
  </x:sheetData>
  <x:mergeCells>
    <x:mergeCell ref="A1:G1"/>
  </x:mergeCells>
  <x:dataValidations count="2">
    <x:dataValidation prompt="Select an OCI Region." sqref="A3:A6 G3:G6 A1:E2 G2:XFD2 G1"/>
    <x:dataValidation sqref="C3:C6 D3:D4 E3:E6 D6 D5:E5 H1:XFD1 H3:H15 G7:G15 G16:H1048576 I3:XFD1048576 A7:E1048576"/>
  </x:dataValidations>
  <x:pageMargins left="0.7" right="0.7" top="0.75" bottom="0.75" header="0.3" footer="0.3"/>
</x:worksheet>
</file>

<file path=xl/worksheets/sheet39.xml><?xml version="1.0" encoding="utf-8"?>
<x:worksheet xmlns:x="http://schemas.openxmlformats.org/spreadsheetml/2006/main">
  <x:sheetPr>
    <x:tabColor rgb="FF009193"/>
  </x:sheetPr>
  <x:sheetFormatPr baseColWidth="10" defaultRowHeight="20"/>
  <x:cols>
    <x:col min="1" max="1" width="10.83203125" style="141" customWidth="1"/>
    <x:col min="2" max="2" width="17.5" style="141" customWidth="1"/>
    <x:col min="3" max="3" width="24.83203125" style="141" customWidth="1"/>
    <x:col min="4" max="4" width="22.1640625" style="141" customWidth="1"/>
    <x:col min="5" max="5" width="16" style="141" customWidth="1"/>
    <x:col min="6" max="6" width="12.1640625" style="141" customWidth="1"/>
    <x:col min="7" max="7" width="9.6640625" style="141" customWidth="1"/>
    <x:col min="8" max="8" width="10.83203125" style="141" customWidth="1"/>
    <x:col min="9" max="9" width="15.83203125" style="141" customWidth="1"/>
    <x:col min="10" max="10" width="15.1640625" style="141" customWidth="1"/>
    <x:col min="11" max="11" width="11.5" style="141" customWidth="1"/>
    <x:col min="12" max="12" width="12.6640625" style="141" customWidth="1"/>
    <x:col min="13" max="13" width="14.1640625" style="141" customWidth="1"/>
    <x:col min="14" max="14" width="12.5" style="141" customWidth="1"/>
    <x:col min="15" max="15" width="12.1640625" style="141" customWidth="1"/>
    <x:col min="16" max="16" width="11.6640625" style="141" customWidth="1"/>
    <x:col min="17" max="17" width="14.83203125" style="141" customWidth="1"/>
    <x:col min="18" max="18" width="17.6640625" style="141" customWidth="1"/>
    <x:col min="19" max="19" width="21.5" style="141" customWidth="1"/>
    <x:col min="20" max="20" width="19.1640625" style="141" customWidth="1"/>
    <x:col min="21" max="21" width="20.83203125" style="141" customWidth="1"/>
    <x:col min="22" max="22" width="13.33203125" style="141" customWidth="1"/>
    <x:col min="23" max="23" width="24" style="143" customWidth="1"/>
    <x:col min="24" max="16384" width="10.83203125" style="141" customWidth="0"/>
  </x:cols>
  <x:sheetData>
    <x:row r="1" s="140" customFormat="1" ht="149" customHeight="1">
      <x:c r="A1" s="169" t="s">
        <x:v>353</x:v>
      </x:c>
      <x:c r="B1" s="147"/>
      <x:c r="C1" s="147"/>
      <x:c r="D1" s="147"/>
      <x:c r="E1" s="147"/>
      <x:c r="F1" s="147"/>
      <x:c r="G1" s="148"/>
      <x:c r="H1" s="169" t="s">
        <x:v>354</x:v>
      </x:c>
      <x:c r="I1" s="147"/>
      <x:c r="J1" s="147"/>
      <x:c r="K1" s="147"/>
      <x:c r="L1" s="147"/>
      <x:c r="M1" s="147"/>
      <x:c r="N1" s="147"/>
      <x:c r="O1" s="147"/>
      <x:c r="P1" s="147"/>
      <x:c r="Q1" s="147"/>
      <x:c r="R1" s="147"/>
      <x:c r="S1" s="147"/>
      <x:c r="T1" s="147"/>
      <x:c r="U1" s="147"/>
      <x:c r="V1" s="147"/>
      <x:c r="W1" s="148"/>
      <x:c r="X1" s="139"/>
      <x:c r="Y1" s="139"/>
      <x:c r="Z1" s="139"/>
      <x:c r="AA1" s="139"/>
      <x:c r="AB1" s="139"/>
      <x:c r="AC1" s="139"/>
      <x:c r="AD1" s="139"/>
      <x:c r="AE1" s="139"/>
      <x:c r="AF1" s="139"/>
      <x:c r="AG1" s="139"/>
      <x:c r="AH1" s="139"/>
      <x:c r="AI1" s="139"/>
      <x:c r="AJ1" s="139"/>
      <x:c r="AK1" s="139"/>
      <x:c r="AL1" s="139"/>
      <x:c r="AM1" s="139"/>
      <x:c r="AN1" s="139"/>
      <x:c r="AO1" s="139"/>
      <x:c r="AP1" s="139"/>
      <x:c r="AQ1" s="139"/>
      <x:c r="AR1" s="139"/>
      <x:c r="AS1" s="139"/>
      <x:c r="AT1" s="139"/>
      <x:c r="AU1" s="139"/>
      <x:c r="AV1" s="139"/>
      <x:c r="AW1" s="139"/>
      <x:c r="AX1" s="139"/>
      <x:c r="AY1" s="139"/>
      <x:c r="AZ1" s="139"/>
      <x:c r="BA1" s="139"/>
      <x:c r="BB1" s="139"/>
      <x:c r="BC1" s="139"/>
      <x:c r="BD1" s="139"/>
      <x:c r="BE1" s="139"/>
      <x:c r="BF1" s="139"/>
      <x:c r="BG1" s="139"/>
      <x:c r="BH1" s="139"/>
      <x:c r="BI1" s="139"/>
      <x:c r="BJ1" s="139"/>
      <x:c r="BK1" s="139"/>
      <x:c r="BL1" s="139"/>
      <x:c r="BM1" s="139"/>
      <x:c r="BN1" s="139"/>
      <x:c r="BO1" s="139"/>
      <x:c r="BP1" s="139"/>
      <x:c r="BQ1" s="139"/>
      <x:c r="BR1" s="139"/>
      <x:c r="BS1" s="139"/>
      <x:c r="BT1" s="139"/>
      <x:c r="BU1" s="139"/>
      <x:c r="BV1" s="139"/>
      <x:c r="BW1" s="139"/>
      <x:c r="BX1" s="139"/>
      <x:c r="BY1" s="139"/>
      <x:c r="BZ1" s="139"/>
      <x:c r="CA1" s="139"/>
      <x:c r="CB1" s="139"/>
      <x:c r="CC1" s="139"/>
      <x:c r="CD1" s="139"/>
      <x:c r="CE1" s="139"/>
      <x:c r="CF1" s="139"/>
    </x:row>
    <x:row r="2" s="70" customFormat="1" ht="32" customHeight="1">
      <x:c r="A2" s="49" t="s">
        <x:v>2</x:v>
      </x:c>
      <x:c r="B2" s="49" t="s">
        <x:v>20</x:v>
      </x:c>
      <x:c r="C2" s="49" t="s">
        <x:v>334</x:v>
      </x:c>
      <x:c r="D2" s="49" t="s">
        <x:v>340</x:v>
      </x:c>
      <x:c r="E2" s="49" t="s">
        <x:v>352</x:v>
      </x:c>
      <x:c r="F2" s="49" t="s">
        <x:v>355</x:v>
      </x:c>
      <x:c r="G2" s="49" t="s">
        <x:v>356</x:v>
      </x:c>
      <x:c r="H2" s="49" t="s">
        <x:v>357</x:v>
      </x:c>
      <x:c r="I2" s="49" t="s">
        <x:v>309</x:v>
      </x:c>
      <x:c r="J2" s="49" t="s">
        <x:v>358</x:v>
      </x:c>
      <x:c r="K2" s="49" t="s">
        <x:v>359</x:v>
      </x:c>
      <x:c r="L2" s="49" t="s">
        <x:v>317</x:v>
      </x:c>
      <x:c r="M2" s="49" t="s">
        <x:v>360</x:v>
      </x:c>
      <x:c r="N2" s="49" t="s">
        <x:v>361</x:v>
      </x:c>
      <x:c r="O2" s="49" t="s">
        <x:v>362</x:v>
      </x:c>
      <x:c r="P2" s="49" t="s">
        <x:v>363</x:v>
      </x:c>
      <x:c r="Q2" s="49" t="s">
        <x:v>364</x:v>
      </x:c>
      <x:c r="R2" s="49" t="s">
        <x:v>365</x:v>
      </x:c>
      <x:c r="S2" s="49" t="s">
        <x:v>366</x:v>
      </x:c>
      <x:c r="T2" s="49" t="s">
        <x:v>367</x:v>
      </x:c>
      <x:c r="U2" s="49" t="s">
        <x:v>368</x:v>
      </x:c>
      <x:c r="V2" s="49" t="s">
        <x:v>369</x:v>
      </x:c>
      <x:c r="W2" s="49" t="s">
        <x:v>6</x:v>
      </x:c>
    </x:row>
    <x:row r="3" ht="15" customHeight="1">
      <x:c r="A3" s="33" t="str">
        <x:v>&lt;END&gt;</x:v>
      </x:c>
      <x:c r="B3" s="33"/>
      <x:c r="C3" s="33"/>
      <x:c r="D3" s="33"/>
      <x:c r="E3" s="33"/>
      <x:c r="F3" s="33"/>
      <x:c r="G3" s="33"/>
      <x:c r="H3" s="33"/>
      <x:c r="I3" s="33"/>
      <x:c r="J3" s="33"/>
      <x:c r="K3" s="33"/>
      <x:c r="L3" s="33"/>
      <x:c r="M3" s="33"/>
      <x:c r="N3" s="33"/>
      <x:c r="O3" s="33"/>
      <x:c r="P3" s="33"/>
      <x:c r="Q3" s="33"/>
      <x:c r="R3" s="33"/>
      <x:c r="S3" s="33"/>
      <x:c r="T3" s="33"/>
      <x:c r="U3" s="33"/>
      <x:c r="V3" s="33"/>
      <x:c r="W3" s="32"/>
    </x:row>
    <x:row r="4" ht="33">
      <x:c r="A4" s="33"/>
      <x:c r="B4" s="33"/>
      <x:c r="C4" s="33"/>
      <x:c r="D4" s="33"/>
      <x:c r="E4" s="33"/>
      <x:c r="F4" s="33"/>
      <x:c r="G4" s="33"/>
      <x:c r="H4" s="33"/>
      <x:c r="I4" s="33"/>
      <x:c r="J4" s="33"/>
      <x:c r="K4" s="33"/>
      <x:c r="L4" s="33"/>
      <x:c r="M4" s="33"/>
      <x:c r="N4" s="33"/>
      <x:c r="O4" s="33"/>
      <x:c r="P4" s="33"/>
      <x:c r="Q4" s="33"/>
      <x:c r="R4" s="33"/>
      <x:c r="S4" s="33"/>
      <x:c r="T4" s="33"/>
      <x:c r="U4" s="33"/>
      <x:c r="V4" s="33"/>
      <x:c r="W4" s="32"/>
    </x:row>
    <x:row r="5" ht="129">
      <x:c r="A5" s="33"/>
      <x:c r="B5" s="33"/>
      <x:c r="C5" s="33"/>
      <x:c r="D5" s="33"/>
      <x:c r="E5" s="33"/>
      <x:c r="F5" s="33"/>
      <x:c r="G5" s="33"/>
      <x:c r="H5" s="33"/>
      <x:c r="I5" s="32"/>
      <x:c r="J5" s="32"/>
      <x:c r="K5" s="33"/>
      <x:c r="L5" s="33"/>
      <x:c r="M5" s="33"/>
      <x:c r="N5" s="33"/>
      <x:c r="O5" s="33"/>
      <x:c r="P5" s="32"/>
      <x:c r="Q5" s="33"/>
      <x:c r="R5" s="33"/>
      <x:c r="S5" s="33"/>
      <x:c r="T5" s="33"/>
      <x:c r="U5" s="32"/>
      <x:c r="V5" s="33"/>
      <x:c r="W5" s="32"/>
    </x:row>
    <x:row r="6" ht="32" customHeight="1">
      <x:c r="A6" s="33"/>
      <x:c r="B6" s="33"/>
      <x:c r="C6" s="33"/>
      <x:c r="D6" s="33"/>
      <x:c r="E6" s="33"/>
      <x:c r="F6" s="33"/>
      <x:c r="G6" s="33"/>
      <x:c r="H6" s="33"/>
      <x:c r="I6" s="33"/>
      <x:c r="J6" s="33"/>
      <x:c r="K6" s="33"/>
      <x:c r="L6" s="33"/>
      <x:c r="M6" s="33"/>
      <x:c r="N6" s="33"/>
      <x:c r="O6" s="33"/>
      <x:c r="P6" s="33"/>
      <x:c r="Q6" s="33"/>
      <x:c r="R6" s="33"/>
      <x:c r="S6" s="33"/>
      <x:c r="T6" s="33"/>
      <x:c r="U6" s="32"/>
      <x:c r="V6" s="33"/>
      <x:c r="W6" s="32"/>
    </x:row>
    <x:row r="7" ht="80" customHeight="1">
      <x:c r="A7" s="33"/>
      <x:c r="B7" s="33"/>
      <x:c r="C7" s="32"/>
      <x:c r="D7" s="32"/>
      <x:c r="E7" s="33"/>
      <x:c r="F7" s="33"/>
      <x:c r="G7" s="33"/>
      <x:c r="H7" s="33"/>
      <x:c r="I7" s="33"/>
      <x:c r="J7" s="33"/>
      <x:c r="K7" s="33"/>
      <x:c r="L7" s="33"/>
      <x:c r="M7" s="33"/>
      <x:c r="N7" s="32"/>
      <x:c r="O7" s="33"/>
      <x:c r="P7" s="33"/>
      <x:c r="Q7" s="33"/>
      <x:c r="R7" s="33"/>
      <x:c r="S7" s="33"/>
      <x:c r="T7" s="33"/>
      <x:c r="U7" s="33"/>
      <x:c r="V7" s="33"/>
      <x:c r="W7" s="32"/>
    </x:row>
    <x:row r="12">
      <x:c r="A12" s="142"/>
    </x:row>
    <x:row r="13">
      <x:c r="A13" s="142"/>
    </x:row>
    <x:row r="14">
      <x:c r="A14" s="142"/>
    </x:row>
    <x:row r="15">
      <x:c r="A15" s="142"/>
    </x:row>
    <x:row r="16">
      <x:c r="A16" s="142"/>
    </x:row>
    <x:row r="17">
      <x:c r="A17" s="142"/>
    </x:row>
    <x:row r="18">
      <x:c r="A18" s="142"/>
    </x:row>
    <x:row r="19">
      <x:c r="A19" s="142"/>
    </x:row>
    <x:row r="20">
      <x:c r="A20" s="142"/>
    </x:row>
    <x:row r="21">
      <x:c r="A21" s="142"/>
    </x:row>
    <x:row r="22">
      <x:c r="A22" s="142"/>
    </x:row>
    <x:row r="23">
      <x:c r="A23" s="142"/>
    </x:row>
    <x:row r="24">
      <x:c r="A24" s="142"/>
    </x:row>
    <x:row r="25">
      <x:c r="A25" s="142"/>
    </x:row>
    <x:row r="26">
      <x:c r="A26" s="142"/>
    </x:row>
    <x:row r="27">
      <x:c r="A27" s="142"/>
    </x:row>
    <x:row r="28">
      <x:c r="A28" s="142"/>
    </x:row>
    <x:row r="29">
      <x:c r="A29" s="142"/>
    </x:row>
    <x:row r="30">
      <x:c r="A30" s="142"/>
    </x:row>
    <x:row r="31">
      <x:c r="A31" s="142"/>
    </x:row>
    <x:row r="32">
      <x:c r="A32" s="142"/>
    </x:row>
    <x:row r="33">
      <x:c r="A33" s="142"/>
    </x:row>
    <x:row r="34">
      <x:c r="A34" s="142"/>
    </x:row>
    <x:row r="35">
      <x:c r="A35" s="142"/>
    </x:row>
    <x:row r="36">
      <x:c r="A36" s="142"/>
    </x:row>
    <x:row r="37">
      <x:c r="A37" s="142"/>
    </x:row>
    <x:row r="38">
      <x:c r="A38" s="142"/>
    </x:row>
    <x:row r="39">
      <x:c r="A39" s="142"/>
    </x:row>
    <x:row r="40">
      <x:c r="A40" s="142"/>
    </x:row>
    <x:row r="41">
      <x:c r="A41" s="142"/>
    </x:row>
    <x:row r="42">
      <x:c r="A42" s="142"/>
    </x:row>
    <x:row r="43">
      <x:c r="A43" s="142"/>
    </x:row>
    <x:row r="44">
      <x:c r="A44" s="142"/>
    </x:row>
    <x:row r="45">
      <x:c r="A45" s="142"/>
    </x:row>
    <x:row r="46">
      <x:c r="A46" s="142"/>
    </x:row>
    <x:row r="47">
      <x:c r="A47" s="142"/>
    </x:row>
    <x:row r="48">
      <x:c r="A48" s="142"/>
    </x:row>
    <x:row r="49">
      <x:c r="A49" s="142"/>
    </x:row>
    <x:row r="50">
      <x:c r="A50" s="142"/>
    </x:row>
    <x:row r="51">
      <x:c r="A51" s="142"/>
    </x:row>
    <x:row r="52">
      <x:c r="A52" s="142"/>
    </x:row>
    <x:row r="53">
      <x:c r="A53" s="142"/>
    </x:row>
    <x:row r="54">
      <x:c r="A54" s="142"/>
    </x:row>
    <x:row r="55">
      <x:c r="A55" s="142"/>
    </x:row>
    <x:row r="56">
      <x:c r="A56" s="142"/>
    </x:row>
    <x:row r="57">
      <x:c r="A57" s="142"/>
    </x:row>
    <x:row r="58">
      <x:c r="A58" s="142"/>
    </x:row>
    <x:row r="59">
      <x:c r="A59" s="142"/>
    </x:row>
    <x:row r="60">
      <x:c r="A60" s="142"/>
    </x:row>
    <x:row r="61">
      <x:c r="A61" s="142"/>
    </x:row>
    <x:row r="62">
      <x:c r="A62" s="142"/>
    </x:row>
    <x:row r="63">
      <x:c r="A63" s="142"/>
    </x:row>
    <x:row r="64">
      <x:c r="A64" s="142"/>
    </x:row>
    <x:row r="65">
      <x:c r="A65" s="142"/>
    </x:row>
    <x:row r="66">
      <x:c r="A66" s="142"/>
    </x:row>
    <x:row r="67">
      <x:c r="A67" s="142"/>
    </x:row>
    <x:row r="68">
      <x:c r="A68" s="142"/>
    </x:row>
    <x:row r="69">
      <x:c r="A69" s="142"/>
    </x:row>
    <x:row r="70">
      <x:c r="A70" s="142"/>
    </x:row>
    <x:row r="71">
      <x:c r="A71" s="142"/>
    </x:row>
    <x:row r="72">
      <x:c r="A72" s="142"/>
    </x:row>
    <x:row r="73">
      <x:c r="A73" s="142"/>
    </x:row>
    <x:row r="74">
      <x:c r="A74" s="142"/>
    </x:row>
    <x:row r="75">
      <x:c r="A75" s="142"/>
    </x:row>
    <x:row r="76">
      <x:c r="A76" s="142"/>
    </x:row>
    <x:row r="77">
      <x:c r="A77" s="142"/>
    </x:row>
    <x:row r="78">
      <x:c r="A78" s="142"/>
    </x:row>
    <x:row r="79">
      <x:c r="A79" s="142"/>
    </x:row>
    <x:row r="80">
      <x:c r="A80" s="142"/>
    </x:row>
    <x:row r="81">
      <x:c r="A81" s="142"/>
    </x:row>
    <x:row r="82">
      <x:c r="A82" s="142"/>
    </x:row>
    <x:row r="83">
      <x:c r="A83" s="142"/>
    </x:row>
    <x:row r="84">
      <x:c r="A84" s="142"/>
    </x:row>
    <x:row r="85">
      <x:c r="A85" s="142"/>
    </x:row>
    <x:row r="86">
      <x:c r="A86" s="142"/>
    </x:row>
    <x:row r="87">
      <x:c r="A87" s="142"/>
    </x:row>
    <x:row r="88">
      <x:c r="A88" s="142"/>
    </x:row>
    <x:row r="89">
      <x:c r="A89" s="142"/>
    </x:row>
    <x:row r="90">
      <x:c r="A90" s="142"/>
    </x:row>
    <x:row r="91">
      <x:c r="A91" s="142"/>
    </x:row>
    <x:row r="92">
      <x:c r="A92" s="142"/>
    </x:row>
    <x:row r="93">
      <x:c r="A93" s="142"/>
    </x:row>
    <x:row r="94">
      <x:c r="A94" s="142"/>
    </x:row>
    <x:row r="95">
      <x:c r="A95" s="142"/>
    </x:row>
    <x:row r="96">
      <x:c r="A96" s="142"/>
    </x:row>
    <x:row r="97">
      <x:c r="A97" s="142"/>
    </x:row>
    <x:row r="98">
      <x:c r="A98" s="142"/>
    </x:row>
    <x:row r="99">
      <x:c r="A99" s="142"/>
    </x:row>
    <x:row r="100">
      <x:c r="A100" s="142"/>
    </x:row>
    <x:row r="101">
      <x:c r="A101" s="142"/>
    </x:row>
    <x:row r="102">
      <x:c r="A102" s="142"/>
    </x:row>
    <x:row r="103">
      <x:c r="A103" s="142"/>
    </x:row>
    <x:row r="104">
      <x:c r="A104" s="142"/>
    </x:row>
    <x:row r="105">
      <x:c r="A105" s="142"/>
    </x:row>
    <x:row r="106">
      <x:c r="A106" s="142"/>
    </x:row>
    <x:row r="107">
      <x:c r="A107" s="142"/>
    </x:row>
    <x:row r="108">
      <x:c r="A108" s="142"/>
    </x:row>
    <x:row r="109">
      <x:c r="A109" s="142"/>
    </x:row>
    <x:row r="110">
      <x:c r="A110" s="142"/>
    </x:row>
    <x:row r="111">
      <x:c r="A111" s="142"/>
    </x:row>
    <x:row r="112">
      <x:c r="A112" s="142"/>
    </x:row>
    <x:row r="113">
      <x:c r="A113" s="142"/>
    </x:row>
    <x:row r="114">
      <x:c r="A114" s="142"/>
    </x:row>
    <x:row r="115">
      <x:c r="A115" s="142"/>
    </x:row>
    <x:row r="116">
      <x:c r="A116" s="142"/>
    </x:row>
    <x:row r="117">
      <x:c r="A117" s="142"/>
    </x:row>
    <x:row r="118">
      <x:c r="A118" s="142"/>
    </x:row>
    <x:row r="119">
      <x:c r="A119" s="142"/>
    </x:row>
    <x:row r="120">
      <x:c r="A120" s="142"/>
    </x:row>
    <x:row r="121">
      <x:c r="A121" s="142"/>
    </x:row>
    <x:row r="122">
      <x:c r="A122" s="142"/>
    </x:row>
    <x:row r="123">
      <x:c r="A123" s="142"/>
    </x:row>
    <x:row r="124">
      <x:c r="A124" s="142"/>
    </x:row>
    <x:row r="125">
      <x:c r="A125" s="142"/>
    </x:row>
    <x:row r="126">
      <x:c r="A126" s="142"/>
    </x:row>
    <x:row r="127">
      <x:c r="A127" s="142"/>
    </x:row>
    <x:row r="128">
      <x:c r="A128" s="142"/>
    </x:row>
    <x:row r="129">
      <x:c r="A129" s="142"/>
    </x:row>
    <x:row r="130">
      <x:c r="A130" s="142"/>
    </x:row>
    <x:row r="131">
      <x:c r="A131" s="142"/>
    </x:row>
    <x:row r="132">
      <x:c r="A132" s="142"/>
    </x:row>
    <x:row r="133">
      <x:c r="A133" s="142"/>
    </x:row>
    <x:row r="134">
      <x:c r="A134" s="142"/>
    </x:row>
    <x:row r="135">
      <x:c r="A135" s="142"/>
    </x:row>
    <x:row r="136">
      <x:c r="A136" s="142"/>
    </x:row>
    <x:row r="137">
      <x:c r="A137" s="142"/>
    </x:row>
    <x:row r="138">
      <x:c r="A138" s="142"/>
    </x:row>
    <x:row r="139">
      <x:c r="A139" s="142"/>
    </x:row>
    <x:row r="140">
      <x:c r="A140" s="142"/>
    </x:row>
    <x:row r="141">
      <x:c r="A141" s="142"/>
    </x:row>
    <x:row r="142">
      <x:c r="A142" s="142"/>
    </x:row>
    <x:row r="143">
      <x:c r="A143" s="142"/>
    </x:row>
    <x:row r="144">
      <x:c r="A144" s="142"/>
    </x:row>
    <x:row r="145">
      <x:c r="A145" s="142"/>
    </x:row>
    <x:row r="146">
      <x:c r="A146" s="142"/>
    </x:row>
    <x:row r="147">
      <x:c r="A147" s="142"/>
    </x:row>
    <x:row r="148">
      <x:c r="A148" s="142"/>
    </x:row>
    <x:row r="149">
      <x:c r="A149" s="142"/>
    </x:row>
    <x:row r="150">
      <x:c r="A150" s="142"/>
    </x:row>
    <x:row r="151">
      <x:c r="A151" s="142"/>
    </x:row>
    <x:row r="152">
      <x:c r="A152" s="142"/>
    </x:row>
    <x:row r="153">
      <x:c r="A153" s="142"/>
    </x:row>
    <x:row r="154">
      <x:c r="A154" s="142"/>
    </x:row>
    <x:row r="155">
      <x:c r="A155" s="142"/>
    </x:row>
    <x:row r="156">
      <x:c r="A156" s="142"/>
    </x:row>
    <x:row r="157">
      <x:c r="A157" s="142"/>
    </x:row>
    <x:row r="158">
      <x:c r="A158" s="142"/>
    </x:row>
    <x:row r="159">
      <x:c r="A159" s="142"/>
    </x:row>
    <x:row r="160">
      <x:c r="A160" s="142"/>
    </x:row>
    <x:row r="161">
      <x:c r="A161" s="142"/>
    </x:row>
    <x:row r="162">
      <x:c r="A162" s="142"/>
    </x:row>
    <x:row r="163">
      <x:c r="A163" s="142"/>
    </x:row>
    <x:row r="164">
      <x:c r="A164" s="142"/>
    </x:row>
    <x:row r="165">
      <x:c r="A165" s="142"/>
    </x:row>
    <x:row r="166">
      <x:c r="A166" s="142"/>
    </x:row>
    <x:row r="167">
      <x:c r="A167" s="142"/>
    </x:row>
    <x:row r="168">
      <x:c r="A168" s="142"/>
    </x:row>
    <x:row r="169">
      <x:c r="A169" s="142"/>
    </x:row>
    <x:row r="170">
      <x:c r="A170" s="142"/>
    </x:row>
    <x:row r="171">
      <x:c r="A171" s="142"/>
    </x:row>
    <x:row r="172">
      <x:c r="A172" s="142"/>
    </x:row>
    <x:row r="173">
      <x:c r="A173" s="142"/>
    </x:row>
    <x:row r="174">
      <x:c r="A174" s="142"/>
    </x:row>
    <x:row r="175">
      <x:c r="A175" s="142"/>
    </x:row>
    <x:row r="176">
      <x:c r="A176" s="142"/>
    </x:row>
    <x:row r="177">
      <x:c r="A177" s="142"/>
    </x:row>
    <x:row r="178">
      <x:c r="A178" s="142"/>
    </x:row>
    <x:row r="179">
      <x:c r="A179" s="142"/>
    </x:row>
    <x:row r="180">
      <x:c r="A180" s="142"/>
    </x:row>
    <x:row r="181">
      <x:c r="A181" s="142"/>
    </x:row>
    <x:row r="182">
      <x:c r="A182" s="142"/>
    </x:row>
    <x:row r="183">
      <x:c r="A183" s="142"/>
    </x:row>
    <x:row r="184">
      <x:c r="A184" s="142"/>
    </x:row>
    <x:row r="185">
      <x:c r="A185" s="142"/>
    </x:row>
    <x:row r="186">
      <x:c r="A186" s="142"/>
    </x:row>
    <x:row r="187">
      <x:c r="A187" s="142"/>
    </x:row>
    <x:row r="188">
      <x:c r="A188" s="142"/>
    </x:row>
    <x:row r="189">
      <x:c r="A189" s="142"/>
    </x:row>
    <x:row r="190">
      <x:c r="A190" s="142"/>
    </x:row>
    <x:row r="191">
      <x:c r="A191" s="142"/>
    </x:row>
    <x:row r="192">
      <x:c r="A192" s="142"/>
    </x:row>
    <x:row r="193">
      <x:c r="A193" s="142"/>
    </x:row>
    <x:row r="194">
      <x:c r="A194" s="142"/>
    </x:row>
    <x:row r="195">
      <x:c r="A195" s="142"/>
    </x:row>
    <x:row r="196">
      <x:c r="A196" s="142"/>
    </x:row>
    <x:row r="197">
      <x:c r="A197" s="142"/>
    </x:row>
    <x:row r="198">
      <x:c r="A198" s="142"/>
    </x:row>
    <x:row r="199">
      <x:c r="A199" s="142"/>
    </x:row>
    <x:row r="200">
      <x:c r="A200" s="142"/>
    </x:row>
    <x:row r="201">
      <x:c r="A201" s="142"/>
    </x:row>
    <x:row r="202">
      <x:c r="A202" s="142"/>
    </x:row>
    <x:row r="203">
      <x:c r="A203" s="142"/>
    </x:row>
    <x:row r="204">
      <x:c r="A204" s="142"/>
    </x:row>
    <x:row r="205">
      <x:c r="A205" s="142"/>
    </x:row>
    <x:row r="206">
      <x:c r="A206" s="142"/>
    </x:row>
    <x:row r="207">
      <x:c r="A207" s="142"/>
    </x:row>
    <x:row r="208">
      <x:c r="A208" s="142"/>
    </x:row>
    <x:row r="209">
      <x:c r="A209" s="142"/>
    </x:row>
    <x:row r="210">
      <x:c r="A210" s="142"/>
    </x:row>
    <x:row r="211">
      <x:c r="A211" s="142"/>
    </x:row>
    <x:row r="212">
      <x:c r="A212" s="142"/>
    </x:row>
    <x:row r="213">
      <x:c r="A213" s="142"/>
    </x:row>
    <x:row r="214">
      <x:c r="A214" s="142"/>
    </x:row>
    <x:row r="215">
      <x:c r="A215" s="142"/>
    </x:row>
    <x:row r="216">
      <x:c r="A216" s="142"/>
    </x:row>
    <x:row r="217">
      <x:c r="A217" s="142"/>
    </x:row>
    <x:row r="218">
      <x:c r="A218" s="142"/>
    </x:row>
    <x:row r="219">
      <x:c r="A219" s="142"/>
    </x:row>
    <x:row r="220">
      <x:c r="A220" s="142"/>
    </x:row>
    <x:row r="221">
      <x:c r="A221" s="142"/>
    </x:row>
    <x:row r="222">
      <x:c r="A222" s="142"/>
    </x:row>
    <x:row r="223">
      <x:c r="A223" s="142"/>
    </x:row>
    <x:row r="224">
      <x:c r="A224" s="142"/>
    </x:row>
    <x:row r="225">
      <x:c r="A225" s="142"/>
    </x:row>
    <x:row r="226">
      <x:c r="A226" s="142"/>
    </x:row>
    <x:row r="227">
      <x:c r="A227" s="142"/>
    </x:row>
    <x:row r="228">
      <x:c r="A228" s="142"/>
    </x:row>
    <x:row r="229">
      <x:c r="A229" s="142"/>
    </x:row>
    <x:row r="230">
      <x:c r="A230" s="142"/>
    </x:row>
    <x:row r="231">
      <x:c r="A231" s="142"/>
    </x:row>
    <x:row r="232">
      <x:c r="A232" s="142"/>
    </x:row>
    <x:row r="233">
      <x:c r="A233" s="142"/>
    </x:row>
    <x:row r="234">
      <x:c r="A234" s="142"/>
    </x:row>
    <x:row r="235">
      <x:c r="A235" s="142"/>
    </x:row>
    <x:row r="236">
      <x:c r="A236" s="142"/>
    </x:row>
    <x:row r="237">
      <x:c r="A237" s="142"/>
    </x:row>
    <x:row r="238">
      <x:c r="A238" s="142"/>
    </x:row>
    <x:row r="239">
      <x:c r="A239" s="142"/>
    </x:row>
    <x:row r="240">
      <x:c r="A240" s="142"/>
    </x:row>
    <x:row r="241">
      <x:c r="A241" s="142"/>
    </x:row>
    <x:row r="242">
      <x:c r="A242" s="142"/>
    </x:row>
    <x:row r="243">
      <x:c r="A243" s="142"/>
    </x:row>
    <x:row r="244">
      <x:c r="A244" s="142"/>
    </x:row>
    <x:row r="245">
      <x:c r="A245" s="142"/>
    </x:row>
    <x:row r="246">
      <x:c r="A246" s="142"/>
    </x:row>
    <x:row r="247">
      <x:c r="A247" s="142"/>
    </x:row>
    <x:row r="248">
      <x:c r="A248" s="142"/>
    </x:row>
    <x:row r="249">
      <x:c r="A249" s="142"/>
    </x:row>
    <x:row r="250">
      <x:c r="A250" s="142"/>
    </x:row>
    <x:row r="251">
      <x:c r="A251" s="142"/>
    </x:row>
    <x:row r="252">
      <x:c r="A252" s="142"/>
    </x:row>
    <x:row r="253">
      <x:c r="A253" s="142"/>
    </x:row>
    <x:row r="254">
      <x:c r="A254" s="142"/>
    </x:row>
    <x:row r="255">
      <x:c r="A255" s="142"/>
    </x:row>
    <x:row r="256">
      <x:c r="A256" s="142"/>
    </x:row>
    <x:row r="257">
      <x:c r="A257" s="142"/>
    </x:row>
    <x:row r="258">
      <x:c r="A258" s="142"/>
    </x:row>
    <x:row r="259">
      <x:c r="A259" s="142"/>
    </x:row>
    <x:row r="260">
      <x:c r="A260" s="142"/>
    </x:row>
    <x:row r="261">
      <x:c r="A261" s="142"/>
    </x:row>
    <x:row r="262">
      <x:c r="A262" s="142"/>
    </x:row>
    <x:row r="263">
      <x:c r="A263" s="142"/>
    </x:row>
    <x:row r="264">
      <x:c r="A264" s="142"/>
    </x:row>
    <x:row r="265">
      <x:c r="A265" s="142"/>
    </x:row>
    <x:row r="266">
      <x:c r="A266" s="142"/>
    </x:row>
    <x:row r="267">
      <x:c r="A267" s="142"/>
    </x:row>
    <x:row r="268">
      <x:c r="A268" s="142"/>
    </x:row>
    <x:row r="269">
      <x:c r="A269" s="142"/>
    </x:row>
    <x:row r="270">
      <x:c r="A270" s="142"/>
    </x:row>
    <x:row r="271">
      <x:c r="A271" s="142"/>
    </x:row>
    <x:row r="272">
      <x:c r="A272" s="142"/>
    </x:row>
    <x:row r="273">
      <x:c r="A273" s="142"/>
    </x:row>
    <x:row r="274">
      <x:c r="A274" s="142"/>
    </x:row>
    <x:row r="275">
      <x:c r="A275" s="142"/>
    </x:row>
    <x:row r="276">
      <x:c r="A276" s="142"/>
    </x:row>
    <x:row r="277">
      <x:c r="A277" s="142"/>
    </x:row>
    <x:row r="278">
      <x:c r="A278" s="142"/>
    </x:row>
    <x:row r="279">
      <x:c r="A279" s="142"/>
    </x:row>
    <x:row r="280">
      <x:c r="A280" s="142"/>
    </x:row>
    <x:row r="281">
      <x:c r="A281" s="142"/>
    </x:row>
    <x:row r="282">
      <x:c r="A282" s="142"/>
    </x:row>
    <x:row r="283">
      <x:c r="A283" s="142"/>
    </x:row>
    <x:row r="284">
      <x:c r="A284" s="142"/>
    </x:row>
    <x:row r="285">
      <x:c r="A285" s="142"/>
    </x:row>
    <x:row r="286">
      <x:c r="A286" s="142"/>
    </x:row>
    <x:row r="287">
      <x:c r="A287" s="142"/>
    </x:row>
    <x:row r="288">
      <x:c r="A288" s="142"/>
    </x:row>
    <x:row r="289">
      <x:c r="A289" s="142"/>
    </x:row>
    <x:row r="290">
      <x:c r="A290" s="142"/>
    </x:row>
    <x:row r="291">
      <x:c r="A291" s="142"/>
    </x:row>
    <x:row r="292">
      <x:c r="A292" s="142"/>
    </x:row>
    <x:row r="293">
      <x:c r="A293" s="142"/>
    </x:row>
    <x:row r="294">
      <x:c r="A294" s="142"/>
    </x:row>
    <x:row r="295">
      <x:c r="A295" s="142"/>
    </x:row>
    <x:row r="296">
      <x:c r="A296" s="142"/>
    </x:row>
    <x:row r="297">
      <x:c r="A297" s="142"/>
    </x:row>
    <x:row r="298">
      <x:c r="A298" s="142"/>
    </x:row>
    <x:row r="299">
      <x:c r="A299" s="142"/>
    </x:row>
    <x:row r="300">
      <x:c r="A300" s="142"/>
    </x:row>
    <x:row r="301">
      <x:c r="A301" s="142"/>
    </x:row>
    <x:row r="302">
      <x:c r="A302" s="142"/>
    </x:row>
    <x:row r="303">
      <x:c r="A303" s="142"/>
    </x:row>
    <x:row r="304">
      <x:c r="A304" s="142"/>
    </x:row>
    <x:row r="305">
      <x:c r="A305" s="142"/>
    </x:row>
    <x:row r="306">
      <x:c r="A306" s="142"/>
    </x:row>
    <x:row r="307">
      <x:c r="A307" s="142"/>
    </x:row>
    <x:row r="308">
      <x:c r="A308" s="142"/>
    </x:row>
    <x:row r="309">
      <x:c r="A309" s="142"/>
    </x:row>
    <x:row r="310">
      <x:c r="A310" s="142"/>
    </x:row>
    <x:row r="311">
      <x:c r="A311" s="142"/>
    </x:row>
    <x:row r="312">
      <x:c r="A312" s="142"/>
    </x:row>
    <x:row r="313">
      <x:c r="A313" s="142"/>
    </x:row>
    <x:row r="314">
      <x:c r="A314" s="142"/>
    </x:row>
    <x:row r="315">
      <x:c r="A315" s="142"/>
    </x:row>
    <x:row r="316">
      <x:c r="A316" s="142"/>
    </x:row>
    <x:row r="317">
      <x:c r="A317" s="142"/>
    </x:row>
    <x:row r="318">
      <x:c r="A318" s="142"/>
    </x:row>
    <x:row r="319">
      <x:c r="A319" s="142"/>
    </x:row>
    <x:row r="320">
      <x:c r="A320" s="142"/>
    </x:row>
    <x:row r="321">
      <x:c r="A321" s="142"/>
    </x:row>
    <x:row r="322">
      <x:c r="A322" s="142"/>
    </x:row>
    <x:row r="323">
      <x:c r="A323" s="142"/>
    </x:row>
    <x:row r="324">
      <x:c r="A324" s="142"/>
    </x:row>
    <x:row r="325">
      <x:c r="A325" s="142"/>
    </x:row>
    <x:row r="326">
      <x:c r="A326" s="142"/>
    </x:row>
    <x:row r="327">
      <x:c r="A327" s="142"/>
    </x:row>
    <x:row r="328">
      <x:c r="A328" s="142"/>
    </x:row>
    <x:row r="329">
      <x:c r="A329" s="142"/>
    </x:row>
    <x:row r="330">
      <x:c r="A330" s="142"/>
    </x:row>
    <x:row r="331">
      <x:c r="A331" s="142"/>
    </x:row>
    <x:row r="332">
      <x:c r="A332" s="142"/>
    </x:row>
    <x:row r="333">
      <x:c r="A333" s="142"/>
    </x:row>
    <x:row r="334">
      <x:c r="A334" s="142"/>
    </x:row>
    <x:row r="335">
      <x:c r="A335" s="142"/>
    </x:row>
    <x:row r="336">
      <x:c r="A336" s="142"/>
    </x:row>
    <x:row r="337">
      <x:c r="A337" s="142"/>
    </x:row>
    <x:row r="338">
      <x:c r="A338" s="142"/>
    </x:row>
    <x:row r="339">
      <x:c r="A339" s="142"/>
    </x:row>
    <x:row r="340">
      <x:c r="A340" s="142"/>
    </x:row>
    <x:row r="341">
      <x:c r="A341" s="142"/>
    </x:row>
    <x:row r="342">
      <x:c r="A342" s="142"/>
    </x:row>
    <x:row r="343">
      <x:c r="A343" s="142"/>
    </x:row>
    <x:row r="344">
      <x:c r="A344" s="142"/>
    </x:row>
    <x:row r="345">
      <x:c r="A345" s="142"/>
    </x:row>
    <x:row r="346">
      <x:c r="A346" s="142"/>
    </x:row>
    <x:row r="347">
      <x:c r="A347" s="142"/>
    </x:row>
    <x:row r="348">
      <x:c r="A348" s="142"/>
    </x:row>
    <x:row r="349">
      <x:c r="A349" s="142"/>
    </x:row>
    <x:row r="350">
      <x:c r="A350" s="142"/>
    </x:row>
    <x:row r="351">
      <x:c r="A351" s="142"/>
    </x:row>
    <x:row r="352">
      <x:c r="A352" s="142"/>
    </x:row>
    <x:row r="353">
      <x:c r="A353" s="142"/>
    </x:row>
    <x:row r="354">
      <x:c r="A354" s="142"/>
    </x:row>
    <x:row r="355">
      <x:c r="A355" s="142"/>
    </x:row>
    <x:row r="356">
      <x:c r="A356" s="142"/>
    </x:row>
    <x:row r="357">
      <x:c r="A357" s="142"/>
    </x:row>
    <x:row r="358">
      <x:c r="A358" s="142"/>
    </x:row>
    <x:row r="359">
      <x:c r="A359" s="142"/>
    </x:row>
    <x:row r="360">
      <x:c r="A360" s="142"/>
    </x:row>
    <x:row r="361">
      <x:c r="A361" s="142"/>
    </x:row>
    <x:row r="362">
      <x:c r="A362" s="142"/>
    </x:row>
    <x:row r="363">
      <x:c r="A363" s="142"/>
    </x:row>
    <x:row r="364">
      <x:c r="A364" s="142"/>
    </x:row>
    <x:row r="365">
      <x:c r="A365" s="142"/>
    </x:row>
    <x:row r="366">
      <x:c r="A366" s="142"/>
    </x:row>
    <x:row r="367">
      <x:c r="A367" s="142"/>
    </x:row>
    <x:row r="368">
      <x:c r="A368" s="142"/>
    </x:row>
    <x:row r="369">
      <x:c r="A369" s="142"/>
    </x:row>
    <x:row r="370">
      <x:c r="A370" s="142"/>
    </x:row>
    <x:row r="371">
      <x:c r="A371" s="142"/>
    </x:row>
    <x:row r="372">
      <x:c r="A372" s="142"/>
    </x:row>
    <x:row r="373">
      <x:c r="A373" s="142"/>
    </x:row>
    <x:row r="374">
      <x:c r="A374" s="142"/>
    </x:row>
    <x:row r="375">
      <x:c r="A375" s="142"/>
    </x:row>
    <x:row r="376">
      <x:c r="A376" s="142"/>
    </x:row>
    <x:row r="377">
      <x:c r="A377" s="142"/>
    </x:row>
    <x:row r="378">
      <x:c r="A378" s="142"/>
    </x:row>
    <x:row r="379">
      <x:c r="A379" s="142"/>
    </x:row>
    <x:row r="380">
      <x:c r="A380" s="142"/>
    </x:row>
    <x:row r="381">
      <x:c r="A381" s="142"/>
    </x:row>
    <x:row r="382">
      <x:c r="A382" s="142"/>
    </x:row>
    <x:row r="383">
      <x:c r="A383" s="142"/>
    </x:row>
    <x:row r="384">
      <x:c r="A384" s="142"/>
    </x:row>
    <x:row r="385">
      <x:c r="A385" s="142"/>
    </x:row>
    <x:row r="386">
      <x:c r="A386" s="142"/>
    </x:row>
    <x:row r="387">
      <x:c r="A387" s="142"/>
    </x:row>
    <x:row r="388">
      <x:c r="A388" s="142"/>
    </x:row>
    <x:row r="389">
      <x:c r="A389" s="142"/>
    </x:row>
    <x:row r="390">
      <x:c r="A390" s="142"/>
    </x:row>
    <x:row r="391">
      <x:c r="A391" s="142"/>
    </x:row>
    <x:row r="392">
      <x:c r="A392" s="142"/>
    </x:row>
    <x:row r="393">
      <x:c r="A393" s="142"/>
    </x:row>
    <x:row r="394">
      <x:c r="A394" s="142"/>
    </x:row>
    <x:row r="395">
      <x:c r="A395" s="142"/>
    </x:row>
    <x:row r="396">
      <x:c r="A396" s="142"/>
    </x:row>
    <x:row r="397">
      <x:c r="A397" s="142"/>
    </x:row>
    <x:row r="398">
      <x:c r="A398" s="142"/>
    </x:row>
    <x:row r="399">
      <x:c r="A399" s="142"/>
    </x:row>
    <x:row r="400">
      <x:c r="A400" s="142"/>
    </x:row>
    <x:row r="401">
      <x:c r="A401" s="142"/>
    </x:row>
    <x:row r="402">
      <x:c r="A402" s="142"/>
    </x:row>
    <x:row r="403">
      <x:c r="A403" s="142"/>
    </x:row>
    <x:row r="404">
      <x:c r="A404" s="142"/>
    </x:row>
    <x:row r="405">
      <x:c r="A405" s="142"/>
    </x:row>
    <x:row r="406">
      <x:c r="A406" s="142"/>
    </x:row>
    <x:row r="407">
      <x:c r="A407" s="142"/>
    </x:row>
    <x:row r="408">
      <x:c r="A408" s="142"/>
    </x:row>
    <x:row r="409">
      <x:c r="A409" s="142"/>
    </x:row>
    <x:row r="410">
      <x:c r="A410" s="142"/>
    </x:row>
    <x:row r="411">
      <x:c r="A411" s="142"/>
    </x:row>
    <x:row r="412">
      <x:c r="A412" s="142"/>
    </x:row>
    <x:row r="413">
      <x:c r="A413" s="142"/>
    </x:row>
    <x:row r="414">
      <x:c r="A414" s="142"/>
    </x:row>
    <x:row r="415">
      <x:c r="A415" s="142"/>
    </x:row>
    <x:row r="416">
      <x:c r="A416" s="142"/>
    </x:row>
    <x:row r="417">
      <x:c r="A417" s="142"/>
    </x:row>
    <x:row r="418">
      <x:c r="A418" s="142"/>
    </x:row>
    <x:row r="419">
      <x:c r="A419" s="142"/>
    </x:row>
    <x:row r="420">
      <x:c r="A420" s="142"/>
    </x:row>
    <x:row r="421">
      <x:c r="A421" s="142"/>
    </x:row>
    <x:row r="422">
      <x:c r="A422" s="142"/>
    </x:row>
    <x:row r="423">
      <x:c r="A423" s="142"/>
    </x:row>
    <x:row r="424">
      <x:c r="A424" s="142"/>
    </x:row>
    <x:row r="425">
      <x:c r="A425" s="142"/>
    </x:row>
    <x:row r="426">
      <x:c r="A426" s="142"/>
    </x:row>
    <x:row r="427">
      <x:c r="A427" s="142"/>
    </x:row>
    <x:row r="428">
      <x:c r="A428" s="142"/>
    </x:row>
    <x:row r="429">
      <x:c r="A429" s="142"/>
    </x:row>
    <x:row r="430">
      <x:c r="A430" s="142"/>
    </x:row>
    <x:row r="431">
      <x:c r="A431" s="142"/>
    </x:row>
    <x:row r="432">
      <x:c r="A432" s="142"/>
    </x:row>
    <x:row r="433">
      <x:c r="A433" s="142"/>
    </x:row>
    <x:row r="434">
      <x:c r="A434" s="142"/>
    </x:row>
    <x:row r="435">
      <x:c r="A435" s="142"/>
    </x:row>
    <x:row r="436">
      <x:c r="A436" s="142"/>
    </x:row>
    <x:row r="437">
      <x:c r="A437" s="142"/>
    </x:row>
    <x:row r="438">
      <x:c r="A438" s="142"/>
    </x:row>
    <x:row r="439">
      <x:c r="A439" s="142"/>
    </x:row>
    <x:row r="440">
      <x:c r="A440" s="142"/>
    </x:row>
    <x:row r="441">
      <x:c r="A441" s="142"/>
    </x:row>
    <x:row r="442">
      <x:c r="A442" s="142"/>
    </x:row>
    <x:row r="443">
      <x:c r="A443" s="142"/>
    </x:row>
    <x:row r="444">
      <x:c r="A444" s="142"/>
    </x:row>
    <x:row r="445">
      <x:c r="A445" s="142"/>
    </x:row>
    <x:row r="446">
      <x:c r="A446" s="142"/>
    </x:row>
    <x:row r="447">
      <x:c r="A447" s="142"/>
    </x:row>
    <x:row r="448">
      <x:c r="A448" s="142"/>
    </x:row>
    <x:row r="449">
      <x:c r="A449" s="142"/>
    </x:row>
    <x:row r="450">
      <x:c r="A450" s="142"/>
    </x:row>
    <x:row r="451">
      <x:c r="A451" s="142"/>
    </x:row>
    <x:row r="452">
      <x:c r="A452" s="142"/>
    </x:row>
    <x:row r="453">
      <x:c r="A453" s="142"/>
    </x:row>
    <x:row r="454">
      <x:c r="A454" s="142"/>
    </x:row>
    <x:row r="455">
      <x:c r="A455" s="142"/>
    </x:row>
    <x:row r="456">
      <x:c r="A456" s="142"/>
    </x:row>
    <x:row r="457">
      <x:c r="A457" s="142"/>
    </x:row>
    <x:row r="458">
      <x:c r="A458" s="142"/>
    </x:row>
    <x:row r="459">
      <x:c r="A459" s="142"/>
    </x:row>
    <x:row r="460">
      <x:c r="A460" s="142"/>
    </x:row>
    <x:row r="461">
      <x:c r="A461" s="142"/>
    </x:row>
    <x:row r="462">
      <x:c r="A462" s="142"/>
    </x:row>
    <x:row r="463">
      <x:c r="A463" s="142"/>
    </x:row>
    <x:row r="464">
      <x:c r="A464" s="142"/>
    </x:row>
    <x:row r="465">
      <x:c r="A465" s="142"/>
    </x:row>
    <x:row r="466">
      <x:c r="A466" s="142"/>
    </x:row>
    <x:row r="467">
      <x:c r="A467" s="142"/>
    </x:row>
    <x:row r="468">
      <x:c r="A468" s="142"/>
    </x:row>
    <x:row r="469">
      <x:c r="A469" s="142"/>
    </x:row>
    <x:row r="470">
      <x:c r="A470" s="142"/>
    </x:row>
    <x:row r="471">
      <x:c r="A471" s="142"/>
    </x:row>
    <x:row r="472">
      <x:c r="A472" s="142"/>
    </x:row>
    <x:row r="473">
      <x:c r="A473" s="142"/>
    </x:row>
    <x:row r="474">
      <x:c r="A474" s="142"/>
    </x:row>
    <x:row r="475">
      <x:c r="A475" s="142"/>
    </x:row>
    <x:row r="476">
      <x:c r="A476" s="142"/>
    </x:row>
    <x:row r="477">
      <x:c r="A477" s="142"/>
    </x:row>
    <x:row r="478">
      <x:c r="A478" s="142"/>
    </x:row>
    <x:row r="479">
      <x:c r="A479" s="142"/>
    </x:row>
    <x:row r="480">
      <x:c r="A480" s="142"/>
    </x:row>
    <x:row r="481">
      <x:c r="A481" s="142"/>
    </x:row>
    <x:row r="482">
      <x:c r="A482" s="142"/>
    </x:row>
    <x:row r="483">
      <x:c r="A483" s="142"/>
    </x:row>
    <x:row r="484">
      <x:c r="A484" s="142"/>
    </x:row>
    <x:row r="485">
      <x:c r="A485" s="142"/>
    </x:row>
    <x:row r="486">
      <x:c r="A486" s="142"/>
    </x:row>
    <x:row r="487">
      <x:c r="A487" s="142"/>
    </x:row>
    <x:row r="488">
      <x:c r="A488" s="142"/>
    </x:row>
    <x:row r="489">
      <x:c r="A489" s="142"/>
    </x:row>
    <x:row r="490">
      <x:c r="A490" s="142"/>
    </x:row>
    <x:row r="491">
      <x:c r="A491" s="142"/>
    </x:row>
    <x:row r="492">
      <x:c r="A492" s="142"/>
    </x:row>
    <x:row r="493">
      <x:c r="A493" s="142"/>
    </x:row>
    <x:row r="494">
      <x:c r="A494" s="142"/>
    </x:row>
    <x:row r="495">
      <x:c r="A495" s="142"/>
    </x:row>
    <x:row r="496">
      <x:c r="A496" s="142"/>
    </x:row>
    <x:row r="497">
      <x:c r="A497" s="142"/>
    </x:row>
    <x:row r="498">
      <x:c r="A498" s="142"/>
    </x:row>
    <x:row r="499">
      <x:c r="A499" s="142"/>
    </x:row>
    <x:row r="500">
      <x:c r="A500" s="142"/>
    </x:row>
    <x:row r="501">
      <x:c r="A501" s="142"/>
    </x:row>
    <x:row r="502">
      <x:c r="A502" s="142"/>
    </x:row>
    <x:row r="503">
      <x:c r="A503" s="142"/>
    </x:row>
    <x:row r="504">
      <x:c r="A504" s="142"/>
    </x:row>
    <x:row r="505">
      <x:c r="A505" s="142"/>
    </x:row>
    <x:row r="506">
      <x:c r="A506" s="142"/>
    </x:row>
    <x:row r="507">
      <x:c r="A507" s="142"/>
    </x:row>
    <x:row r="508">
      <x:c r="A508" s="142"/>
    </x:row>
    <x:row r="509">
      <x:c r="A509" s="142"/>
    </x:row>
    <x:row r="510">
      <x:c r="A510" s="142"/>
    </x:row>
    <x:row r="511">
      <x:c r="A511" s="142"/>
    </x:row>
    <x:row r="512">
      <x:c r="A512" s="142"/>
    </x:row>
    <x:row r="513">
      <x:c r="A513" s="142"/>
    </x:row>
    <x:row r="514">
      <x:c r="A514" s="142"/>
    </x:row>
    <x:row r="515">
      <x:c r="A515" s="142"/>
    </x:row>
    <x:row r="516">
      <x:c r="A516" s="142"/>
    </x:row>
    <x:row r="517">
      <x:c r="A517" s="142"/>
    </x:row>
    <x:row r="518">
      <x:c r="A518" s="142"/>
    </x:row>
    <x:row r="519">
      <x:c r="A519" s="142"/>
    </x:row>
    <x:row r="520">
      <x:c r="A520" s="142"/>
    </x:row>
    <x:row r="521">
      <x:c r="A521" s="142"/>
    </x:row>
    <x:row r="522">
      <x:c r="A522" s="142"/>
    </x:row>
    <x:row r="523">
      <x:c r="A523" s="142"/>
    </x:row>
    <x:row r="524">
      <x:c r="A524" s="142"/>
    </x:row>
    <x:row r="525">
      <x:c r="A525" s="142"/>
    </x:row>
    <x:row r="526">
      <x:c r="A526" s="142"/>
    </x:row>
    <x:row r="527">
      <x:c r="A527" s="142"/>
    </x:row>
    <x:row r="528">
      <x:c r="A528" s="142"/>
    </x:row>
    <x:row r="529">
      <x:c r="A529" s="142"/>
    </x:row>
    <x:row r="530">
      <x:c r="A530" s="142"/>
    </x:row>
    <x:row r="531">
      <x:c r="A531" s="142"/>
    </x:row>
    <x:row r="532">
      <x:c r="A532" s="142"/>
    </x:row>
    <x:row r="533">
      <x:c r="A533" s="142"/>
    </x:row>
    <x:row r="534">
      <x:c r="A534" s="142"/>
    </x:row>
    <x:row r="535">
      <x:c r="A535" s="142"/>
    </x:row>
    <x:row r="536">
      <x:c r="A536" s="142"/>
    </x:row>
    <x:row r="537">
      <x:c r="A537" s="142"/>
    </x:row>
    <x:row r="538">
      <x:c r="A538" s="142"/>
    </x:row>
    <x:row r="539">
      <x:c r="A539" s="142"/>
    </x:row>
    <x:row r="540">
      <x:c r="A540" s="142"/>
    </x:row>
    <x:row r="541">
      <x:c r="A541" s="142"/>
    </x:row>
    <x:row r="542">
      <x:c r="A542" s="142"/>
    </x:row>
    <x:row r="543">
      <x:c r="A543" s="142"/>
    </x:row>
    <x:row r="544">
      <x:c r="A544" s="142"/>
    </x:row>
    <x:row r="545">
      <x:c r="A545" s="142"/>
    </x:row>
    <x:row r="546">
      <x:c r="A546" s="142"/>
    </x:row>
    <x:row r="547">
      <x:c r="A547" s="142"/>
    </x:row>
    <x:row r="548">
      <x:c r="A548" s="142"/>
    </x:row>
    <x:row r="549">
      <x:c r="A549" s="142"/>
    </x:row>
    <x:row r="550">
      <x:c r="A550" s="142"/>
    </x:row>
    <x:row r="551">
      <x:c r="A551" s="142"/>
    </x:row>
    <x:row r="552">
      <x:c r="A552" s="142"/>
    </x:row>
    <x:row r="553">
      <x:c r="A553" s="142"/>
    </x:row>
    <x:row r="554">
      <x:c r="A554" s="142"/>
    </x:row>
    <x:row r="555">
      <x:c r="A555" s="142"/>
    </x:row>
    <x:row r="556">
      <x:c r="A556" s="142"/>
    </x:row>
    <x:row r="557">
      <x:c r="A557" s="142"/>
    </x:row>
    <x:row r="558">
      <x:c r="A558" s="142"/>
    </x:row>
    <x:row r="559">
      <x:c r="A559" s="142"/>
    </x:row>
    <x:row r="560">
      <x:c r="A560" s="142"/>
    </x:row>
    <x:row r="561">
      <x:c r="A561" s="142"/>
    </x:row>
    <x:row r="562">
      <x:c r="A562" s="142"/>
    </x:row>
    <x:row r="563">
      <x:c r="A563" s="142"/>
    </x:row>
    <x:row r="564">
      <x:c r="A564" s="142"/>
    </x:row>
    <x:row r="565">
      <x:c r="A565" s="142"/>
    </x:row>
    <x:row r="566">
      <x:c r="A566" s="142"/>
    </x:row>
    <x:row r="567">
      <x:c r="A567" s="142"/>
    </x:row>
    <x:row r="568">
      <x:c r="A568" s="142"/>
    </x:row>
    <x:row r="569">
      <x:c r="A569" s="142"/>
    </x:row>
    <x:row r="570">
      <x:c r="A570" s="142"/>
    </x:row>
    <x:row r="571">
      <x:c r="A571" s="142"/>
    </x:row>
    <x:row r="572">
      <x:c r="A572" s="142"/>
    </x:row>
    <x:row r="573">
      <x:c r="A573" s="142"/>
    </x:row>
    <x:row r="574">
      <x:c r="A574" s="142"/>
    </x:row>
    <x:row r="575">
      <x:c r="A575" s="142"/>
    </x:row>
    <x:row r="576">
      <x:c r="A576" s="142"/>
    </x:row>
    <x:row r="577">
      <x:c r="A577" s="142"/>
    </x:row>
    <x:row r="578">
      <x:c r="A578" s="142"/>
    </x:row>
    <x:row r="579">
      <x:c r="A579" s="142"/>
    </x:row>
    <x:row r="580">
      <x:c r="A580" s="142"/>
    </x:row>
    <x:row r="581">
      <x:c r="A581" s="142"/>
    </x:row>
    <x:row r="582">
      <x:c r="A582" s="142"/>
    </x:row>
    <x:row r="583">
      <x:c r="A583" s="142"/>
    </x:row>
    <x:row r="584">
      <x:c r="A584" s="142"/>
    </x:row>
    <x:row r="585">
      <x:c r="A585" s="142"/>
    </x:row>
    <x:row r="586">
      <x:c r="A586" s="142"/>
    </x:row>
    <x:row r="587">
      <x:c r="A587" s="142"/>
    </x:row>
    <x:row r="588">
      <x:c r="A588" s="142"/>
    </x:row>
    <x:row r="589">
      <x:c r="A589" s="142"/>
    </x:row>
    <x:row r="590">
      <x:c r="A590" s="142"/>
    </x:row>
    <x:row r="591">
      <x:c r="A591" s="142"/>
    </x:row>
    <x:row r="592">
      <x:c r="A592" s="142"/>
    </x:row>
    <x:row r="593">
      <x:c r="A593" s="142"/>
    </x:row>
    <x:row r="594">
      <x:c r="A594" s="142"/>
    </x:row>
    <x:row r="595">
      <x:c r="A595" s="142"/>
    </x:row>
    <x:row r="596">
      <x:c r="A596" s="142"/>
    </x:row>
    <x:row r="597">
      <x:c r="A597" s="142"/>
    </x:row>
    <x:row r="598">
      <x:c r="A598" s="142"/>
    </x:row>
    <x:row r="599">
      <x:c r="A599" s="142"/>
    </x:row>
    <x:row r="600">
      <x:c r="A600" s="142"/>
    </x:row>
    <x:row r="601">
      <x:c r="A601" s="142"/>
    </x:row>
    <x:row r="602">
      <x:c r="A602" s="142"/>
    </x:row>
    <x:row r="603">
      <x:c r="A603" s="142"/>
    </x:row>
    <x:row r="604">
      <x:c r="A604" s="142"/>
    </x:row>
    <x:row r="605">
      <x:c r="A605" s="142"/>
    </x:row>
    <x:row r="606">
      <x:c r="A606" s="142"/>
    </x:row>
    <x:row r="607">
      <x:c r="A607" s="142"/>
    </x:row>
    <x:row r="608">
      <x:c r="A608" s="142"/>
    </x:row>
    <x:row r="609">
      <x:c r="A609" s="142"/>
    </x:row>
    <x:row r="610">
      <x:c r="A610" s="142"/>
    </x:row>
    <x:row r="611">
      <x:c r="A611" s="142"/>
    </x:row>
    <x:row r="612">
      <x:c r="A612" s="142"/>
    </x:row>
    <x:row r="613">
      <x:c r="A613" s="142"/>
    </x:row>
    <x:row r="614">
      <x:c r="A614" s="142"/>
    </x:row>
    <x:row r="615">
      <x:c r="A615" s="142"/>
    </x:row>
    <x:row r="616">
      <x:c r="A616" s="142"/>
    </x:row>
    <x:row r="617">
      <x:c r="A617" s="142"/>
    </x:row>
    <x:row r="618">
      <x:c r="A618" s="142"/>
    </x:row>
    <x:row r="619">
      <x:c r="A619" s="142"/>
    </x:row>
    <x:row r="620">
      <x:c r="A620" s="142"/>
    </x:row>
    <x:row r="621">
      <x:c r="A621" s="142"/>
    </x:row>
    <x:row r="622">
      <x:c r="A622" s="142"/>
    </x:row>
    <x:row r="623">
      <x:c r="A623" s="142"/>
    </x:row>
    <x:row r="624">
      <x:c r="A624" s="142"/>
    </x:row>
    <x:row r="625">
      <x:c r="A625" s="142"/>
    </x:row>
    <x:row r="626">
      <x:c r="A626" s="142"/>
    </x:row>
    <x:row r="627">
      <x:c r="A627" s="142"/>
    </x:row>
    <x:row r="628">
      <x:c r="A628" s="142"/>
    </x:row>
    <x:row r="629">
      <x:c r="A629" s="142"/>
    </x:row>
    <x:row r="630">
      <x:c r="A630" s="142"/>
    </x:row>
    <x:row r="631">
      <x:c r="A631" s="142"/>
    </x:row>
    <x:row r="632">
      <x:c r="A632" s="142"/>
    </x:row>
    <x:row r="633">
      <x:c r="A633" s="142"/>
    </x:row>
    <x:row r="634">
      <x:c r="A634" s="142"/>
    </x:row>
    <x:row r="635">
      <x:c r="A635" s="142"/>
    </x:row>
    <x:row r="636">
      <x:c r="A636" s="142"/>
    </x:row>
    <x:row r="637">
      <x:c r="A637" s="142"/>
    </x:row>
    <x:row r="638">
      <x:c r="A638" s="142"/>
    </x:row>
    <x:row r="639">
      <x:c r="A639" s="142"/>
    </x:row>
    <x:row r="640">
      <x:c r="A640" s="142"/>
    </x:row>
    <x:row r="641">
      <x:c r="A641" s="142"/>
    </x:row>
    <x:row r="642">
      <x:c r="A642" s="142"/>
    </x:row>
    <x:row r="643">
      <x:c r="A643" s="142"/>
    </x:row>
    <x:row r="644">
      <x:c r="A644" s="142"/>
    </x:row>
    <x:row r="645">
      <x:c r="A645" s="142"/>
    </x:row>
    <x:row r="646">
      <x:c r="A646" s="142"/>
    </x:row>
    <x:row r="647">
      <x:c r="A647" s="142"/>
    </x:row>
    <x:row r="648">
      <x:c r="A648" s="142"/>
    </x:row>
    <x:row r="649">
      <x:c r="A649" s="142"/>
    </x:row>
    <x:row r="650">
      <x:c r="A650" s="142"/>
    </x:row>
    <x:row r="651">
      <x:c r="A651" s="142"/>
    </x:row>
    <x:row r="652">
      <x:c r="A652" s="142"/>
    </x:row>
    <x:row r="653">
      <x:c r="A653" s="142"/>
    </x:row>
    <x:row r="654">
      <x:c r="A654" s="142"/>
    </x:row>
    <x:row r="655">
      <x:c r="A655" s="142"/>
    </x:row>
    <x:row r="656">
      <x:c r="A656" s="142"/>
    </x:row>
    <x:row r="657">
      <x:c r="A657" s="142"/>
    </x:row>
    <x:row r="658">
      <x:c r="A658" s="142"/>
    </x:row>
    <x:row r="659">
      <x:c r="A659" s="142"/>
    </x:row>
    <x:row r="660">
      <x:c r="A660" s="142"/>
    </x:row>
    <x:row r="661">
      <x:c r="A661" s="142"/>
    </x:row>
    <x:row r="662">
      <x:c r="A662" s="142"/>
    </x:row>
    <x:row r="663">
      <x:c r="A663" s="142"/>
    </x:row>
    <x:row r="664">
      <x:c r="A664" s="142"/>
    </x:row>
    <x:row r="665">
      <x:c r="A665" s="142"/>
    </x:row>
    <x:row r="666">
      <x:c r="A666" s="142"/>
    </x:row>
    <x:row r="667">
      <x:c r="A667" s="142"/>
    </x:row>
    <x:row r="668">
      <x:c r="A668" s="142"/>
    </x:row>
    <x:row r="669">
      <x:c r="A669" s="142"/>
    </x:row>
    <x:row r="670">
      <x:c r="A670" s="142"/>
    </x:row>
    <x:row r="671">
      <x:c r="A671" s="142"/>
    </x:row>
    <x:row r="672">
      <x:c r="A672" s="142"/>
    </x:row>
    <x:row r="673">
      <x:c r="A673" s="142"/>
    </x:row>
    <x:row r="674">
      <x:c r="A674" s="142"/>
    </x:row>
    <x:row r="675">
      <x:c r="A675" s="142"/>
    </x:row>
    <x:row r="676">
      <x:c r="A676" s="142"/>
    </x:row>
    <x:row r="677">
      <x:c r="A677" s="142"/>
    </x:row>
    <x:row r="678">
      <x:c r="A678" s="142"/>
    </x:row>
    <x:row r="679">
      <x:c r="A679" s="142"/>
    </x:row>
    <x:row r="680">
      <x:c r="A680" s="142"/>
    </x:row>
    <x:row r="681">
      <x:c r="A681" s="142"/>
    </x:row>
    <x:row r="682">
      <x:c r="A682" s="142"/>
    </x:row>
    <x:row r="683">
      <x:c r="A683" s="142"/>
    </x:row>
    <x:row r="684">
      <x:c r="A684" s="142"/>
    </x:row>
    <x:row r="685">
      <x:c r="A685" s="142"/>
    </x:row>
    <x:row r="686">
      <x:c r="A686" s="142"/>
    </x:row>
    <x:row r="687">
      <x:c r="A687" s="142"/>
    </x:row>
    <x:row r="688">
      <x:c r="A688" s="142"/>
    </x:row>
    <x:row r="689">
      <x:c r="A689" s="142"/>
    </x:row>
    <x:row r="690">
      <x:c r="A690" s="142"/>
    </x:row>
    <x:row r="691">
      <x:c r="A691" s="142"/>
    </x:row>
    <x:row r="692">
      <x:c r="A692" s="142"/>
    </x:row>
    <x:row r="693">
      <x:c r="A693" s="142"/>
    </x:row>
    <x:row r="694">
      <x:c r="A694" s="142"/>
    </x:row>
    <x:row r="695">
      <x:c r="A695" s="142"/>
    </x:row>
    <x:row r="696">
      <x:c r="A696" s="142"/>
    </x:row>
    <x:row r="697">
      <x:c r="A697" s="142"/>
    </x:row>
    <x:row r="698">
      <x:c r="A698" s="142"/>
    </x:row>
    <x:row r="699">
      <x:c r="A699" s="142"/>
    </x:row>
    <x:row r="700">
      <x:c r="A700" s="142"/>
    </x:row>
    <x:row r="701">
      <x:c r="A701" s="142"/>
    </x:row>
    <x:row r="702">
      <x:c r="A702" s="142"/>
    </x:row>
    <x:row r="703">
      <x:c r="A703" s="142"/>
    </x:row>
    <x:row r="704">
      <x:c r="A704" s="142"/>
    </x:row>
    <x:row r="705">
      <x:c r="A705" s="142"/>
    </x:row>
    <x:row r="706">
      <x:c r="A706" s="142"/>
    </x:row>
    <x:row r="707">
      <x:c r="A707" s="142"/>
    </x:row>
    <x:row r="708">
      <x:c r="A708" s="142"/>
    </x:row>
    <x:row r="709">
      <x:c r="A709" s="142"/>
    </x:row>
    <x:row r="710">
      <x:c r="A710" s="142"/>
    </x:row>
    <x:row r="711">
      <x:c r="A711" s="142"/>
    </x:row>
    <x:row r="712">
      <x:c r="A712" s="142"/>
    </x:row>
    <x:row r="713">
      <x:c r="A713" s="142"/>
    </x:row>
    <x:row r="714">
      <x:c r="A714" s="142"/>
    </x:row>
    <x:row r="715">
      <x:c r="A715" s="142"/>
    </x:row>
    <x:row r="716">
      <x:c r="A716" s="142"/>
    </x:row>
    <x:row r="717">
      <x:c r="A717" s="142"/>
    </x:row>
    <x:row r="718">
      <x:c r="A718" s="142"/>
    </x:row>
    <x:row r="719">
      <x:c r="A719" s="142"/>
    </x:row>
    <x:row r="720">
      <x:c r="A720" s="142"/>
    </x:row>
    <x:row r="721">
      <x:c r="A721" s="142"/>
    </x:row>
    <x:row r="722">
      <x:c r="A722" s="142"/>
    </x:row>
    <x:row r="723">
      <x:c r="A723" s="142"/>
    </x:row>
    <x:row r="724">
      <x:c r="A724" s="142"/>
    </x:row>
    <x:row r="725">
      <x:c r="A725" s="142"/>
    </x:row>
    <x:row r="726">
      <x:c r="A726" s="142"/>
    </x:row>
    <x:row r="727">
      <x:c r="A727" s="142"/>
    </x:row>
    <x:row r="728">
      <x:c r="A728" s="142"/>
    </x:row>
    <x:row r="729">
      <x:c r="A729" s="142"/>
    </x:row>
    <x:row r="730">
      <x:c r="A730" s="142"/>
    </x:row>
    <x:row r="731">
      <x:c r="A731" s="142"/>
    </x:row>
    <x:row r="732">
      <x:c r="A732" s="142"/>
    </x:row>
    <x:row r="733">
      <x:c r="A733" s="142"/>
    </x:row>
    <x:row r="734">
      <x:c r="A734" s="142"/>
    </x:row>
    <x:row r="735">
      <x:c r="A735" s="142"/>
    </x:row>
    <x:row r="736">
      <x:c r="A736" s="142"/>
    </x:row>
    <x:row r="737">
      <x:c r="A737" s="142"/>
    </x:row>
    <x:row r="738">
      <x:c r="A738" s="142"/>
    </x:row>
    <x:row r="739">
      <x:c r="A739" s="142"/>
    </x:row>
    <x:row r="740">
      <x:c r="A740" s="142"/>
    </x:row>
    <x:row r="741">
      <x:c r="A741" s="142"/>
    </x:row>
    <x:row r="742">
      <x:c r="A742" s="142"/>
    </x:row>
    <x:row r="743">
      <x:c r="A743" s="142"/>
    </x:row>
    <x:row r="744">
      <x:c r="A744" s="142"/>
    </x:row>
    <x:row r="745">
      <x:c r="A745" s="142"/>
    </x:row>
    <x:row r="746">
      <x:c r="A746" s="142"/>
    </x:row>
    <x:row r="747">
      <x:c r="A747" s="142"/>
    </x:row>
    <x:row r="748">
      <x:c r="A748" s="142"/>
    </x:row>
    <x:row r="749">
      <x:c r="A749" s="142"/>
    </x:row>
    <x:row r="750">
      <x:c r="A750" s="142"/>
    </x:row>
    <x:row r="751">
      <x:c r="A751" s="142"/>
    </x:row>
    <x:row r="752">
      <x:c r="A752" s="142"/>
    </x:row>
    <x:row r="753">
      <x:c r="A753" s="142"/>
    </x:row>
    <x:row r="754">
      <x:c r="A754" s="142"/>
    </x:row>
    <x:row r="755">
      <x:c r="A755" s="142"/>
    </x:row>
    <x:row r="756">
      <x:c r="A756" s="142"/>
    </x:row>
    <x:row r="757">
      <x:c r="A757" s="142"/>
    </x:row>
    <x:row r="758">
      <x:c r="A758" s="142"/>
    </x:row>
    <x:row r="759">
      <x:c r="A759" s="142"/>
    </x:row>
    <x:row r="760">
      <x:c r="A760" s="142"/>
    </x:row>
    <x:row r="761">
      <x:c r="A761" s="142"/>
    </x:row>
    <x:row r="762">
      <x:c r="A762" s="142"/>
    </x:row>
    <x:row r="763">
      <x:c r="A763" s="142"/>
    </x:row>
    <x:row r="764">
      <x:c r="A764" s="142"/>
    </x:row>
    <x:row r="765">
      <x:c r="A765" s="142"/>
    </x:row>
    <x:row r="766">
      <x:c r="A766" s="142"/>
    </x:row>
    <x:row r="767">
      <x:c r="A767" s="142"/>
    </x:row>
    <x:row r="768">
      <x:c r="A768" s="142"/>
    </x:row>
    <x:row r="769">
      <x:c r="A769" s="142"/>
    </x:row>
    <x:row r="770">
      <x:c r="A770" s="142"/>
    </x:row>
    <x:row r="771">
      <x:c r="A771" s="142"/>
    </x:row>
    <x:row r="772">
      <x:c r="A772" s="142"/>
    </x:row>
    <x:row r="773">
      <x:c r="A773" s="142"/>
    </x:row>
    <x:row r="774">
      <x:c r="A774" s="142"/>
    </x:row>
    <x:row r="775">
      <x:c r="A775" s="142"/>
    </x:row>
    <x:row r="776">
      <x:c r="A776" s="142"/>
    </x:row>
    <x:row r="777">
      <x:c r="A777" s="142"/>
    </x:row>
    <x:row r="778">
      <x:c r="A778" s="142"/>
    </x:row>
    <x:row r="779">
      <x:c r="A779" s="142"/>
    </x:row>
    <x:row r="780">
      <x:c r="A780" s="142"/>
    </x:row>
    <x:row r="781">
      <x:c r="A781" s="142"/>
    </x:row>
    <x:row r="782">
      <x:c r="A782" s="142"/>
    </x:row>
    <x:row r="783">
      <x:c r="A783" s="142"/>
    </x:row>
    <x:row r="784">
      <x:c r="A784" s="142"/>
    </x:row>
    <x:row r="785">
      <x:c r="A785" s="142"/>
    </x:row>
    <x:row r="786">
      <x:c r="A786" s="142"/>
    </x:row>
    <x:row r="787">
      <x:c r="A787" s="142"/>
    </x:row>
    <x:row r="788">
      <x:c r="A788" s="142"/>
    </x:row>
    <x:row r="789">
      <x:c r="A789" s="142"/>
    </x:row>
    <x:row r="790">
      <x:c r="A790" s="142"/>
    </x:row>
    <x:row r="791">
      <x:c r="A791" s="142"/>
    </x:row>
    <x:row r="792">
      <x:c r="A792" s="142"/>
    </x:row>
    <x:row r="793">
      <x:c r="A793" s="142"/>
    </x:row>
    <x:row r="794">
      <x:c r="A794" s="142"/>
    </x:row>
    <x:row r="795">
      <x:c r="A795" s="142"/>
    </x:row>
    <x:row r="796">
      <x:c r="A796" s="142"/>
    </x:row>
    <x:row r="797">
      <x:c r="A797" s="142"/>
    </x:row>
    <x:row r="798">
      <x:c r="A798" s="142"/>
    </x:row>
    <x:row r="799">
      <x:c r="A799" s="142"/>
    </x:row>
    <x:row r="800">
      <x:c r="A800" s="142"/>
    </x:row>
    <x:row r="801">
      <x:c r="A801" s="142"/>
    </x:row>
    <x:row r="802">
      <x:c r="A802" s="142"/>
    </x:row>
    <x:row r="803">
      <x:c r="A803" s="142"/>
    </x:row>
    <x:row r="804">
      <x:c r="A804" s="142"/>
    </x:row>
    <x:row r="805">
      <x:c r="A805" s="142"/>
    </x:row>
    <x:row r="806">
      <x:c r="A806" s="142"/>
    </x:row>
    <x:row r="807">
      <x:c r="A807" s="142"/>
    </x:row>
    <x:row r="808">
      <x:c r="A808" s="142"/>
    </x:row>
    <x:row r="809">
      <x:c r="A809" s="142"/>
    </x:row>
    <x:row r="810">
      <x:c r="A810" s="142"/>
    </x:row>
    <x:row r="811">
      <x:c r="A811" s="142"/>
    </x:row>
    <x:row r="812">
      <x:c r="A812" s="142"/>
    </x:row>
    <x:row r="813">
      <x:c r="A813" s="142"/>
    </x:row>
    <x:row r="814">
      <x:c r="A814" s="142"/>
    </x:row>
    <x:row r="815">
      <x:c r="A815" s="142"/>
    </x:row>
    <x:row r="816">
      <x:c r="A816" s="142"/>
    </x:row>
    <x:row r="817">
      <x:c r="A817" s="142"/>
    </x:row>
    <x:row r="818">
      <x:c r="A818" s="142"/>
    </x:row>
    <x:row r="819">
      <x:c r="A819" s="142"/>
    </x:row>
    <x:row r="820">
      <x:c r="A820" s="142"/>
    </x:row>
    <x:row r="821">
      <x:c r="A821" s="142"/>
    </x:row>
    <x:row r="822">
      <x:c r="A822" s="142"/>
    </x:row>
    <x:row r="823">
      <x:c r="A823" s="142"/>
    </x:row>
    <x:row r="824">
      <x:c r="A824" s="142"/>
    </x:row>
    <x:row r="825">
      <x:c r="A825" s="142"/>
    </x:row>
    <x:row r="826">
      <x:c r="A826" s="142"/>
    </x:row>
    <x:row r="827">
      <x:c r="A827" s="142"/>
    </x:row>
    <x:row r="828">
      <x:c r="A828" s="142"/>
    </x:row>
    <x:row r="829">
      <x:c r="A829" s="142"/>
    </x:row>
    <x:row r="830">
      <x:c r="A830" s="142"/>
    </x:row>
    <x:row r="831">
      <x:c r="A831" s="142"/>
    </x:row>
    <x:row r="832">
      <x:c r="A832" s="142"/>
    </x:row>
    <x:row r="833">
      <x:c r="A833" s="142"/>
    </x:row>
    <x:row r="834">
      <x:c r="A834" s="142"/>
    </x:row>
    <x:row r="835">
      <x:c r="A835" s="142"/>
    </x:row>
    <x:row r="836">
      <x:c r="A836" s="142"/>
    </x:row>
    <x:row r="837">
      <x:c r="A837" s="142"/>
    </x:row>
    <x:row r="838">
      <x:c r="A838" s="142"/>
    </x:row>
    <x:row r="839">
      <x:c r="A839" s="142"/>
    </x:row>
    <x:row r="840">
      <x:c r="A840" s="142"/>
    </x:row>
    <x:row r="841">
      <x:c r="A841" s="142"/>
    </x:row>
    <x:row r="842">
      <x:c r="A842" s="142"/>
    </x:row>
    <x:row r="843">
      <x:c r="A843" s="142"/>
    </x:row>
    <x:row r="844">
      <x:c r="A844" s="142"/>
    </x:row>
    <x:row r="845">
      <x:c r="A845" s="142"/>
    </x:row>
    <x:row r="846">
      <x:c r="A846" s="142"/>
    </x:row>
    <x:row r="847">
      <x:c r="A847" s="142"/>
    </x:row>
    <x:row r="848">
      <x:c r="A848" s="142"/>
    </x:row>
    <x:row r="849">
      <x:c r="A849" s="142"/>
    </x:row>
    <x:row r="850">
      <x:c r="A850" s="142"/>
    </x:row>
    <x:row r="851">
      <x:c r="A851" s="142"/>
    </x:row>
    <x:row r="852">
      <x:c r="A852" s="142"/>
    </x:row>
    <x:row r="853">
      <x:c r="A853" s="142"/>
    </x:row>
    <x:row r="854">
      <x:c r="A854" s="142"/>
    </x:row>
    <x:row r="855">
      <x:c r="A855" s="142"/>
    </x:row>
    <x:row r="856">
      <x:c r="A856" s="142"/>
    </x:row>
    <x:row r="857">
      <x:c r="A857" s="142"/>
    </x:row>
    <x:row r="858">
      <x:c r="A858" s="142"/>
    </x:row>
    <x:row r="859">
      <x:c r="A859" s="142"/>
    </x:row>
    <x:row r="860">
      <x:c r="A860" s="142"/>
    </x:row>
    <x:row r="861">
      <x:c r="A861" s="142"/>
    </x:row>
    <x:row r="862">
      <x:c r="A862" s="142"/>
    </x:row>
    <x:row r="863">
      <x:c r="A863" s="142"/>
    </x:row>
    <x:row r="864">
      <x:c r="A864" s="142"/>
    </x:row>
    <x:row r="865">
      <x:c r="A865" s="142"/>
    </x:row>
    <x:row r="866">
      <x:c r="A866" s="142"/>
    </x:row>
    <x:row r="867">
      <x:c r="A867" s="142"/>
    </x:row>
    <x:row r="868">
      <x:c r="A868" s="142"/>
    </x:row>
    <x:row r="869">
      <x:c r="A869" s="142"/>
    </x:row>
    <x:row r="870">
      <x:c r="A870" s="142"/>
    </x:row>
    <x:row r="871">
      <x:c r="A871" s="142"/>
    </x:row>
    <x:row r="872">
      <x:c r="A872" s="142"/>
    </x:row>
    <x:row r="873">
      <x:c r="A873" s="142"/>
    </x:row>
    <x:row r="874">
      <x:c r="A874" s="142"/>
    </x:row>
    <x:row r="875">
      <x:c r="A875" s="142"/>
    </x:row>
    <x:row r="876">
      <x:c r="A876" s="142"/>
    </x:row>
    <x:row r="877">
      <x:c r="A877" s="142"/>
    </x:row>
    <x:row r="878">
      <x:c r="A878" s="142"/>
    </x:row>
    <x:row r="879">
      <x:c r="A879" s="142"/>
    </x:row>
    <x:row r="880">
      <x:c r="A880" s="142"/>
    </x:row>
    <x:row r="881">
      <x:c r="A881" s="142"/>
    </x:row>
    <x:row r="882">
      <x:c r="A882" s="142"/>
    </x:row>
    <x:row r="883">
      <x:c r="A883" s="142"/>
    </x:row>
    <x:row r="884">
      <x:c r="A884" s="142"/>
    </x:row>
    <x:row r="885">
      <x:c r="A885" s="142"/>
    </x:row>
    <x:row r="886">
      <x:c r="A886" s="142"/>
    </x:row>
    <x:row r="887">
      <x:c r="A887" s="142"/>
    </x:row>
    <x:row r="888">
      <x:c r="A888" s="142"/>
    </x:row>
    <x:row r="889">
      <x:c r="A889" s="142"/>
    </x:row>
    <x:row r="890">
      <x:c r="A890" s="142"/>
    </x:row>
    <x:row r="891">
      <x:c r="A891" s="142"/>
    </x:row>
    <x:row r="892">
      <x:c r="A892" s="142"/>
    </x:row>
    <x:row r="893">
      <x:c r="A893" s="142"/>
    </x:row>
    <x:row r="894">
      <x:c r="A894" s="142"/>
    </x:row>
    <x:row r="895">
      <x:c r="A895" s="142"/>
    </x:row>
    <x:row r="896">
      <x:c r="A896" s="142"/>
    </x:row>
    <x:row r="897">
      <x:c r="A897" s="142"/>
    </x:row>
    <x:row r="898">
      <x:c r="A898" s="142"/>
    </x:row>
    <x:row r="899">
      <x:c r="A899" s="142"/>
    </x:row>
    <x:row r="900">
      <x:c r="A900" s="142"/>
    </x:row>
    <x:row r="901">
      <x:c r="A901" s="142"/>
    </x:row>
    <x:row r="902">
      <x:c r="A902" s="142"/>
    </x:row>
    <x:row r="903">
      <x:c r="A903" s="142"/>
    </x:row>
    <x:row r="904">
      <x:c r="A904" s="142"/>
    </x:row>
    <x:row r="905">
      <x:c r="A905" s="142"/>
    </x:row>
    <x:row r="906">
      <x:c r="A906" s="142"/>
    </x:row>
    <x:row r="907">
      <x:c r="A907" s="142"/>
    </x:row>
    <x:row r="908">
      <x:c r="A908" s="142"/>
    </x:row>
    <x:row r="909">
      <x:c r="A909" s="142"/>
    </x:row>
    <x:row r="910">
      <x:c r="A910" s="142"/>
    </x:row>
    <x:row r="911">
      <x:c r="A911" s="142"/>
    </x:row>
    <x:row r="912">
      <x:c r="A912" s="142"/>
    </x:row>
    <x:row r="913">
      <x:c r="A913" s="142"/>
    </x:row>
    <x:row r="914">
      <x:c r="A914" s="142"/>
    </x:row>
    <x:row r="915">
      <x:c r="A915" s="142"/>
    </x:row>
    <x:row r="916">
      <x:c r="A916" s="142"/>
    </x:row>
    <x:row r="917">
      <x:c r="A917" s="142"/>
    </x:row>
    <x:row r="918">
      <x:c r="A918" s="142"/>
    </x:row>
    <x:row r="919">
      <x:c r="A919" s="142"/>
    </x:row>
    <x:row r="920">
      <x:c r="A920" s="142"/>
    </x:row>
    <x:row r="921">
      <x:c r="A921" s="142"/>
    </x:row>
    <x:row r="922">
      <x:c r="A922" s="142"/>
    </x:row>
    <x:row r="923">
      <x:c r="A923" s="142"/>
    </x:row>
    <x:row r="924">
      <x:c r="A924" s="142"/>
    </x:row>
    <x:row r="925">
      <x:c r="A925" s="142"/>
    </x:row>
    <x:row r="926">
      <x:c r="A926" s="142"/>
    </x:row>
    <x:row r="927">
      <x:c r="A927" s="142"/>
    </x:row>
    <x:row r="928">
      <x:c r="A928" s="142"/>
    </x:row>
    <x:row r="929">
      <x:c r="A929" s="142"/>
    </x:row>
    <x:row r="930">
      <x:c r="A930" s="142"/>
    </x:row>
    <x:row r="931">
      <x:c r="A931" s="142"/>
    </x:row>
    <x:row r="932">
      <x:c r="A932" s="142"/>
    </x:row>
    <x:row r="933">
      <x:c r="A933" s="142"/>
    </x:row>
    <x:row r="934">
      <x:c r="A934" s="142"/>
    </x:row>
    <x:row r="935">
      <x:c r="A935" s="142"/>
    </x:row>
    <x:row r="936">
      <x:c r="A936" s="142"/>
    </x:row>
    <x:row r="937">
      <x:c r="A937" s="142"/>
    </x:row>
    <x:row r="938">
      <x:c r="A938" s="142"/>
    </x:row>
    <x:row r="939">
      <x:c r="A939" s="142"/>
    </x:row>
    <x:row r="940">
      <x:c r="A940" s="142"/>
    </x:row>
    <x:row r="941">
      <x:c r="A941" s="142"/>
    </x:row>
    <x:row r="942">
      <x:c r="A942" s="142"/>
    </x:row>
    <x:row r="943">
      <x:c r="A943" s="142"/>
    </x:row>
    <x:row r="944">
      <x:c r="A944" s="142"/>
    </x:row>
    <x:row r="945">
      <x:c r="A945" s="142"/>
    </x:row>
    <x:row r="946">
      <x:c r="A946" s="142"/>
    </x:row>
    <x:row r="947">
      <x:c r="A947" s="142"/>
    </x:row>
    <x:row r="948">
      <x:c r="A948" s="142"/>
    </x:row>
    <x:row r="949">
      <x:c r="A949" s="142"/>
    </x:row>
    <x:row r="950">
      <x:c r="A950" s="142"/>
    </x:row>
    <x:row r="951">
      <x:c r="A951" s="142"/>
    </x:row>
    <x:row r="952">
      <x:c r="A952" s="142"/>
    </x:row>
    <x:row r="953">
      <x:c r="A953" s="142"/>
    </x:row>
    <x:row r="954">
      <x:c r="A954" s="142"/>
    </x:row>
    <x:row r="955">
      <x:c r="A955" s="142"/>
    </x:row>
    <x:row r="956">
      <x:c r="A956" s="142"/>
    </x:row>
    <x:row r="957">
      <x:c r="A957" s="142"/>
    </x:row>
    <x:row r="958">
      <x:c r="A958" s="142"/>
    </x:row>
    <x:row r="959">
      <x:c r="A959" s="142"/>
    </x:row>
    <x:row r="960">
      <x:c r="A960" s="142"/>
    </x:row>
    <x:row r="961">
      <x:c r="A961" s="142"/>
    </x:row>
    <x:row r="962">
      <x:c r="A962" s="142"/>
    </x:row>
    <x:row r="963">
      <x:c r="A963" s="142"/>
    </x:row>
    <x:row r="964">
      <x:c r="A964" s="142"/>
    </x:row>
    <x:row r="965">
      <x:c r="A965" s="142"/>
    </x:row>
    <x:row r="966">
      <x:c r="A966" s="142"/>
    </x:row>
    <x:row r="967">
      <x:c r="A967" s="142"/>
    </x:row>
    <x:row r="968">
      <x:c r="A968" s="142"/>
    </x:row>
    <x:row r="969">
      <x:c r="A969" s="142"/>
    </x:row>
    <x:row r="970">
      <x:c r="A970" s="142"/>
    </x:row>
    <x:row r="971">
      <x:c r="A971" s="142"/>
    </x:row>
    <x:row r="972">
      <x:c r="A972" s="142"/>
    </x:row>
    <x:row r="973">
      <x:c r="A973" s="142"/>
    </x:row>
    <x:row r="974">
      <x:c r="A974" s="142"/>
    </x:row>
    <x:row r="975">
      <x:c r="A975" s="142"/>
    </x:row>
    <x:row r="976">
      <x:c r="A976" s="142"/>
    </x:row>
    <x:row r="977">
      <x:c r="A977" s="142"/>
    </x:row>
    <x:row r="978">
      <x:c r="A978" s="142"/>
    </x:row>
    <x:row r="979">
      <x:c r="A979" s="142"/>
    </x:row>
    <x:row r="980">
      <x:c r="A980" s="142"/>
    </x:row>
    <x:row r="981">
      <x:c r="A981" s="142"/>
    </x:row>
    <x:row r="982">
      <x:c r="A982" s="142"/>
    </x:row>
    <x:row r="983">
      <x:c r="A983" s="142"/>
    </x:row>
    <x:row r="984">
      <x:c r="A984" s="142"/>
    </x:row>
    <x:row r="985">
      <x:c r="A985" s="142"/>
    </x:row>
    <x:row r="986">
      <x:c r="A986" s="142"/>
    </x:row>
    <x:row r="987">
      <x:c r="A987" s="142"/>
    </x:row>
    <x:row r="988">
      <x:c r="A988" s="142"/>
    </x:row>
    <x:row r="989">
      <x:c r="A989" s="142"/>
    </x:row>
    <x:row r="990">
      <x:c r="A990" s="142"/>
    </x:row>
    <x:row r="991">
      <x:c r="A991" s="142"/>
    </x:row>
    <x:row r="992">
      <x:c r="A992" s="142"/>
    </x:row>
    <x:row r="993">
      <x:c r="A993" s="142"/>
    </x:row>
    <x:row r="994">
      <x:c r="A994" s="142"/>
    </x:row>
    <x:row r="995">
      <x:c r="A995" s="142"/>
    </x:row>
    <x:row r="996">
      <x:c r="A996" s="142"/>
    </x:row>
    <x:row r="997">
      <x:c r="A997" s="142"/>
    </x:row>
    <x:row r="998">
      <x:c r="A998" s="142"/>
    </x:row>
    <x:row r="999">
      <x:c r="A999" s="142"/>
    </x:row>
    <x:row r="1000">
      <x:c r="A1000" s="142"/>
    </x:row>
    <x:row r="1001">
      <x:c r="A1001" s="142"/>
    </x:row>
    <x:row r="1002">
      <x:c r="A1002" s="142"/>
    </x:row>
    <x:row r="1003">
      <x:c r="A1003" s="142"/>
    </x:row>
    <x:row r="1004">
      <x:c r="A1004" s="142"/>
    </x:row>
    <x:row r="1005">
      <x:c r="A1005" s="142"/>
    </x:row>
    <x:row r="1006">
      <x:c r="A1006" s="142"/>
    </x:row>
    <x:row r="1007">
      <x:c r="A1007" s="142"/>
    </x:row>
    <x:row r="1008">
      <x:c r="A1008" s="142"/>
    </x:row>
    <x:row r="1009">
      <x:c r="A1009" s="142"/>
    </x:row>
    <x:row r="1010">
      <x:c r="A1010" s="142"/>
    </x:row>
    <x:row r="1011">
      <x:c r="A1011" s="142"/>
    </x:row>
    <x:row r="1012">
      <x:c r="A1012" s="142"/>
    </x:row>
    <x:row r="1013">
      <x:c r="A1013" s="142"/>
    </x:row>
    <x:row r="1014">
      <x:c r="A1014" s="142"/>
    </x:row>
    <x:row r="1015">
      <x:c r="A1015" s="142"/>
    </x:row>
    <x:row r="1016">
      <x:c r="A1016" s="142"/>
    </x:row>
    <x:row r="1017">
      <x:c r="A1017" s="142"/>
    </x:row>
    <x:row r="1018">
      <x:c r="A1018" s="142"/>
    </x:row>
    <x:row r="1019">
      <x:c r="A1019" s="142"/>
    </x:row>
    <x:row r="1020">
      <x:c r="A1020" s="142"/>
    </x:row>
    <x:row r="1021">
      <x:c r="A1021" s="142"/>
    </x:row>
    <x:row r="1022">
      <x:c r="A1022" s="142"/>
    </x:row>
    <x:row r="1023">
      <x:c r="A1023" s="142"/>
    </x:row>
    <x:row r="1024">
      <x:c r="A1024" s="142"/>
    </x:row>
    <x:row r="1025">
      <x:c r="A1025" s="142"/>
    </x:row>
    <x:row r="1026">
      <x:c r="A1026" s="142"/>
    </x:row>
    <x:row r="1027">
      <x:c r="A1027" s="142"/>
    </x:row>
    <x:row r="1028">
      <x:c r="A1028" s="142"/>
    </x:row>
    <x:row r="1029">
      <x:c r="A1029" s="142"/>
    </x:row>
    <x:row r="1030">
      <x:c r="A1030" s="142"/>
    </x:row>
    <x:row r="1031">
      <x:c r="A1031" s="142"/>
    </x:row>
    <x:row r="1032">
      <x:c r="A1032" s="142"/>
    </x:row>
    <x:row r="1033">
      <x:c r="A1033" s="142"/>
    </x:row>
    <x:row r="1034">
      <x:c r="A1034" s="142"/>
    </x:row>
    <x:row r="1035">
      <x:c r="A1035" s="142"/>
    </x:row>
    <x:row r="1036">
      <x:c r="A1036" s="142"/>
    </x:row>
    <x:row r="1037">
      <x:c r="A1037" s="142"/>
    </x:row>
    <x:row r="1038">
      <x:c r="A1038" s="142"/>
    </x:row>
    <x:row r="1039">
      <x:c r="A1039" s="142"/>
    </x:row>
    <x:row r="1040">
      <x:c r="A1040" s="142"/>
    </x:row>
    <x:row r="1041">
      <x:c r="A1041" s="142"/>
    </x:row>
    <x:row r="1042">
      <x:c r="A1042" s="142"/>
    </x:row>
    <x:row r="1043">
      <x:c r="A1043" s="142"/>
    </x:row>
    <x:row r="1044">
      <x:c r="A1044" s="142"/>
    </x:row>
    <x:row r="1045">
      <x:c r="A1045" s="142"/>
    </x:row>
    <x:row r="1046">
      <x:c r="A1046" s="142"/>
    </x:row>
    <x:row r="1047">
      <x:c r="A1047" s="142"/>
    </x:row>
    <x:row r="1048">
      <x:c r="A1048" s="142"/>
    </x:row>
    <x:row r="1049">
      <x:c r="A1049" s="142"/>
    </x:row>
    <x:row r="1050">
      <x:c r="A1050" s="142"/>
    </x:row>
    <x:row r="1051">
      <x:c r="A1051" s="142"/>
    </x:row>
    <x:row r="1052">
      <x:c r="A1052" s="142"/>
    </x:row>
    <x:row r="1053">
      <x:c r="A1053" s="142"/>
    </x:row>
    <x:row r="1054">
      <x:c r="A1054" s="142"/>
    </x:row>
    <x:row r="1055">
      <x:c r="A1055" s="142"/>
    </x:row>
    <x:row r="1056">
      <x:c r="A1056" s="142"/>
    </x:row>
    <x:row r="1057">
      <x:c r="A1057" s="142"/>
    </x:row>
    <x:row r="1058">
      <x:c r="A1058" s="142"/>
    </x:row>
    <x:row r="1059">
      <x:c r="A1059" s="142"/>
    </x:row>
    <x:row r="1060">
      <x:c r="A1060" s="142"/>
    </x:row>
    <x:row r="1061">
      <x:c r="A1061" s="142"/>
    </x:row>
    <x:row r="1062">
      <x:c r="A1062" s="142"/>
    </x:row>
    <x:row r="1063">
      <x:c r="A1063" s="142"/>
    </x:row>
    <x:row r="1064">
      <x:c r="A1064" s="142"/>
    </x:row>
    <x:row r="1065">
      <x:c r="A1065" s="142"/>
    </x:row>
    <x:row r="1066">
      <x:c r="A1066" s="142"/>
    </x:row>
    <x:row r="1067">
      <x:c r="A1067" s="142"/>
    </x:row>
    <x:row r="1068">
      <x:c r="A1068" s="142"/>
    </x:row>
    <x:row r="1069">
      <x:c r="A1069" s="142"/>
    </x:row>
    <x:row r="1070">
      <x:c r="A1070" s="142"/>
    </x:row>
    <x:row r="1071">
      <x:c r="A1071" s="142"/>
    </x:row>
    <x:row r="1072">
      <x:c r="A1072" s="142"/>
    </x:row>
    <x:row r="1073">
      <x:c r="A1073" s="142"/>
    </x:row>
    <x:row r="1074">
      <x:c r="A1074" s="142"/>
    </x:row>
    <x:row r="1075">
      <x:c r="A1075" s="142"/>
    </x:row>
    <x:row r="1076">
      <x:c r="A1076" s="142"/>
    </x:row>
    <x:row r="1077">
      <x:c r="A1077" s="142"/>
    </x:row>
    <x:row r="1078">
      <x:c r="A1078" s="142"/>
    </x:row>
    <x:row r="1079">
      <x:c r="A1079" s="142"/>
    </x:row>
    <x:row r="1080">
      <x:c r="A1080" s="142"/>
    </x:row>
    <x:row r="1081">
      <x:c r="A1081" s="142"/>
    </x:row>
    <x:row r="1082">
      <x:c r="A1082" s="142"/>
    </x:row>
    <x:row r="1083">
      <x:c r="A1083" s="142"/>
    </x:row>
    <x:row r="1084">
      <x:c r="A1084" s="142"/>
    </x:row>
    <x:row r="1085">
      <x:c r="A1085" s="142"/>
    </x:row>
    <x:row r="1086">
      <x:c r="A1086" s="142"/>
    </x:row>
    <x:row r="1087">
      <x:c r="A1087" s="142"/>
    </x:row>
    <x:row r="1088">
      <x:c r="A1088" s="142"/>
    </x:row>
    <x:row r="1089">
      <x:c r="A1089" s="142"/>
    </x:row>
    <x:row r="1090">
      <x:c r="A1090" s="142"/>
    </x:row>
    <x:row r="1091">
      <x:c r="A1091" s="142"/>
    </x:row>
    <x:row r="1092">
      <x:c r="A1092" s="142"/>
    </x:row>
    <x:row r="1093">
      <x:c r="A1093" s="142"/>
    </x:row>
    <x:row r="1094">
      <x:c r="A1094" s="142"/>
    </x:row>
    <x:row r="1095">
      <x:c r="A1095" s="142"/>
    </x:row>
    <x:row r="1096">
      <x:c r="A1096" s="142"/>
    </x:row>
    <x:row r="1097">
      <x:c r="A1097" s="142"/>
    </x:row>
    <x:row r="1098">
      <x:c r="A1098" s="142"/>
    </x:row>
    <x:row r="1099">
      <x:c r="A1099" s="142"/>
    </x:row>
    <x:row r="1100">
      <x:c r="A1100" s="142"/>
    </x:row>
    <x:row r="1101">
      <x:c r="A1101" s="142"/>
    </x:row>
    <x:row r="1102">
      <x:c r="A1102" s="142"/>
    </x:row>
    <x:row r="1103">
      <x:c r="A1103" s="142"/>
    </x:row>
    <x:row r="1104">
      <x:c r="A1104" s="142"/>
    </x:row>
    <x:row r="1105">
      <x:c r="A1105" s="142"/>
    </x:row>
    <x:row r="1106">
      <x:c r="A1106" s="142"/>
    </x:row>
    <x:row r="1107">
      <x:c r="A1107" s="142"/>
    </x:row>
    <x:row r="1108">
      <x:c r="A1108" s="142"/>
    </x:row>
    <x:row r="1109">
      <x:c r="A1109" s="142"/>
    </x:row>
    <x:row r="1110">
      <x:c r="A1110" s="142"/>
    </x:row>
    <x:row r="1111">
      <x:c r="A1111" s="142"/>
    </x:row>
    <x:row r="1112">
      <x:c r="A1112" s="142"/>
    </x:row>
    <x:row r="1113">
      <x:c r="A1113" s="142"/>
    </x:row>
    <x:row r="1114">
      <x:c r="A1114" s="142"/>
    </x:row>
    <x:row r="1115">
      <x:c r="A1115" s="142"/>
    </x:row>
    <x:row r="1116">
      <x:c r="A1116" s="142"/>
    </x:row>
    <x:row r="1117">
      <x:c r="A1117" s="142"/>
    </x:row>
    <x:row r="1118">
      <x:c r="A1118" s="142"/>
    </x:row>
    <x:row r="1119">
      <x:c r="A1119" s="142"/>
    </x:row>
    <x:row r="1120">
      <x:c r="A1120" s="142"/>
    </x:row>
    <x:row r="1121">
      <x:c r="A1121" s="142"/>
    </x:row>
    <x:row r="1122">
      <x:c r="A1122" s="142"/>
    </x:row>
    <x:row r="1123">
      <x:c r="A1123" s="142"/>
    </x:row>
    <x:row r="1124">
      <x:c r="A1124" s="142"/>
    </x:row>
    <x:row r="1125">
      <x:c r="A1125" s="142"/>
    </x:row>
    <x:row r="1126">
      <x:c r="A1126" s="142"/>
    </x:row>
    <x:row r="1127">
      <x:c r="A1127" s="142"/>
    </x:row>
    <x:row r="1128">
      <x:c r="A1128" s="142"/>
    </x:row>
    <x:row r="1129">
      <x:c r="A1129" s="142"/>
    </x:row>
    <x:row r="1130">
      <x:c r="A1130" s="142"/>
    </x:row>
    <x:row r="1131">
      <x:c r="A1131" s="142"/>
    </x:row>
    <x:row r="1132">
      <x:c r="A1132" s="142"/>
    </x:row>
    <x:row r="1133">
      <x:c r="A1133" s="142"/>
    </x:row>
    <x:row r="1134">
      <x:c r="A1134" s="142"/>
    </x:row>
    <x:row r="1135">
      <x:c r="A1135" s="142"/>
    </x:row>
    <x:row r="1136">
      <x:c r="A1136" s="142"/>
    </x:row>
    <x:row r="1137">
      <x:c r="A1137" s="142"/>
    </x:row>
    <x:row r="1138">
      <x:c r="A1138" s="142"/>
    </x:row>
    <x:row r="1139">
      <x:c r="A1139" s="142"/>
    </x:row>
    <x:row r="1140">
      <x:c r="A1140" s="142"/>
    </x:row>
    <x:row r="1141">
      <x:c r="A1141" s="142"/>
    </x:row>
    <x:row r="1142">
      <x:c r="A1142" s="142"/>
    </x:row>
    <x:row r="1143">
      <x:c r="A1143" s="142"/>
    </x:row>
    <x:row r="1144">
      <x:c r="A1144" s="142"/>
    </x:row>
    <x:row r="1145">
      <x:c r="A1145" s="142"/>
    </x:row>
    <x:row r="1146">
      <x:c r="A1146" s="142"/>
    </x:row>
    <x:row r="1147">
      <x:c r="A1147" s="142"/>
    </x:row>
    <x:row r="1148">
      <x:c r="A1148" s="142"/>
    </x:row>
    <x:row r="1149">
      <x:c r="A1149" s="142"/>
    </x:row>
    <x:row r="1150">
      <x:c r="A1150" s="142"/>
    </x:row>
    <x:row r="1151">
      <x:c r="A1151" s="142"/>
    </x:row>
    <x:row r="1152">
      <x:c r="A1152" s="142"/>
    </x:row>
    <x:row r="1153">
      <x:c r="A1153" s="142"/>
    </x:row>
    <x:row r="1154">
      <x:c r="A1154" s="142"/>
    </x:row>
    <x:row r="1155">
      <x:c r="A1155" s="142"/>
    </x:row>
    <x:row r="1156">
      <x:c r="A1156" s="142"/>
    </x:row>
    <x:row r="1157">
      <x:c r="A1157" s="142"/>
    </x:row>
    <x:row r="1158">
      <x:c r="A1158" s="142"/>
    </x:row>
    <x:row r="1159">
      <x:c r="A1159" s="142"/>
    </x:row>
    <x:row r="1160">
      <x:c r="A1160" s="142"/>
    </x:row>
    <x:row r="1161">
      <x:c r="A1161" s="142"/>
    </x:row>
    <x:row r="1162">
      <x:c r="A1162" s="142"/>
    </x:row>
    <x:row r="1163">
      <x:c r="A1163" s="142"/>
    </x:row>
    <x:row r="1164">
      <x:c r="A1164" s="142"/>
    </x:row>
    <x:row r="1165">
      <x:c r="A1165" s="142"/>
    </x:row>
    <x:row r="1166">
      <x:c r="A1166" s="142"/>
    </x:row>
    <x:row r="1167">
      <x:c r="A1167" s="142"/>
    </x:row>
    <x:row r="1168">
      <x:c r="A1168" s="142"/>
    </x:row>
    <x:row r="1169">
      <x:c r="A1169" s="142"/>
    </x:row>
    <x:row r="1170">
      <x:c r="A1170" s="142"/>
    </x:row>
    <x:row r="1171">
      <x:c r="A1171" s="142"/>
    </x:row>
    <x:row r="1172">
      <x:c r="A1172" s="142"/>
    </x:row>
    <x:row r="1173">
      <x:c r="A1173" s="142"/>
    </x:row>
    <x:row r="1174">
      <x:c r="A1174" s="142"/>
    </x:row>
    <x:row r="1175">
      <x:c r="A1175" s="142"/>
    </x:row>
    <x:row r="1176">
      <x:c r="A1176" s="142"/>
    </x:row>
    <x:row r="1177">
      <x:c r="A1177" s="142"/>
    </x:row>
    <x:row r="1178">
      <x:c r="A1178" s="142"/>
    </x:row>
    <x:row r="1179">
      <x:c r="A1179" s="142"/>
    </x:row>
    <x:row r="1180">
      <x:c r="A1180" s="142"/>
    </x:row>
    <x:row r="1181">
      <x:c r="A1181" s="142"/>
    </x:row>
    <x:row r="1182">
      <x:c r="A1182" s="142"/>
    </x:row>
    <x:row r="1183">
      <x:c r="A1183" s="142"/>
    </x:row>
    <x:row r="1184">
      <x:c r="A1184" s="142"/>
    </x:row>
    <x:row r="1185">
      <x:c r="A1185" s="142"/>
    </x:row>
    <x:row r="1186">
      <x:c r="A1186" s="142"/>
    </x:row>
    <x:row r="1187">
      <x:c r="A1187" s="142"/>
    </x:row>
    <x:row r="1188">
      <x:c r="A1188" s="142"/>
    </x:row>
    <x:row r="1189">
      <x:c r="A1189" s="142"/>
    </x:row>
    <x:row r="1190">
      <x:c r="A1190" s="142"/>
    </x:row>
    <x:row r="1191">
      <x:c r="A1191" s="142"/>
    </x:row>
    <x:row r="1192">
      <x:c r="A1192" s="142"/>
    </x:row>
    <x:row r="1193">
      <x:c r="A1193" s="142"/>
    </x:row>
    <x:row r="1194">
      <x:c r="A1194" s="142"/>
    </x:row>
    <x:row r="1195">
      <x:c r="A1195" s="142"/>
    </x:row>
    <x:row r="1196">
      <x:c r="A1196" s="142"/>
    </x:row>
    <x:row r="1197">
      <x:c r="A1197" s="142"/>
    </x:row>
    <x:row r="1198">
      <x:c r="A1198" s="142"/>
    </x:row>
    <x:row r="1199">
      <x:c r="A1199" s="142"/>
    </x:row>
    <x:row r="1200">
      <x:c r="A1200" s="142"/>
    </x:row>
    <x:row r="1201">
      <x:c r="A1201" s="142"/>
    </x:row>
    <x:row r="1202">
      <x:c r="A1202" s="142"/>
    </x:row>
    <x:row r="1203">
      <x:c r="A1203" s="142"/>
    </x:row>
    <x:row r="1204">
      <x:c r="A1204" s="142"/>
    </x:row>
    <x:row r="1205">
      <x:c r="A1205" s="142"/>
    </x:row>
    <x:row r="1206">
      <x:c r="A1206" s="142"/>
    </x:row>
    <x:row r="1207">
      <x:c r="A1207" s="142"/>
    </x:row>
    <x:row r="1208">
      <x:c r="A1208" s="142"/>
    </x:row>
    <x:row r="1209">
      <x:c r="A1209" s="142"/>
    </x:row>
    <x:row r="1210">
      <x:c r="A1210" s="142"/>
    </x:row>
    <x:row r="1211">
      <x:c r="A1211" s="142"/>
    </x:row>
    <x:row r="1212">
      <x:c r="A1212" s="142"/>
    </x:row>
    <x:row r="1213">
      <x:c r="A1213" s="142"/>
    </x:row>
    <x:row r="1214">
      <x:c r="A1214" s="142"/>
    </x:row>
    <x:row r="1215">
      <x:c r="A1215" s="142"/>
    </x:row>
    <x:row r="1216">
      <x:c r="A1216" s="142"/>
    </x:row>
    <x:row r="1217">
      <x:c r="A1217" s="142"/>
    </x:row>
    <x:row r="1218">
      <x:c r="A1218" s="142"/>
    </x:row>
    <x:row r="1219">
      <x:c r="A1219" s="142"/>
    </x:row>
    <x:row r="1220">
      <x:c r="A1220" s="142"/>
    </x:row>
    <x:row r="1221">
      <x:c r="A1221" s="142"/>
    </x:row>
    <x:row r="1222">
      <x:c r="A1222" s="142"/>
    </x:row>
    <x:row r="1223">
      <x:c r="A1223" s="142"/>
    </x:row>
    <x:row r="1224">
      <x:c r="A1224" s="142"/>
    </x:row>
    <x:row r="1225">
      <x:c r="A1225" s="142"/>
    </x:row>
    <x:row r="1226">
      <x:c r="A1226" s="142"/>
    </x:row>
    <x:row r="1227">
      <x:c r="A1227" s="142"/>
    </x:row>
    <x:row r="1228">
      <x:c r="A1228" s="142"/>
    </x:row>
    <x:row r="1229">
      <x:c r="A1229" s="142"/>
    </x:row>
    <x:row r="1230">
      <x:c r="A1230" s="142"/>
    </x:row>
    <x:row r="1231">
      <x:c r="A1231" s="142"/>
    </x:row>
    <x:row r="1232">
      <x:c r="A1232" s="142"/>
    </x:row>
    <x:row r="1233">
      <x:c r="A1233" s="142"/>
    </x:row>
    <x:row r="1234">
      <x:c r="A1234" s="142"/>
    </x:row>
    <x:row r="1235">
      <x:c r="A1235" s="142"/>
    </x:row>
    <x:row r="1236">
      <x:c r="A1236" s="142"/>
    </x:row>
    <x:row r="1237">
      <x:c r="A1237" s="142"/>
    </x:row>
    <x:row r="1238">
      <x:c r="A1238" s="142"/>
    </x:row>
    <x:row r="1239">
      <x:c r="A1239" s="142"/>
    </x:row>
    <x:row r="1240">
      <x:c r="A1240" s="142"/>
    </x:row>
    <x:row r="1241">
      <x:c r="A1241" s="142"/>
    </x:row>
    <x:row r="1242">
      <x:c r="A1242" s="142"/>
    </x:row>
    <x:row r="1243">
      <x:c r="A1243" s="142"/>
    </x:row>
    <x:row r="1244">
      <x:c r="A1244" s="142"/>
    </x:row>
    <x:row r="1245">
      <x:c r="A1245" s="142"/>
    </x:row>
    <x:row r="1246">
      <x:c r="A1246" s="142"/>
    </x:row>
    <x:row r="1247">
      <x:c r="A1247" s="142"/>
    </x:row>
    <x:row r="1248">
      <x:c r="A1248" s="142"/>
    </x:row>
    <x:row r="1249">
      <x:c r="A1249" s="142"/>
    </x:row>
    <x:row r="1250">
      <x:c r="A1250" s="142"/>
    </x:row>
    <x:row r="1251">
      <x:c r="A1251" s="142"/>
    </x:row>
    <x:row r="1252">
      <x:c r="A1252" s="142"/>
    </x:row>
    <x:row r="1253">
      <x:c r="A1253" s="142"/>
    </x:row>
    <x:row r="1254">
      <x:c r="A1254" s="142"/>
    </x:row>
    <x:row r="1255">
      <x:c r="A1255" s="142"/>
    </x:row>
    <x:row r="1256">
      <x:c r="A1256" s="142"/>
    </x:row>
    <x:row r="1257">
      <x:c r="A1257" s="142"/>
    </x:row>
    <x:row r="1258">
      <x:c r="A1258" s="142"/>
    </x:row>
    <x:row r="1259">
      <x:c r="A1259" s="142"/>
    </x:row>
    <x:row r="1260">
      <x:c r="A1260" s="142"/>
    </x:row>
    <x:row r="1261">
      <x:c r="A1261" s="142"/>
    </x:row>
    <x:row r="1262">
      <x:c r="A1262" s="142"/>
    </x:row>
    <x:row r="1263">
      <x:c r="A1263" s="142"/>
    </x:row>
    <x:row r="1264">
      <x:c r="A1264" s="142"/>
    </x:row>
    <x:row r="1265">
      <x:c r="A1265" s="142"/>
    </x:row>
    <x:row r="1266">
      <x:c r="A1266" s="142"/>
    </x:row>
    <x:row r="1267">
      <x:c r="A1267" s="142"/>
    </x:row>
    <x:row r="1268">
      <x:c r="A1268" s="142"/>
    </x:row>
    <x:row r="1269">
      <x:c r="A1269" s="142"/>
    </x:row>
    <x:row r="1270">
      <x:c r="A1270" s="142"/>
    </x:row>
    <x:row r="1271">
      <x:c r="A1271" s="142"/>
    </x:row>
    <x:row r="1272">
      <x:c r="A1272" s="142"/>
    </x:row>
    <x:row r="1273">
      <x:c r="A1273" s="142"/>
    </x:row>
    <x:row r="1274">
      <x:c r="A1274" s="142"/>
    </x:row>
    <x:row r="1275">
      <x:c r="A1275" s="142"/>
    </x:row>
    <x:row r="1276">
      <x:c r="A1276" s="142"/>
    </x:row>
    <x:row r="1277">
      <x:c r="A1277" s="142"/>
    </x:row>
    <x:row r="1278">
      <x:c r="A1278" s="142"/>
    </x:row>
    <x:row r="1279">
      <x:c r="A1279" s="142"/>
    </x:row>
    <x:row r="1280">
      <x:c r="A1280" s="142"/>
    </x:row>
    <x:row r="1281">
      <x:c r="A1281" s="142"/>
    </x:row>
    <x:row r="1282">
      <x:c r="A1282" s="142"/>
    </x:row>
    <x:row r="1283">
      <x:c r="A1283" s="142"/>
    </x:row>
    <x:row r="1284">
      <x:c r="A1284" s="142"/>
    </x:row>
    <x:row r="1285">
      <x:c r="A1285" s="142"/>
    </x:row>
    <x:row r="1286">
      <x:c r="A1286" s="142"/>
    </x:row>
    <x:row r="1287">
      <x:c r="A1287" s="142"/>
    </x:row>
    <x:row r="1288">
      <x:c r="A1288" s="142"/>
    </x:row>
    <x:row r="1289">
      <x:c r="A1289" s="142"/>
    </x:row>
    <x:row r="1290">
      <x:c r="A1290" s="142"/>
    </x:row>
    <x:row r="1291">
      <x:c r="A1291" s="142"/>
    </x:row>
    <x:row r="1292">
      <x:c r="A1292" s="142"/>
    </x:row>
    <x:row r="1293">
      <x:c r="A1293" s="142"/>
    </x:row>
    <x:row r="1294">
      <x:c r="A1294" s="142"/>
    </x:row>
    <x:row r="1295">
      <x:c r="A1295" s="142"/>
    </x:row>
    <x:row r="1296">
      <x:c r="A1296" s="142"/>
    </x:row>
    <x:row r="1297">
      <x:c r="A1297" s="142"/>
    </x:row>
    <x:row r="1298">
      <x:c r="A1298" s="142"/>
    </x:row>
    <x:row r="1299">
      <x:c r="A1299" s="142"/>
    </x:row>
    <x:row r="1300">
      <x:c r="A1300" s="142"/>
    </x:row>
    <x:row r="1301">
      <x:c r="A1301" s="142"/>
    </x:row>
    <x:row r="1302">
      <x:c r="A1302" s="142"/>
    </x:row>
    <x:row r="1303">
      <x:c r="A1303" s="142"/>
    </x:row>
    <x:row r="1304">
      <x:c r="A1304" s="142"/>
    </x:row>
    <x:row r="1305">
      <x:c r="A1305" s="142"/>
    </x:row>
    <x:row r="1306">
      <x:c r="A1306" s="142"/>
    </x:row>
    <x:row r="1307">
      <x:c r="A1307" s="142"/>
    </x:row>
    <x:row r="1308">
      <x:c r="A1308" s="142"/>
    </x:row>
    <x:row r="1309">
      <x:c r="A1309" s="142"/>
    </x:row>
    <x:row r="1310">
      <x:c r="A1310" s="142"/>
    </x:row>
    <x:row r="1311">
      <x:c r="A1311" s="142"/>
    </x:row>
    <x:row r="1312">
      <x:c r="A1312" s="142"/>
    </x:row>
    <x:row r="1313">
      <x:c r="A1313" s="142"/>
    </x:row>
    <x:row r="1314">
      <x:c r="A1314" s="142"/>
    </x:row>
    <x:row r="1315">
      <x:c r="A1315" s="142"/>
    </x:row>
    <x:row r="1316">
      <x:c r="A1316" s="142"/>
    </x:row>
    <x:row r="1317">
      <x:c r="A1317" s="142"/>
    </x:row>
    <x:row r="1318">
      <x:c r="A1318" s="142"/>
    </x:row>
    <x:row r="1319">
      <x:c r="A1319" s="142"/>
    </x:row>
    <x:row r="1320">
      <x:c r="A1320" s="142"/>
    </x:row>
    <x:row r="1321">
      <x:c r="A1321" s="142"/>
    </x:row>
    <x:row r="1322">
      <x:c r="A1322" s="142"/>
    </x:row>
    <x:row r="1323">
      <x:c r="A1323" s="142"/>
    </x:row>
    <x:row r="1324">
      <x:c r="A1324" s="142"/>
    </x:row>
    <x:row r="1325">
      <x:c r="A1325" s="142"/>
    </x:row>
    <x:row r="1326">
      <x:c r="A1326" s="142"/>
    </x:row>
    <x:row r="1327">
      <x:c r="A1327" s="142"/>
    </x:row>
    <x:row r="1328">
      <x:c r="A1328" s="142"/>
    </x:row>
    <x:row r="1329">
      <x:c r="A1329" s="142"/>
    </x:row>
    <x:row r="1330">
      <x:c r="A1330" s="142"/>
    </x:row>
    <x:row r="1331">
      <x:c r="A1331" s="142"/>
    </x:row>
    <x:row r="1332">
      <x:c r="A1332" s="142"/>
    </x:row>
    <x:row r="1333">
      <x:c r="A1333" s="142"/>
    </x:row>
    <x:row r="1334">
      <x:c r="A1334" s="142"/>
    </x:row>
    <x:row r="1335">
      <x:c r="A1335" s="142"/>
    </x:row>
    <x:row r="1336">
      <x:c r="A1336" s="142"/>
    </x:row>
    <x:row r="1337">
      <x:c r="A1337" s="142"/>
    </x:row>
    <x:row r="1338">
      <x:c r="A1338" s="142"/>
    </x:row>
    <x:row r="1339">
      <x:c r="A1339" s="142"/>
    </x:row>
    <x:row r="1340">
      <x:c r="A1340" s="142"/>
    </x:row>
    <x:row r="1341">
      <x:c r="A1341" s="142"/>
    </x:row>
    <x:row r="1342">
      <x:c r="A1342" s="142"/>
    </x:row>
    <x:row r="1343">
      <x:c r="A1343" s="142"/>
    </x:row>
    <x:row r="1344">
      <x:c r="A1344" s="142"/>
    </x:row>
    <x:row r="1345">
      <x:c r="A1345" s="142"/>
    </x:row>
    <x:row r="1346">
      <x:c r="A1346" s="142"/>
    </x:row>
    <x:row r="1347">
      <x:c r="A1347" s="142"/>
    </x:row>
    <x:row r="1348">
      <x:c r="A1348" s="142"/>
    </x:row>
    <x:row r="1349">
      <x:c r="A1349" s="142"/>
    </x:row>
    <x:row r="1350">
      <x:c r="A1350" s="142"/>
    </x:row>
    <x:row r="1351">
      <x:c r="A1351" s="142"/>
    </x:row>
    <x:row r="1352">
      <x:c r="A1352" s="142"/>
    </x:row>
    <x:row r="1353">
      <x:c r="A1353" s="142"/>
    </x:row>
    <x:row r="1354">
      <x:c r="A1354" s="142"/>
    </x:row>
    <x:row r="1355">
      <x:c r="A1355" s="142"/>
    </x:row>
    <x:row r="1356">
      <x:c r="A1356" s="142"/>
    </x:row>
    <x:row r="1357">
      <x:c r="A1357" s="142"/>
    </x:row>
    <x:row r="1358">
      <x:c r="A1358" s="142"/>
    </x:row>
    <x:row r="1359">
      <x:c r="A1359" s="142"/>
    </x:row>
    <x:row r="1360">
      <x:c r="A1360" s="142"/>
    </x:row>
    <x:row r="1361">
      <x:c r="A1361" s="142"/>
    </x:row>
    <x:row r="1362">
      <x:c r="A1362" s="142"/>
    </x:row>
    <x:row r="1363">
      <x:c r="A1363" s="142"/>
    </x:row>
    <x:row r="1364">
      <x:c r="A1364" s="142"/>
    </x:row>
    <x:row r="1365">
      <x:c r="A1365" s="142"/>
    </x:row>
    <x:row r="1366">
      <x:c r="A1366" s="142"/>
    </x:row>
    <x:row r="1367">
      <x:c r="A1367" s="142"/>
    </x:row>
    <x:row r="1368">
      <x:c r="A1368" s="142"/>
    </x:row>
    <x:row r="1369">
      <x:c r="A1369" s="142"/>
    </x:row>
    <x:row r="1370">
      <x:c r="A1370" s="142"/>
    </x:row>
    <x:row r="1371">
      <x:c r="A1371" s="142"/>
    </x:row>
    <x:row r="1372">
      <x:c r="A1372" s="142"/>
    </x:row>
    <x:row r="1373">
      <x:c r="A1373" s="142"/>
    </x:row>
    <x:row r="1374">
      <x:c r="A1374" s="142"/>
    </x:row>
    <x:row r="1375">
      <x:c r="A1375" s="142"/>
    </x:row>
    <x:row r="1376">
      <x:c r="A1376" s="142"/>
    </x:row>
    <x:row r="1377">
      <x:c r="A1377" s="142"/>
    </x:row>
    <x:row r="1378">
      <x:c r="A1378" s="142"/>
    </x:row>
    <x:row r="1379">
      <x:c r="A1379" s="142"/>
    </x:row>
    <x:row r="1380">
      <x:c r="A1380" s="142"/>
    </x:row>
    <x:row r="1381">
      <x:c r="A1381" s="142"/>
    </x:row>
    <x:row r="1382">
      <x:c r="A1382" s="142"/>
    </x:row>
    <x:row r="1383">
      <x:c r="A1383" s="142"/>
    </x:row>
    <x:row r="1384">
      <x:c r="A1384" s="142"/>
    </x:row>
    <x:row r="1385">
      <x:c r="A1385" s="142"/>
    </x:row>
    <x:row r="1386">
      <x:c r="A1386" s="142"/>
    </x:row>
    <x:row r="1387">
      <x:c r="A1387" s="142"/>
    </x:row>
    <x:row r="1388">
      <x:c r="A1388" s="142"/>
    </x:row>
    <x:row r="1389">
      <x:c r="A1389" s="142"/>
    </x:row>
    <x:row r="1390">
      <x:c r="A1390" s="142"/>
    </x:row>
    <x:row r="1391">
      <x:c r="A1391" s="142"/>
    </x:row>
    <x:row r="1392">
      <x:c r="A1392" s="142"/>
    </x:row>
    <x:row r="1393">
      <x:c r="A1393" s="142"/>
    </x:row>
    <x:row r="1394">
      <x:c r="A1394" s="142"/>
    </x:row>
    <x:row r="1395">
      <x:c r="A1395" s="142"/>
    </x:row>
    <x:row r="1396">
      <x:c r="A1396" s="142"/>
    </x:row>
    <x:row r="1397">
      <x:c r="A1397" s="142"/>
    </x:row>
    <x:row r="1398">
      <x:c r="A1398" s="142"/>
    </x:row>
    <x:row r="1399">
      <x:c r="A1399" s="142"/>
    </x:row>
    <x:row r="1400">
      <x:c r="A1400" s="142"/>
    </x:row>
    <x:row r="1401">
      <x:c r="A1401" s="142"/>
    </x:row>
    <x:row r="1402">
      <x:c r="A1402" s="142"/>
    </x:row>
    <x:row r="1403">
      <x:c r="A1403" s="142"/>
    </x:row>
    <x:row r="1404">
      <x:c r="A1404" s="142"/>
    </x:row>
    <x:row r="1405">
      <x:c r="A1405" s="142"/>
    </x:row>
    <x:row r="1406">
      <x:c r="A1406" s="142"/>
    </x:row>
    <x:row r="1407">
      <x:c r="A1407" s="142"/>
    </x:row>
    <x:row r="1408">
      <x:c r="A1408" s="142"/>
    </x:row>
    <x:row r="1409">
      <x:c r="A1409" s="142"/>
    </x:row>
    <x:row r="1410">
      <x:c r="A1410" s="142"/>
    </x:row>
    <x:row r="1411">
      <x:c r="A1411" s="142"/>
    </x:row>
    <x:row r="1412">
      <x:c r="A1412" s="142"/>
    </x:row>
    <x:row r="1413">
      <x:c r="A1413" s="142"/>
    </x:row>
    <x:row r="1414">
      <x:c r="A1414" s="142"/>
    </x:row>
    <x:row r="1415">
      <x:c r="A1415" s="142"/>
    </x:row>
    <x:row r="1416">
      <x:c r="A1416" s="142"/>
    </x:row>
    <x:row r="1417">
      <x:c r="A1417" s="142"/>
    </x:row>
    <x:row r="1418">
      <x:c r="A1418" s="142"/>
    </x:row>
    <x:row r="1419">
      <x:c r="A1419" s="142"/>
    </x:row>
    <x:row r="1420">
      <x:c r="A1420" s="142"/>
    </x:row>
    <x:row r="1421">
      <x:c r="A1421" s="142"/>
    </x:row>
    <x:row r="1422">
      <x:c r="A1422" s="142"/>
    </x:row>
    <x:row r="1423">
      <x:c r="A1423" s="142"/>
    </x:row>
    <x:row r="1424">
      <x:c r="A1424" s="142"/>
    </x:row>
    <x:row r="1425">
      <x:c r="A1425" s="142"/>
    </x:row>
    <x:row r="1426">
      <x:c r="A1426" s="142"/>
    </x:row>
    <x:row r="1427">
      <x:c r="A1427" s="142"/>
    </x:row>
    <x:row r="1428">
      <x:c r="A1428" s="142"/>
    </x:row>
    <x:row r="1429">
      <x:c r="A1429" s="142"/>
    </x:row>
    <x:row r="1430">
      <x:c r="A1430" s="142"/>
    </x:row>
    <x:row r="1431">
      <x:c r="A1431" s="142"/>
    </x:row>
    <x:row r="1432">
      <x:c r="A1432" s="142"/>
    </x:row>
    <x:row r="1433">
      <x:c r="A1433" s="142"/>
    </x:row>
    <x:row r="1434">
      <x:c r="A1434" s="142"/>
    </x:row>
    <x:row r="1435">
      <x:c r="A1435" s="142"/>
    </x:row>
    <x:row r="1436">
      <x:c r="A1436" s="142"/>
    </x:row>
    <x:row r="1437">
      <x:c r="A1437" s="142"/>
    </x:row>
    <x:row r="1438">
      <x:c r="A1438" s="142"/>
    </x:row>
    <x:row r="1439">
      <x:c r="A1439" s="142"/>
    </x:row>
    <x:row r="1440">
      <x:c r="A1440" s="142"/>
    </x:row>
    <x:row r="1441">
      <x:c r="A1441" s="142"/>
    </x:row>
    <x:row r="1442">
      <x:c r="A1442" s="142"/>
    </x:row>
    <x:row r="1443">
      <x:c r="A1443" s="142"/>
    </x:row>
    <x:row r="1444">
      <x:c r="A1444" s="142"/>
    </x:row>
    <x:row r="1445">
      <x:c r="A1445" s="142"/>
    </x:row>
    <x:row r="1446">
      <x:c r="A1446" s="142"/>
    </x:row>
    <x:row r="1447">
      <x:c r="A1447" s="142"/>
    </x:row>
    <x:row r="1448">
      <x:c r="A1448" s="142"/>
    </x:row>
    <x:row r="1449">
      <x:c r="A1449" s="142"/>
    </x:row>
    <x:row r="1450">
      <x:c r="A1450" s="142"/>
    </x:row>
    <x:row r="1451">
      <x:c r="A1451" s="142"/>
    </x:row>
    <x:row r="1452">
      <x:c r="A1452" s="142"/>
    </x:row>
    <x:row r="1453">
      <x:c r="A1453" s="142"/>
    </x:row>
    <x:row r="1454">
      <x:c r="A1454" s="142"/>
    </x:row>
    <x:row r="1455">
      <x:c r="A1455" s="142"/>
    </x:row>
    <x:row r="1456">
      <x:c r="A1456" s="142"/>
    </x:row>
    <x:row r="1457">
      <x:c r="A1457" s="142"/>
    </x:row>
    <x:row r="1458">
      <x:c r="A1458" s="142"/>
    </x:row>
    <x:row r="1459">
      <x:c r="A1459" s="142"/>
    </x:row>
    <x:row r="1460">
      <x:c r="A1460" s="142"/>
    </x:row>
    <x:row r="1461">
      <x:c r="A1461" s="142"/>
    </x:row>
    <x:row r="1462">
      <x:c r="A1462" s="142"/>
    </x:row>
    <x:row r="1463">
      <x:c r="A1463" s="142"/>
    </x:row>
    <x:row r="1464">
      <x:c r="A1464" s="142"/>
    </x:row>
    <x:row r="1465">
      <x:c r="A1465" s="142"/>
    </x:row>
    <x:row r="1466">
      <x:c r="A1466" s="142"/>
    </x:row>
    <x:row r="1467">
      <x:c r="A1467" s="142"/>
    </x:row>
    <x:row r="1468">
      <x:c r="A1468" s="142"/>
    </x:row>
    <x:row r="1469">
      <x:c r="A1469" s="142"/>
    </x:row>
    <x:row r="1470">
      <x:c r="A1470" s="142"/>
    </x:row>
    <x:row r="1471">
      <x:c r="A1471" s="142"/>
    </x:row>
    <x:row r="1472">
      <x:c r="A1472" s="142"/>
    </x:row>
    <x:row r="1473">
      <x:c r="A1473" s="142"/>
    </x:row>
    <x:row r="1474">
      <x:c r="A1474" s="142"/>
    </x:row>
    <x:row r="1475">
      <x:c r="A1475" s="142"/>
    </x:row>
    <x:row r="1476">
      <x:c r="A1476" s="142"/>
    </x:row>
    <x:row r="1477">
      <x:c r="A1477" s="142"/>
    </x:row>
    <x:row r="1478">
      <x:c r="A1478" s="142"/>
    </x:row>
    <x:row r="1479">
      <x:c r="A1479" s="142"/>
    </x:row>
    <x:row r="1480">
      <x:c r="A1480" s="142"/>
    </x:row>
    <x:row r="1481">
      <x:c r="A1481" s="142"/>
    </x:row>
    <x:row r="1482">
      <x:c r="A1482" s="142"/>
    </x:row>
    <x:row r="1483">
      <x:c r="A1483" s="142"/>
    </x:row>
    <x:row r="1484">
      <x:c r="A1484" s="142"/>
    </x:row>
    <x:row r="1485">
      <x:c r="A1485" s="142"/>
    </x:row>
    <x:row r="1486">
      <x:c r="A1486" s="142"/>
    </x:row>
    <x:row r="1487">
      <x:c r="A1487" s="142"/>
    </x:row>
    <x:row r="1488">
      <x:c r="A1488" s="142"/>
    </x:row>
    <x:row r="1489">
      <x:c r="A1489" s="142"/>
    </x:row>
    <x:row r="1490">
      <x:c r="A1490" s="142"/>
    </x:row>
    <x:row r="1491">
      <x:c r="A1491" s="142"/>
    </x:row>
    <x:row r="1492">
      <x:c r="A1492" s="142"/>
    </x:row>
    <x:row r="1493">
      <x:c r="A1493" s="142"/>
    </x:row>
    <x:row r="1494">
      <x:c r="A1494" s="142"/>
    </x:row>
    <x:row r="1495">
      <x:c r="A1495" s="142"/>
    </x:row>
    <x:row r="1496">
      <x:c r="A1496" s="142"/>
    </x:row>
    <x:row r="1497">
      <x:c r="A1497" s="142"/>
    </x:row>
    <x:row r="1498">
      <x:c r="A1498" s="142"/>
    </x:row>
    <x:row r="1499">
      <x:c r="A1499" s="142"/>
    </x:row>
    <x:row r="1500">
      <x:c r="A1500" s="142"/>
    </x:row>
    <x:row r="1501">
      <x:c r="A1501" s="142"/>
    </x:row>
    <x:row r="1502">
      <x:c r="A1502" s="142"/>
    </x:row>
    <x:row r="1503">
      <x:c r="A1503" s="142"/>
    </x:row>
    <x:row r="1504">
      <x:c r="A1504" s="142"/>
    </x:row>
    <x:row r="1505">
      <x:c r="A1505" s="142"/>
    </x:row>
    <x:row r="1506">
      <x:c r="A1506" s="142"/>
    </x:row>
    <x:row r="1507">
      <x:c r="A1507" s="142"/>
    </x:row>
    <x:row r="1508">
      <x:c r="A1508" s="142"/>
    </x:row>
    <x:row r="1509">
      <x:c r="A1509" s="142"/>
    </x:row>
    <x:row r="1510">
      <x:c r="A1510" s="142"/>
    </x:row>
    <x:row r="1511">
      <x:c r="A1511" s="142"/>
    </x:row>
    <x:row r="1512">
      <x:c r="A1512" s="142"/>
    </x:row>
    <x:row r="1513">
      <x:c r="A1513" s="142"/>
    </x:row>
    <x:row r="1514">
      <x:c r="A1514" s="142"/>
    </x:row>
    <x:row r="1515">
      <x:c r="A1515" s="142"/>
    </x:row>
    <x:row r="1516">
      <x:c r="A1516" s="142"/>
    </x:row>
    <x:row r="1517">
      <x:c r="A1517" s="142"/>
    </x:row>
    <x:row r="1518">
      <x:c r="A1518" s="142"/>
    </x:row>
    <x:row r="1519">
      <x:c r="A1519" s="142"/>
    </x:row>
    <x:row r="1520">
      <x:c r="A1520" s="142"/>
    </x:row>
    <x:row r="1521">
      <x:c r="A1521" s="142"/>
    </x:row>
    <x:row r="1522">
      <x:c r="A1522" s="142"/>
    </x:row>
    <x:row r="1523">
      <x:c r="A1523" s="142"/>
    </x:row>
    <x:row r="1524">
      <x:c r="A1524" s="142"/>
    </x:row>
    <x:row r="1525">
      <x:c r="A1525" s="142"/>
    </x:row>
    <x:row r="1526">
      <x:c r="A1526" s="142"/>
    </x:row>
    <x:row r="1527">
      <x:c r="A1527" s="142"/>
    </x:row>
    <x:row r="1528">
      <x:c r="A1528" s="142"/>
    </x:row>
    <x:row r="1529">
      <x:c r="A1529" s="142"/>
    </x:row>
    <x:row r="1530">
      <x:c r="A1530" s="142"/>
    </x:row>
    <x:row r="1531">
      <x:c r="A1531" s="142"/>
    </x:row>
    <x:row r="1532">
      <x:c r="A1532" s="142"/>
    </x:row>
    <x:row r="1533">
      <x:c r="A1533" s="142"/>
    </x:row>
    <x:row r="1534">
      <x:c r="A1534" s="142"/>
    </x:row>
    <x:row r="1535">
      <x:c r="A1535" s="142"/>
    </x:row>
    <x:row r="1536">
      <x:c r="A1536" s="142"/>
    </x:row>
    <x:row r="1537">
      <x:c r="A1537" s="142"/>
    </x:row>
    <x:row r="1538">
      <x:c r="A1538" s="142"/>
    </x:row>
    <x:row r="1539">
      <x:c r="A1539" s="142"/>
    </x:row>
    <x:row r="1540">
      <x:c r="A1540" s="142"/>
    </x:row>
    <x:row r="1541">
      <x:c r="A1541" s="142"/>
    </x:row>
    <x:row r="1542">
      <x:c r="A1542" s="142"/>
    </x:row>
    <x:row r="1543">
      <x:c r="A1543" s="142"/>
    </x:row>
    <x:row r="1544">
      <x:c r="A1544" s="142"/>
    </x:row>
    <x:row r="1545">
      <x:c r="A1545" s="142"/>
    </x:row>
    <x:row r="1546">
      <x:c r="A1546" s="142"/>
    </x:row>
    <x:row r="1547">
      <x:c r="A1547" s="142"/>
    </x:row>
    <x:row r="1548">
      <x:c r="A1548" s="142"/>
    </x:row>
    <x:row r="1549">
      <x:c r="A1549" s="142"/>
    </x:row>
    <x:row r="1550">
      <x:c r="A1550" s="142"/>
    </x:row>
    <x:row r="1551">
      <x:c r="A1551" s="142"/>
    </x:row>
    <x:row r="1552">
      <x:c r="A1552" s="142"/>
    </x:row>
    <x:row r="1553">
      <x:c r="A1553" s="142"/>
    </x:row>
    <x:row r="1554">
      <x:c r="A1554" s="142"/>
    </x:row>
    <x:row r="1555">
      <x:c r="A1555" s="142"/>
    </x:row>
    <x:row r="1556">
      <x:c r="A1556" s="142"/>
    </x:row>
    <x:row r="1557">
      <x:c r="A1557" s="142"/>
    </x:row>
    <x:row r="1558">
      <x:c r="A1558" s="142"/>
    </x:row>
    <x:row r="1559">
      <x:c r="A1559" s="142"/>
    </x:row>
    <x:row r="1560">
      <x:c r="A1560" s="142"/>
    </x:row>
    <x:row r="1561">
      <x:c r="A1561" s="142"/>
    </x:row>
    <x:row r="1562">
      <x:c r="A1562" s="142"/>
    </x:row>
    <x:row r="1563">
      <x:c r="A1563" s="142"/>
    </x:row>
    <x:row r="1564">
      <x:c r="A1564" s="142"/>
    </x:row>
    <x:row r="1565">
      <x:c r="A1565" s="142"/>
    </x:row>
    <x:row r="1566">
      <x:c r="A1566" s="142"/>
    </x:row>
    <x:row r="1567">
      <x:c r="A1567" s="142"/>
    </x:row>
    <x:row r="1568">
      <x:c r="A1568" s="142"/>
    </x:row>
    <x:row r="1569">
      <x:c r="A1569" s="142"/>
    </x:row>
    <x:row r="1570">
      <x:c r="A1570" s="142"/>
    </x:row>
    <x:row r="1571">
      <x:c r="A1571" s="142"/>
    </x:row>
    <x:row r="1572">
      <x:c r="A1572" s="142"/>
    </x:row>
    <x:row r="1573">
      <x:c r="A1573" s="142"/>
    </x:row>
    <x:row r="1574">
      <x:c r="A1574" s="142"/>
    </x:row>
    <x:row r="1575">
      <x:c r="A1575" s="142"/>
    </x:row>
    <x:row r="1576">
      <x:c r="A1576" s="142"/>
    </x:row>
    <x:row r="1577">
      <x:c r="A1577" s="142"/>
    </x:row>
    <x:row r="1578">
      <x:c r="A1578" s="142"/>
    </x:row>
    <x:row r="1579">
      <x:c r="A1579" s="142"/>
    </x:row>
    <x:row r="1580">
      <x:c r="A1580" s="142"/>
    </x:row>
    <x:row r="1581">
      <x:c r="A1581" s="142"/>
    </x:row>
    <x:row r="1582">
      <x:c r="A1582" s="142"/>
    </x:row>
    <x:row r="1583">
      <x:c r="A1583" s="142"/>
    </x:row>
    <x:row r="1584">
      <x:c r="A1584" s="142"/>
    </x:row>
    <x:row r="1585">
      <x:c r="A1585" s="142"/>
    </x:row>
    <x:row r="1586">
      <x:c r="A1586" s="142"/>
    </x:row>
    <x:row r="1587">
      <x:c r="A1587" s="142"/>
    </x:row>
    <x:row r="1588">
      <x:c r="A1588" s="142"/>
    </x:row>
    <x:row r="1589">
      <x:c r="A1589" s="142"/>
    </x:row>
    <x:row r="1590">
      <x:c r="A1590" s="142"/>
    </x:row>
    <x:row r="1591">
      <x:c r="A1591" s="142"/>
    </x:row>
    <x:row r="1592">
      <x:c r="A1592" s="142"/>
    </x:row>
    <x:row r="1593">
      <x:c r="A1593" s="142"/>
    </x:row>
    <x:row r="1594">
      <x:c r="A1594" s="142"/>
    </x:row>
    <x:row r="1595">
      <x:c r="A1595" s="142"/>
    </x:row>
    <x:row r="1596">
      <x:c r="A1596" s="142"/>
    </x:row>
    <x:row r="1597">
      <x:c r="A1597" s="142"/>
    </x:row>
    <x:row r="1598">
      <x:c r="A1598" s="142"/>
    </x:row>
    <x:row r="1599">
      <x:c r="A1599" s="142"/>
    </x:row>
    <x:row r="1600">
      <x:c r="A1600" s="142"/>
    </x:row>
    <x:row r="1601">
      <x:c r="A1601" s="142"/>
    </x:row>
    <x:row r="1602">
      <x:c r="A1602" s="142"/>
    </x:row>
    <x:row r="1603">
      <x:c r="A1603" s="142"/>
    </x:row>
    <x:row r="1604">
      <x:c r="A1604" s="142"/>
    </x:row>
    <x:row r="1605">
      <x:c r="A1605" s="142"/>
    </x:row>
    <x:row r="1606">
      <x:c r="A1606" s="142"/>
    </x:row>
    <x:row r="1607">
      <x:c r="A1607" s="142"/>
    </x:row>
    <x:row r="1608">
      <x:c r="A1608" s="142"/>
    </x:row>
    <x:row r="1609">
      <x:c r="A1609" s="142"/>
    </x:row>
    <x:row r="1610">
      <x:c r="A1610" s="142"/>
    </x:row>
    <x:row r="1611">
      <x:c r="A1611" s="142"/>
    </x:row>
    <x:row r="1612">
      <x:c r="A1612" s="142"/>
    </x:row>
    <x:row r="1613">
      <x:c r="A1613" s="142"/>
    </x:row>
    <x:row r="1614">
      <x:c r="A1614" s="142"/>
    </x:row>
    <x:row r="1615">
      <x:c r="A1615" s="142"/>
    </x:row>
    <x:row r="1616">
      <x:c r="A1616" s="142"/>
    </x:row>
    <x:row r="1617">
      <x:c r="A1617" s="142"/>
    </x:row>
    <x:row r="1618">
      <x:c r="A1618" s="142"/>
    </x:row>
    <x:row r="1619">
      <x:c r="A1619" s="142"/>
    </x:row>
    <x:row r="1620">
      <x:c r="A1620" s="142"/>
    </x:row>
    <x:row r="1621">
      <x:c r="A1621" s="142"/>
    </x:row>
    <x:row r="1622">
      <x:c r="A1622" s="142"/>
    </x:row>
    <x:row r="1623">
      <x:c r="A1623" s="142"/>
    </x:row>
    <x:row r="1624">
      <x:c r="A1624" s="142"/>
    </x:row>
    <x:row r="1625">
      <x:c r="A1625" s="142"/>
    </x:row>
    <x:row r="1626">
      <x:c r="A1626" s="142"/>
    </x:row>
    <x:row r="1627">
      <x:c r="A1627" s="142"/>
    </x:row>
    <x:row r="1628">
      <x:c r="A1628" s="142"/>
    </x:row>
    <x:row r="1629">
      <x:c r="A1629" s="142"/>
    </x:row>
    <x:row r="1630">
      <x:c r="A1630" s="142"/>
    </x:row>
    <x:row r="1631">
      <x:c r="A1631" s="142"/>
    </x:row>
    <x:row r="1632">
      <x:c r="A1632" s="142"/>
    </x:row>
    <x:row r="1633">
      <x:c r="A1633" s="142"/>
    </x:row>
    <x:row r="1634">
      <x:c r="A1634" s="142"/>
    </x:row>
    <x:row r="1635">
      <x:c r="A1635" s="142"/>
    </x:row>
    <x:row r="1636">
      <x:c r="A1636" s="142"/>
    </x:row>
    <x:row r="1637">
      <x:c r="A1637" s="142"/>
    </x:row>
    <x:row r="1638">
      <x:c r="A1638" s="142"/>
    </x:row>
    <x:row r="1639">
      <x:c r="A1639" s="142"/>
    </x:row>
    <x:row r="1640">
      <x:c r="A1640" s="142"/>
    </x:row>
    <x:row r="1641">
      <x:c r="A1641" s="142"/>
    </x:row>
    <x:row r="1642">
      <x:c r="A1642" s="142"/>
    </x:row>
    <x:row r="1643">
      <x:c r="A1643" s="142"/>
    </x:row>
    <x:row r="1644">
      <x:c r="A1644" s="142"/>
    </x:row>
    <x:row r="1645">
      <x:c r="A1645" s="142"/>
    </x:row>
    <x:row r="1646">
      <x:c r="A1646" s="142"/>
    </x:row>
    <x:row r="1647">
      <x:c r="A1647" s="142"/>
    </x:row>
    <x:row r="1648">
      <x:c r="A1648" s="142"/>
    </x:row>
    <x:row r="1649">
      <x:c r="A1649" s="142"/>
    </x:row>
    <x:row r="1650">
      <x:c r="A1650" s="142"/>
    </x:row>
    <x:row r="1651">
      <x:c r="A1651" s="142"/>
    </x:row>
    <x:row r="1652">
      <x:c r="A1652" s="142"/>
    </x:row>
    <x:row r="1653">
      <x:c r="A1653" s="142"/>
    </x:row>
    <x:row r="1654">
      <x:c r="A1654" s="142"/>
    </x:row>
    <x:row r="1655">
      <x:c r="A1655" s="142"/>
    </x:row>
    <x:row r="1656">
      <x:c r="A1656" s="142"/>
    </x:row>
    <x:row r="1657">
      <x:c r="A1657" s="142"/>
    </x:row>
    <x:row r="1658">
      <x:c r="A1658" s="142"/>
    </x:row>
    <x:row r="1659">
      <x:c r="A1659" s="142"/>
    </x:row>
    <x:row r="1660">
      <x:c r="A1660" s="142"/>
    </x:row>
    <x:row r="1661">
      <x:c r="A1661" s="142"/>
    </x:row>
    <x:row r="1662">
      <x:c r="A1662" s="142"/>
    </x:row>
    <x:row r="1663">
      <x:c r="A1663" s="142"/>
    </x:row>
    <x:row r="1664">
      <x:c r="A1664" s="142"/>
    </x:row>
    <x:row r="1665">
      <x:c r="A1665" s="142"/>
    </x:row>
    <x:row r="1666">
      <x:c r="A1666" s="142"/>
    </x:row>
    <x:row r="1667">
      <x:c r="A1667" s="142"/>
    </x:row>
    <x:row r="1668">
      <x:c r="A1668" s="142"/>
    </x:row>
    <x:row r="1669">
      <x:c r="A1669" s="142"/>
    </x:row>
    <x:row r="1670">
      <x:c r="A1670" s="142"/>
    </x:row>
    <x:row r="1671">
      <x:c r="A1671" s="142"/>
    </x:row>
    <x:row r="1672">
      <x:c r="A1672" s="142"/>
    </x:row>
    <x:row r="1673">
      <x:c r="A1673" s="142"/>
    </x:row>
    <x:row r="1674">
      <x:c r="A1674" s="142"/>
    </x:row>
    <x:row r="1675">
      <x:c r="A1675" s="142"/>
    </x:row>
    <x:row r="1676">
      <x:c r="A1676" s="142"/>
    </x:row>
    <x:row r="1677">
      <x:c r="A1677" s="142"/>
    </x:row>
    <x:row r="1678">
      <x:c r="A1678" s="142"/>
    </x:row>
    <x:row r="1679">
      <x:c r="A1679" s="142"/>
    </x:row>
    <x:row r="1680">
      <x:c r="A1680" s="142"/>
    </x:row>
    <x:row r="1681">
      <x:c r="A1681" s="142"/>
    </x:row>
    <x:row r="1682">
      <x:c r="A1682" s="142"/>
    </x:row>
    <x:row r="1683">
      <x:c r="A1683" s="142"/>
    </x:row>
    <x:row r="1684">
      <x:c r="A1684" s="142"/>
    </x:row>
    <x:row r="1685">
      <x:c r="A1685" s="142"/>
    </x:row>
    <x:row r="1686">
      <x:c r="A1686" s="142"/>
    </x:row>
    <x:row r="1687">
      <x:c r="A1687" s="142"/>
    </x:row>
    <x:row r="1688">
      <x:c r="A1688" s="142"/>
    </x:row>
    <x:row r="1689">
      <x:c r="A1689" s="142"/>
    </x:row>
    <x:row r="1690">
      <x:c r="A1690" s="142"/>
    </x:row>
    <x:row r="1691">
      <x:c r="A1691" s="142"/>
    </x:row>
    <x:row r="1692">
      <x:c r="A1692" s="142"/>
    </x:row>
    <x:row r="1693">
      <x:c r="A1693" s="142"/>
    </x:row>
    <x:row r="1694">
      <x:c r="A1694" s="142"/>
    </x:row>
    <x:row r="1695">
      <x:c r="A1695" s="142"/>
    </x:row>
    <x:row r="1696">
      <x:c r="A1696" s="142"/>
    </x:row>
    <x:row r="1697">
      <x:c r="A1697" s="142"/>
    </x:row>
    <x:row r="1698">
      <x:c r="A1698" s="142"/>
    </x:row>
    <x:row r="1699">
      <x:c r="A1699" s="142"/>
    </x:row>
    <x:row r="1700">
      <x:c r="A1700" s="142"/>
    </x:row>
    <x:row r="1701">
      <x:c r="A1701" s="142"/>
    </x:row>
    <x:row r="1702">
      <x:c r="A1702" s="142"/>
    </x:row>
    <x:row r="1703">
      <x:c r="A1703" s="142"/>
    </x:row>
    <x:row r="1704">
      <x:c r="A1704" s="142"/>
    </x:row>
    <x:row r="1705">
      <x:c r="A1705" s="142"/>
    </x:row>
    <x:row r="1706">
      <x:c r="A1706" s="142"/>
    </x:row>
    <x:row r="1707">
      <x:c r="A1707" s="142"/>
    </x:row>
    <x:row r="1708">
      <x:c r="A1708" s="142"/>
    </x:row>
    <x:row r="1709">
      <x:c r="A1709" s="142"/>
    </x:row>
    <x:row r="1710">
      <x:c r="A1710" s="142"/>
    </x:row>
    <x:row r="1711">
      <x:c r="A1711" s="142"/>
    </x:row>
    <x:row r="1712">
      <x:c r="A1712" s="142"/>
    </x:row>
    <x:row r="1713">
      <x:c r="A1713" s="142"/>
    </x:row>
    <x:row r="1714">
      <x:c r="A1714" s="142"/>
    </x:row>
    <x:row r="1715">
      <x:c r="A1715" s="142"/>
    </x:row>
    <x:row r="1716">
      <x:c r="A1716" s="142"/>
    </x:row>
    <x:row r="1717">
      <x:c r="A1717" s="142"/>
    </x:row>
    <x:row r="1718">
      <x:c r="A1718" s="142"/>
    </x:row>
    <x:row r="1719">
      <x:c r="A1719" s="142"/>
    </x:row>
    <x:row r="1720">
      <x:c r="A1720" s="142"/>
    </x:row>
    <x:row r="1721">
      <x:c r="A1721" s="142"/>
    </x:row>
    <x:row r="1722">
      <x:c r="A1722" s="142"/>
    </x:row>
    <x:row r="1723">
      <x:c r="A1723" s="142"/>
    </x:row>
    <x:row r="1724">
      <x:c r="A1724" s="142"/>
    </x:row>
    <x:row r="1725">
      <x:c r="A1725" s="142"/>
    </x:row>
    <x:row r="1726">
      <x:c r="A1726" s="142"/>
    </x:row>
    <x:row r="1727">
      <x:c r="A1727" s="142"/>
    </x:row>
    <x:row r="1728">
      <x:c r="A1728" s="142"/>
    </x:row>
    <x:row r="1729">
      <x:c r="A1729" s="142"/>
    </x:row>
    <x:row r="1730">
      <x:c r="A1730" s="142"/>
    </x:row>
    <x:row r="1731">
      <x:c r="A1731" s="142"/>
    </x:row>
    <x:row r="1732">
      <x:c r="A1732" s="142"/>
    </x:row>
    <x:row r="1733">
      <x:c r="A1733" s="142"/>
    </x:row>
    <x:row r="1734">
      <x:c r="A1734" s="142"/>
    </x:row>
    <x:row r="1735">
      <x:c r="A1735" s="142"/>
    </x:row>
    <x:row r="1736">
      <x:c r="A1736" s="142"/>
    </x:row>
    <x:row r="1737">
      <x:c r="A1737" s="142"/>
    </x:row>
    <x:row r="1738">
      <x:c r="A1738" s="142"/>
    </x:row>
    <x:row r="1739">
      <x:c r="A1739" s="142"/>
    </x:row>
    <x:row r="1740">
      <x:c r="A1740" s="142"/>
    </x:row>
    <x:row r="1741">
      <x:c r="A1741" s="142"/>
    </x:row>
    <x:row r="1742">
      <x:c r="A1742" s="142"/>
    </x:row>
    <x:row r="1743">
      <x:c r="A1743" s="142"/>
    </x:row>
    <x:row r="1744">
      <x:c r="A1744" s="142"/>
    </x:row>
    <x:row r="1745">
      <x:c r="A1745" s="142"/>
    </x:row>
    <x:row r="1746">
      <x:c r="A1746" s="142"/>
    </x:row>
    <x:row r="1747">
      <x:c r="A1747" s="142"/>
    </x:row>
    <x:row r="1748">
      <x:c r="A1748" s="142"/>
    </x:row>
    <x:row r="1749">
      <x:c r="A1749" s="142"/>
    </x:row>
    <x:row r="1750">
      <x:c r="A1750" s="142"/>
    </x:row>
    <x:row r="1751">
      <x:c r="A1751" s="142"/>
    </x:row>
    <x:row r="1752">
      <x:c r="A1752" s="142"/>
    </x:row>
    <x:row r="1753">
      <x:c r="A1753" s="142"/>
    </x:row>
    <x:row r="1754">
      <x:c r="A1754" s="142"/>
    </x:row>
    <x:row r="1755">
      <x:c r="A1755" s="142"/>
    </x:row>
    <x:row r="1756">
      <x:c r="A1756" s="142"/>
    </x:row>
    <x:row r="1757">
      <x:c r="A1757" s="142"/>
    </x:row>
    <x:row r="1758">
      <x:c r="A1758" s="142"/>
    </x:row>
    <x:row r="1759">
      <x:c r="A1759" s="142"/>
    </x:row>
    <x:row r="1760">
      <x:c r="A1760" s="142"/>
    </x:row>
    <x:row r="1761">
      <x:c r="A1761" s="142"/>
    </x:row>
    <x:row r="1762">
      <x:c r="A1762" s="142"/>
    </x:row>
    <x:row r="1763">
      <x:c r="A1763" s="142"/>
    </x:row>
    <x:row r="1764">
      <x:c r="A1764" s="142"/>
    </x:row>
    <x:row r="1765">
      <x:c r="A1765" s="142"/>
    </x:row>
    <x:row r="1766">
      <x:c r="A1766" s="142"/>
    </x:row>
    <x:row r="1767">
      <x:c r="A1767" s="142"/>
    </x:row>
    <x:row r="1768">
      <x:c r="A1768" s="142"/>
    </x:row>
    <x:row r="1769">
      <x:c r="A1769" s="142"/>
    </x:row>
    <x:row r="1770">
      <x:c r="A1770" s="142"/>
    </x:row>
    <x:row r="1771">
      <x:c r="A1771" s="142"/>
    </x:row>
    <x:row r="1772">
      <x:c r="A1772" s="142"/>
    </x:row>
    <x:row r="1773">
      <x:c r="A1773" s="142"/>
    </x:row>
    <x:row r="1774">
      <x:c r="A1774" s="142"/>
    </x:row>
    <x:row r="1775">
      <x:c r="A1775" s="142"/>
    </x:row>
    <x:row r="1776">
      <x:c r="A1776" s="142"/>
    </x:row>
    <x:row r="1777">
      <x:c r="A1777" s="142"/>
    </x:row>
    <x:row r="1778">
      <x:c r="A1778" s="142"/>
    </x:row>
    <x:row r="1779">
      <x:c r="A1779" s="142"/>
    </x:row>
    <x:row r="1780">
      <x:c r="A1780" s="142"/>
    </x:row>
    <x:row r="1781">
      <x:c r="A1781" s="142"/>
    </x:row>
    <x:row r="1782">
      <x:c r="A1782" s="142"/>
    </x:row>
    <x:row r="1783">
      <x:c r="A1783" s="142"/>
    </x:row>
    <x:row r="1784">
      <x:c r="A1784" s="142"/>
    </x:row>
    <x:row r="1785">
      <x:c r="A1785" s="142"/>
    </x:row>
    <x:row r="1786">
      <x:c r="A1786" s="142"/>
    </x:row>
    <x:row r="1787">
      <x:c r="A1787" s="142"/>
    </x:row>
    <x:row r="1788">
      <x:c r="A1788" s="142"/>
    </x:row>
    <x:row r="1789">
      <x:c r="A1789" s="142"/>
    </x:row>
    <x:row r="1790">
      <x:c r="A1790" s="142"/>
    </x:row>
    <x:row r="1791">
      <x:c r="A1791" s="142"/>
    </x:row>
    <x:row r="1792">
      <x:c r="A1792" s="142"/>
    </x:row>
    <x:row r="1793">
      <x:c r="A1793" s="142"/>
    </x:row>
    <x:row r="1794">
      <x:c r="A1794" s="142"/>
    </x:row>
    <x:row r="1795">
      <x:c r="A1795" s="142"/>
    </x:row>
    <x:row r="1796">
      <x:c r="A1796" s="142"/>
    </x:row>
    <x:row r="1797">
      <x:c r="A1797" s="142"/>
    </x:row>
    <x:row r="1798">
      <x:c r="A1798" s="142"/>
    </x:row>
    <x:row r="1799">
      <x:c r="A1799" s="142"/>
    </x:row>
    <x:row r="1800">
      <x:c r="A1800" s="142"/>
    </x:row>
    <x:row r="1801">
      <x:c r="A1801" s="142"/>
    </x:row>
    <x:row r="1802">
      <x:c r="A1802" s="142"/>
    </x:row>
    <x:row r="1803">
      <x:c r="A1803" s="142"/>
    </x:row>
    <x:row r="1804">
      <x:c r="A1804" s="142"/>
    </x:row>
    <x:row r="1805">
      <x:c r="A1805" s="142"/>
    </x:row>
    <x:row r="1806">
      <x:c r="A1806" s="142"/>
    </x:row>
    <x:row r="1807">
      <x:c r="A1807" s="142"/>
    </x:row>
    <x:row r="1808">
      <x:c r="A1808" s="142"/>
    </x:row>
    <x:row r="1809">
      <x:c r="A1809" s="142"/>
    </x:row>
    <x:row r="1810">
      <x:c r="A1810" s="142"/>
    </x:row>
    <x:row r="1811">
      <x:c r="A1811" s="142"/>
    </x:row>
    <x:row r="1812">
      <x:c r="A1812" s="142"/>
    </x:row>
    <x:row r="1813">
      <x:c r="A1813" s="142"/>
    </x:row>
    <x:row r="1814">
      <x:c r="A1814" s="142"/>
    </x:row>
    <x:row r="1815">
      <x:c r="A1815" s="142"/>
    </x:row>
    <x:row r="1816">
      <x:c r="A1816" s="142"/>
    </x:row>
    <x:row r="1817">
      <x:c r="A1817" s="142"/>
    </x:row>
    <x:row r="1818">
      <x:c r="A1818" s="142"/>
    </x:row>
    <x:row r="1819">
      <x:c r="A1819" s="142"/>
    </x:row>
    <x:row r="1820">
      <x:c r="A1820" s="142"/>
    </x:row>
    <x:row r="1821">
      <x:c r="A1821" s="142"/>
    </x:row>
    <x:row r="1822">
      <x:c r="A1822" s="142"/>
    </x:row>
    <x:row r="1823">
      <x:c r="A1823" s="142"/>
    </x:row>
    <x:row r="1824">
      <x:c r="A1824" s="142"/>
    </x:row>
    <x:row r="1825">
      <x:c r="A1825" s="142"/>
    </x:row>
    <x:row r="1826">
      <x:c r="A1826" s="142"/>
    </x:row>
    <x:row r="1827">
      <x:c r="A1827" s="142"/>
    </x:row>
    <x:row r="1828">
      <x:c r="A1828" s="142"/>
    </x:row>
    <x:row r="1829">
      <x:c r="A1829" s="142"/>
    </x:row>
    <x:row r="1830">
      <x:c r="A1830" s="142"/>
    </x:row>
    <x:row r="1831">
      <x:c r="A1831" s="142"/>
    </x:row>
    <x:row r="1832">
      <x:c r="A1832" s="142"/>
    </x:row>
    <x:row r="1833">
      <x:c r="A1833" s="142"/>
    </x:row>
    <x:row r="1834">
      <x:c r="A1834" s="142"/>
    </x:row>
    <x:row r="1835">
      <x:c r="A1835" s="142"/>
    </x:row>
    <x:row r="1836">
      <x:c r="A1836" s="142"/>
    </x:row>
    <x:row r="1837">
      <x:c r="A1837" s="142"/>
    </x:row>
    <x:row r="1838">
      <x:c r="A1838" s="142"/>
    </x:row>
    <x:row r="1839">
      <x:c r="A1839" s="142"/>
    </x:row>
    <x:row r="1840">
      <x:c r="A1840" s="142"/>
    </x:row>
    <x:row r="1841">
      <x:c r="A1841" s="142"/>
    </x:row>
    <x:row r="1842">
      <x:c r="A1842" s="142"/>
    </x:row>
    <x:row r="1843">
      <x:c r="A1843" s="142"/>
    </x:row>
    <x:row r="1844">
      <x:c r="A1844" s="142"/>
    </x:row>
    <x:row r="1845">
      <x:c r="A1845" s="142"/>
    </x:row>
    <x:row r="1846">
      <x:c r="A1846" s="142"/>
    </x:row>
    <x:row r="1847">
      <x:c r="A1847" s="142"/>
    </x:row>
    <x:row r="1848">
      <x:c r="A1848" s="142"/>
    </x:row>
    <x:row r="1849">
      <x:c r="A1849" s="142"/>
    </x:row>
    <x:row r="1850">
      <x:c r="A1850" s="142"/>
    </x:row>
    <x:row r="1851">
      <x:c r="A1851" s="142"/>
    </x:row>
    <x:row r="1852">
      <x:c r="A1852" s="142"/>
    </x:row>
    <x:row r="1853">
      <x:c r="A1853" s="142"/>
    </x:row>
    <x:row r="1854">
      <x:c r="A1854" s="142"/>
    </x:row>
    <x:row r="1855">
      <x:c r="A1855" s="142"/>
    </x:row>
    <x:row r="1856">
      <x:c r="A1856" s="142"/>
    </x:row>
    <x:row r="1857">
      <x:c r="A1857" s="142"/>
    </x:row>
    <x:row r="1858">
      <x:c r="A1858" s="142"/>
    </x:row>
    <x:row r="1859">
      <x:c r="A1859" s="142"/>
    </x:row>
    <x:row r="1860">
      <x:c r="A1860" s="142"/>
    </x:row>
    <x:row r="1861">
      <x:c r="A1861" s="142"/>
    </x:row>
    <x:row r="1862">
      <x:c r="A1862" s="142"/>
    </x:row>
    <x:row r="1863">
      <x:c r="A1863" s="142"/>
    </x:row>
    <x:row r="1864">
      <x:c r="A1864" s="142"/>
    </x:row>
    <x:row r="1865">
      <x:c r="A1865" s="142"/>
    </x:row>
    <x:row r="1866">
      <x:c r="A1866" s="142"/>
    </x:row>
    <x:row r="1867">
      <x:c r="A1867" s="142"/>
    </x:row>
    <x:row r="1868">
      <x:c r="A1868" s="142"/>
    </x:row>
    <x:row r="1869">
      <x:c r="A1869" s="142"/>
    </x:row>
    <x:row r="1870">
      <x:c r="A1870" s="142"/>
    </x:row>
    <x:row r="1871">
      <x:c r="A1871" s="142"/>
    </x:row>
    <x:row r="1872">
      <x:c r="A1872" s="142"/>
    </x:row>
    <x:row r="1873">
      <x:c r="A1873" s="142"/>
    </x:row>
    <x:row r="1874">
      <x:c r="A1874" s="142"/>
    </x:row>
    <x:row r="1875">
      <x:c r="A1875" s="142"/>
    </x:row>
    <x:row r="1876">
      <x:c r="A1876" s="142"/>
    </x:row>
    <x:row r="1877">
      <x:c r="A1877" s="142"/>
    </x:row>
    <x:row r="1878">
      <x:c r="A1878" s="142"/>
    </x:row>
    <x:row r="1879">
      <x:c r="A1879" s="142"/>
    </x:row>
    <x:row r="1880">
      <x:c r="A1880" s="142"/>
    </x:row>
    <x:row r="1881">
      <x:c r="A1881" s="142"/>
    </x:row>
    <x:row r="1882">
      <x:c r="A1882" s="142"/>
    </x:row>
    <x:row r="1883">
      <x:c r="A1883" s="142"/>
    </x:row>
    <x:row r="1884">
      <x:c r="A1884" s="142"/>
    </x:row>
    <x:row r="1885">
      <x:c r="A1885" s="142"/>
    </x:row>
    <x:row r="1886">
      <x:c r="A1886" s="142"/>
    </x:row>
    <x:row r="1887">
      <x:c r="A1887" s="142"/>
    </x:row>
    <x:row r="1888">
      <x:c r="A1888" s="142"/>
    </x:row>
    <x:row r="1889">
      <x:c r="A1889" s="142"/>
    </x:row>
    <x:row r="1890">
      <x:c r="A1890" s="142"/>
    </x:row>
    <x:row r="1891">
      <x:c r="A1891" s="142"/>
    </x:row>
    <x:row r="1892">
      <x:c r="A1892" s="142"/>
    </x:row>
    <x:row r="1893">
      <x:c r="A1893" s="142"/>
    </x:row>
    <x:row r="1894">
      <x:c r="A1894" s="142"/>
    </x:row>
    <x:row r="1895">
      <x:c r="A1895" s="142"/>
    </x:row>
    <x:row r="1896">
      <x:c r="A1896" s="142"/>
    </x:row>
    <x:row r="1897">
      <x:c r="A1897" s="142"/>
    </x:row>
    <x:row r="1898">
      <x:c r="A1898" s="142"/>
    </x:row>
    <x:row r="1899">
      <x:c r="A1899" s="142"/>
    </x:row>
    <x:row r="1900">
      <x:c r="A1900" s="142"/>
    </x:row>
    <x:row r="1901">
      <x:c r="A1901" s="142"/>
    </x:row>
    <x:row r="1902">
      <x:c r="A1902" s="142"/>
    </x:row>
    <x:row r="1903">
      <x:c r="A1903" s="142"/>
    </x:row>
    <x:row r="1904">
      <x:c r="A1904" s="142"/>
    </x:row>
    <x:row r="1905">
      <x:c r="A1905" s="142"/>
    </x:row>
    <x:row r="1906">
      <x:c r="A1906" s="142"/>
    </x:row>
    <x:row r="1907">
      <x:c r="A1907" s="142"/>
    </x:row>
    <x:row r="1908">
      <x:c r="A1908" s="142"/>
    </x:row>
    <x:row r="1909">
      <x:c r="A1909" s="142"/>
    </x:row>
    <x:row r="1910">
      <x:c r="A1910" s="142"/>
    </x:row>
    <x:row r="1911">
      <x:c r="A1911" s="142"/>
    </x:row>
    <x:row r="1912">
      <x:c r="A1912" s="142"/>
    </x:row>
    <x:row r="1913">
      <x:c r="A1913" s="142"/>
    </x:row>
    <x:row r="1914">
      <x:c r="A1914" s="142"/>
    </x:row>
    <x:row r="1915">
      <x:c r="A1915" s="142"/>
    </x:row>
    <x:row r="1916">
      <x:c r="A1916" s="142"/>
    </x:row>
    <x:row r="1917">
      <x:c r="A1917" s="142"/>
    </x:row>
    <x:row r="1918">
      <x:c r="A1918" s="142"/>
    </x:row>
    <x:row r="1919">
      <x:c r="A1919" s="142"/>
    </x:row>
    <x:row r="1920">
      <x:c r="A1920" s="142"/>
    </x:row>
    <x:row r="1921">
      <x:c r="A1921" s="142"/>
    </x:row>
    <x:row r="1922">
      <x:c r="A1922" s="142"/>
    </x:row>
    <x:row r="1923">
      <x:c r="A1923" s="142"/>
    </x:row>
    <x:row r="1924">
      <x:c r="A1924" s="142"/>
    </x:row>
    <x:row r="1925">
      <x:c r="A1925" s="142"/>
    </x:row>
    <x:row r="1926">
      <x:c r="A1926" s="142"/>
    </x:row>
    <x:row r="1927">
      <x:c r="A1927" s="142"/>
    </x:row>
    <x:row r="1928">
      <x:c r="A1928" s="142"/>
    </x:row>
    <x:row r="1929">
      <x:c r="A1929" s="142"/>
    </x:row>
    <x:row r="1930">
      <x:c r="A1930" s="142"/>
    </x:row>
    <x:row r="1931">
      <x:c r="A1931" s="142"/>
    </x:row>
    <x:row r="1932">
      <x:c r="A1932" s="142"/>
    </x:row>
    <x:row r="1933">
      <x:c r="A1933" s="142"/>
    </x:row>
    <x:row r="1934">
      <x:c r="A1934" s="142"/>
    </x:row>
    <x:row r="1935">
      <x:c r="A1935" s="142"/>
    </x:row>
    <x:row r="1936">
      <x:c r="A1936" s="142"/>
    </x:row>
    <x:row r="1937">
      <x:c r="A1937" s="142"/>
    </x:row>
    <x:row r="1938">
      <x:c r="A1938" s="142"/>
    </x:row>
    <x:row r="1939">
      <x:c r="A1939" s="142"/>
    </x:row>
    <x:row r="1940">
      <x:c r="A1940" s="142"/>
    </x:row>
    <x:row r="1941">
      <x:c r="A1941" s="142"/>
    </x:row>
    <x:row r="1942">
      <x:c r="A1942" s="142"/>
    </x:row>
    <x:row r="1943">
      <x:c r="A1943" s="142"/>
    </x:row>
    <x:row r="1944">
      <x:c r="A1944" s="142"/>
    </x:row>
    <x:row r="1945">
      <x:c r="A1945" s="142"/>
    </x:row>
    <x:row r="1946">
      <x:c r="A1946" s="142"/>
    </x:row>
    <x:row r="1947">
      <x:c r="A1947" s="142"/>
    </x:row>
    <x:row r="1948">
      <x:c r="A1948" s="142"/>
    </x:row>
    <x:row r="1949">
      <x:c r="A1949" s="142"/>
    </x:row>
    <x:row r="1950">
      <x:c r="A1950" s="142"/>
    </x:row>
    <x:row r="1951">
      <x:c r="A1951" s="142"/>
    </x:row>
    <x:row r="1952">
      <x:c r="A1952" s="142"/>
    </x:row>
    <x:row r="1953">
      <x:c r="A1953" s="142"/>
    </x:row>
    <x:row r="1954">
      <x:c r="A1954" s="142"/>
    </x:row>
    <x:row r="1955">
      <x:c r="A1955" s="142"/>
    </x:row>
    <x:row r="1956">
      <x:c r="A1956" s="142"/>
    </x:row>
    <x:row r="1957">
      <x:c r="A1957" s="142"/>
    </x:row>
    <x:row r="1958">
      <x:c r="A1958" s="142"/>
    </x:row>
    <x:row r="1959">
      <x:c r="A1959" s="142"/>
    </x:row>
    <x:row r="1960">
      <x:c r="A1960" s="142"/>
    </x:row>
    <x:row r="1961">
      <x:c r="A1961" s="142"/>
    </x:row>
    <x:row r="1962">
      <x:c r="A1962" s="142"/>
    </x:row>
    <x:row r="1963">
      <x:c r="A1963" s="142"/>
    </x:row>
    <x:row r="1964">
      <x:c r="A1964" s="142"/>
    </x:row>
    <x:row r="1965">
      <x:c r="A1965" s="142"/>
    </x:row>
    <x:row r="1966">
      <x:c r="A1966" s="142"/>
    </x:row>
    <x:row r="1967">
      <x:c r="A1967" s="142"/>
    </x:row>
    <x:row r="1968">
      <x:c r="A1968" s="142"/>
    </x:row>
    <x:row r="1969">
      <x:c r="A1969" s="142"/>
    </x:row>
    <x:row r="1970">
      <x:c r="A1970" s="142"/>
    </x:row>
    <x:row r="1971">
      <x:c r="A1971" s="142"/>
    </x:row>
    <x:row r="1972">
      <x:c r="A1972" s="142"/>
    </x:row>
    <x:row r="1973">
      <x:c r="A1973" s="142"/>
    </x:row>
    <x:row r="1974">
      <x:c r="A1974" s="142"/>
    </x:row>
    <x:row r="1975">
      <x:c r="A1975" s="142"/>
    </x:row>
    <x:row r="1976">
      <x:c r="A1976" s="142"/>
    </x:row>
    <x:row r="1977">
      <x:c r="A1977" s="142"/>
    </x:row>
    <x:row r="1978">
      <x:c r="A1978" s="142"/>
    </x:row>
    <x:row r="1979">
      <x:c r="A1979" s="142"/>
    </x:row>
    <x:row r="1980">
      <x:c r="A1980" s="142"/>
    </x:row>
    <x:row r="1981">
      <x:c r="A1981" s="142"/>
    </x:row>
    <x:row r="1982">
      <x:c r="A1982" s="142"/>
    </x:row>
    <x:row r="1983">
      <x:c r="A1983" s="142"/>
    </x:row>
    <x:row r="1984">
      <x:c r="A1984" s="142"/>
    </x:row>
    <x:row r="1985">
      <x:c r="A1985" s="142"/>
    </x:row>
    <x:row r="1986">
      <x:c r="A1986" s="142"/>
    </x:row>
    <x:row r="1987">
      <x:c r="A1987" s="142"/>
    </x:row>
    <x:row r="1988">
      <x:c r="A1988" s="142"/>
    </x:row>
    <x:row r="1989">
      <x:c r="A1989" s="142"/>
    </x:row>
    <x:row r="1990">
      <x:c r="A1990" s="142"/>
    </x:row>
    <x:row r="1991">
      <x:c r="A1991" s="142"/>
    </x:row>
    <x:row r="1992">
      <x:c r="A1992" s="142"/>
    </x:row>
    <x:row r="1993">
      <x:c r="A1993" s="142"/>
    </x:row>
    <x:row r="1994">
      <x:c r="A1994" s="142"/>
    </x:row>
    <x:row r="1995">
      <x:c r="A1995" s="142"/>
    </x:row>
    <x:row r="1996">
      <x:c r="A1996" s="142"/>
    </x:row>
    <x:row r="1997">
      <x:c r="A1997" s="142"/>
    </x:row>
    <x:row r="1998">
      <x:c r="A1998" s="142"/>
    </x:row>
    <x:row r="1999">
      <x:c r="A1999" s="142"/>
    </x:row>
    <x:row r="2000">
      <x:c r="A2000" s="142"/>
    </x:row>
    <x:row r="2001">
      <x:c r="A2001" s="142"/>
    </x:row>
    <x:row r="2002">
      <x:c r="A2002" s="142"/>
    </x:row>
    <x:row r="2003">
      <x:c r="A2003" s="142"/>
    </x:row>
    <x:row r="2004">
      <x:c r="A2004" s="142"/>
    </x:row>
    <x:row r="2005">
      <x:c r="A2005" s="142"/>
    </x:row>
    <x:row r="2006">
      <x:c r="A2006" s="142"/>
    </x:row>
    <x:row r="2007">
      <x:c r="A2007" s="142"/>
    </x:row>
    <x:row r="2008">
      <x:c r="A2008" s="142"/>
    </x:row>
    <x:row r="2009">
      <x:c r="A2009" s="142"/>
    </x:row>
    <x:row r="2010">
      <x:c r="A2010" s="142"/>
    </x:row>
    <x:row r="2011">
      <x:c r="A2011" s="142"/>
    </x:row>
    <x:row r="2012">
      <x:c r="A2012" s="142"/>
    </x:row>
    <x:row r="2013">
      <x:c r="A2013" s="142"/>
    </x:row>
    <x:row r="2014">
      <x:c r="A2014" s="142"/>
    </x:row>
    <x:row r="2015">
      <x:c r="A2015" s="142"/>
    </x:row>
    <x:row r="2016">
      <x:c r="A2016" s="142"/>
    </x:row>
    <x:row r="2017">
      <x:c r="A2017" s="142"/>
    </x:row>
    <x:row r="2018">
      <x:c r="A2018" s="142"/>
    </x:row>
    <x:row r="2019">
      <x:c r="A2019" s="142"/>
    </x:row>
    <x:row r="2020">
      <x:c r="A2020" s="142"/>
    </x:row>
    <x:row r="2021">
      <x:c r="A2021" s="142"/>
    </x:row>
    <x:row r="2022">
      <x:c r="A2022" s="142"/>
    </x:row>
    <x:row r="2023">
      <x:c r="A2023" s="142"/>
    </x:row>
    <x:row r="2024">
      <x:c r="A2024" s="142"/>
    </x:row>
    <x:row r="2025">
      <x:c r="A2025" s="142"/>
    </x:row>
    <x:row r="2026">
      <x:c r="A2026" s="142"/>
    </x:row>
    <x:row r="2027">
      <x:c r="A2027" s="142"/>
    </x:row>
    <x:row r="2028">
      <x:c r="A2028" s="142"/>
    </x:row>
    <x:row r="2029">
      <x:c r="A2029" s="142"/>
    </x:row>
    <x:row r="2030">
      <x:c r="A2030" s="142"/>
    </x:row>
    <x:row r="2031">
      <x:c r="A2031" s="142"/>
    </x:row>
    <x:row r="2032">
      <x:c r="A2032" s="142"/>
    </x:row>
    <x:row r="2033">
      <x:c r="A2033" s="142"/>
    </x:row>
    <x:row r="2034">
      <x:c r="A2034" s="142"/>
    </x:row>
    <x:row r="2035">
      <x:c r="A2035" s="142"/>
    </x:row>
    <x:row r="2036">
      <x:c r="A2036" s="142"/>
    </x:row>
    <x:row r="2037">
      <x:c r="A2037" s="142"/>
    </x:row>
    <x:row r="2038">
      <x:c r="A2038" s="142"/>
    </x:row>
    <x:row r="2039">
      <x:c r="A2039" s="142"/>
    </x:row>
    <x:row r="2040">
      <x:c r="A2040" s="142"/>
    </x:row>
    <x:row r="2041">
      <x:c r="A2041" s="142"/>
    </x:row>
    <x:row r="2042">
      <x:c r="A2042" s="142"/>
    </x:row>
    <x:row r="2043">
      <x:c r="A2043" s="142"/>
    </x:row>
    <x:row r="2044">
      <x:c r="A2044" s="142"/>
    </x:row>
    <x:row r="2045">
      <x:c r="A2045" s="142"/>
    </x:row>
    <x:row r="2046">
      <x:c r="A2046" s="142"/>
    </x:row>
    <x:row r="2047">
      <x:c r="A2047" s="142"/>
    </x:row>
    <x:row r="2048">
      <x:c r="A2048" s="142"/>
    </x:row>
    <x:row r="2049">
      <x:c r="A2049" s="142"/>
    </x:row>
    <x:row r="2050">
      <x:c r="A2050" s="142"/>
    </x:row>
    <x:row r="2051">
      <x:c r="A2051" s="142"/>
    </x:row>
    <x:row r="2052">
      <x:c r="A2052" s="142"/>
    </x:row>
    <x:row r="2053">
      <x:c r="A2053" s="142"/>
    </x:row>
    <x:row r="2054">
      <x:c r="A2054" s="142"/>
    </x:row>
    <x:row r="2055">
      <x:c r="A2055" s="142"/>
    </x:row>
    <x:row r="2056">
      <x:c r="A2056" s="142"/>
    </x:row>
    <x:row r="2057">
      <x:c r="A2057" s="142"/>
    </x:row>
    <x:row r="2058">
      <x:c r="A2058" s="142"/>
    </x:row>
    <x:row r="2059">
      <x:c r="A2059" s="142"/>
    </x:row>
    <x:row r="2060">
      <x:c r="A2060" s="142"/>
    </x:row>
    <x:row r="2061">
      <x:c r="A2061" s="142"/>
    </x:row>
    <x:row r="2062">
      <x:c r="A2062" s="142"/>
    </x:row>
    <x:row r="2063">
      <x:c r="A2063" s="142"/>
    </x:row>
    <x:row r="2064">
      <x:c r="A2064" s="142"/>
    </x:row>
    <x:row r="2065">
      <x:c r="A2065" s="142"/>
    </x:row>
    <x:row r="2066">
      <x:c r="A2066" s="142"/>
    </x:row>
    <x:row r="2067">
      <x:c r="A2067" s="142"/>
    </x:row>
    <x:row r="2068">
      <x:c r="A2068" s="142"/>
    </x:row>
    <x:row r="2069">
      <x:c r="A2069" s="142"/>
    </x:row>
    <x:row r="2070">
      <x:c r="A2070" s="142"/>
    </x:row>
    <x:row r="2071">
      <x:c r="A2071" s="142"/>
    </x:row>
    <x:row r="2072">
      <x:c r="A2072" s="142"/>
    </x:row>
    <x:row r="2073">
      <x:c r="A2073" s="142"/>
    </x:row>
    <x:row r="2074">
      <x:c r="A2074" s="142"/>
    </x:row>
    <x:row r="2075">
      <x:c r="A2075" s="142"/>
    </x:row>
    <x:row r="2076">
      <x:c r="A2076" s="142"/>
    </x:row>
    <x:row r="2077">
      <x:c r="A2077" s="142"/>
    </x:row>
    <x:row r="2078">
      <x:c r="A2078" s="142"/>
    </x:row>
    <x:row r="2079">
      <x:c r="A2079" s="142"/>
    </x:row>
    <x:row r="2080">
      <x:c r="A2080" s="142"/>
    </x:row>
    <x:row r="2081">
      <x:c r="A2081" s="142"/>
    </x:row>
    <x:row r="2082">
      <x:c r="A2082" s="142"/>
    </x:row>
    <x:row r="2083">
      <x:c r="A2083" s="142"/>
    </x:row>
    <x:row r="2084">
      <x:c r="A2084" s="142"/>
    </x:row>
    <x:row r="2085">
      <x:c r="A2085" s="142"/>
    </x:row>
    <x:row r="2086">
      <x:c r="A2086" s="142"/>
    </x:row>
    <x:row r="2087">
      <x:c r="A2087" s="142"/>
    </x:row>
    <x:row r="2088">
      <x:c r="A2088" s="142"/>
    </x:row>
    <x:row r="2089">
      <x:c r="A2089" s="142"/>
    </x:row>
    <x:row r="2090">
      <x:c r="A2090" s="142"/>
    </x:row>
    <x:row r="2091">
      <x:c r="A2091" s="142"/>
    </x:row>
    <x:row r="2092">
      <x:c r="A2092" s="142"/>
    </x:row>
    <x:row r="2093">
      <x:c r="A2093" s="142"/>
    </x:row>
    <x:row r="2094">
      <x:c r="A2094" s="142"/>
    </x:row>
    <x:row r="2095">
      <x:c r="A2095" s="142"/>
    </x:row>
    <x:row r="2096">
      <x:c r="A2096" s="142"/>
    </x:row>
    <x:row r="2097">
      <x:c r="A2097" s="142"/>
    </x:row>
    <x:row r="2098">
      <x:c r="A2098" s="142"/>
    </x:row>
    <x:row r="2099">
      <x:c r="A2099" s="142"/>
    </x:row>
    <x:row r="2100">
      <x:c r="A2100" s="142"/>
    </x:row>
    <x:row r="2101">
      <x:c r="A2101" s="142"/>
    </x:row>
    <x:row r="2102">
      <x:c r="A2102" s="142"/>
    </x:row>
    <x:row r="2103">
      <x:c r="A2103" s="142"/>
    </x:row>
    <x:row r="2104">
      <x:c r="A2104" s="142"/>
    </x:row>
    <x:row r="2105">
      <x:c r="A2105" s="142"/>
    </x:row>
    <x:row r="2106">
      <x:c r="A2106" s="142"/>
    </x:row>
    <x:row r="2107">
      <x:c r="A2107" s="142"/>
    </x:row>
    <x:row r="2108">
      <x:c r="A2108" s="142"/>
    </x:row>
    <x:row r="2109">
      <x:c r="A2109" s="142"/>
    </x:row>
    <x:row r="2110">
      <x:c r="A2110" s="142"/>
    </x:row>
    <x:row r="2111">
      <x:c r="A2111" s="142"/>
    </x:row>
    <x:row r="2112">
      <x:c r="A2112" s="142"/>
    </x:row>
    <x:row r="2113">
      <x:c r="A2113" s="142"/>
    </x:row>
    <x:row r="2114">
      <x:c r="A2114" s="142"/>
    </x:row>
    <x:row r="2115">
      <x:c r="A2115" s="142"/>
    </x:row>
    <x:row r="2116">
      <x:c r="A2116" s="142"/>
    </x:row>
    <x:row r="2117">
      <x:c r="A2117" s="142"/>
    </x:row>
    <x:row r="2118">
      <x:c r="A2118" s="142"/>
    </x:row>
    <x:row r="2119">
      <x:c r="A2119" s="142"/>
    </x:row>
    <x:row r="2120">
      <x:c r="A2120" s="142"/>
    </x:row>
    <x:row r="2121">
      <x:c r="A2121" s="142"/>
    </x:row>
    <x:row r="2122">
      <x:c r="A2122" s="142"/>
    </x:row>
    <x:row r="2123">
      <x:c r="A2123" s="142"/>
    </x:row>
    <x:row r="2124">
      <x:c r="A2124" s="142"/>
    </x:row>
    <x:row r="2125">
      <x:c r="A2125" s="142"/>
    </x:row>
    <x:row r="2126">
      <x:c r="A2126" s="142"/>
    </x:row>
    <x:row r="2127">
      <x:c r="A2127" s="142"/>
    </x:row>
    <x:row r="2128">
      <x:c r="A2128" s="142"/>
    </x:row>
    <x:row r="2129">
      <x:c r="A2129" s="142"/>
    </x:row>
    <x:row r="2130">
      <x:c r="A2130" s="142"/>
    </x:row>
    <x:row r="2131">
      <x:c r="A2131" s="142"/>
    </x:row>
    <x:row r="2132">
      <x:c r="A2132" s="142"/>
    </x:row>
    <x:row r="2133">
      <x:c r="A2133" s="142"/>
    </x:row>
    <x:row r="2134">
      <x:c r="A2134" s="142"/>
    </x:row>
    <x:row r="2135">
      <x:c r="A2135" s="142"/>
    </x:row>
    <x:row r="2136">
      <x:c r="A2136" s="142"/>
    </x:row>
    <x:row r="2137">
      <x:c r="A2137" s="142"/>
    </x:row>
    <x:row r="2138">
      <x:c r="A2138" s="142"/>
    </x:row>
    <x:row r="2139">
      <x:c r="A2139" s="142"/>
    </x:row>
    <x:row r="2140">
      <x:c r="A2140" s="142"/>
    </x:row>
    <x:row r="2141">
      <x:c r="A2141" s="142"/>
    </x:row>
    <x:row r="2142">
      <x:c r="A2142" s="142"/>
    </x:row>
    <x:row r="2143">
      <x:c r="A2143" s="142"/>
    </x:row>
    <x:row r="2144">
      <x:c r="A2144" s="142"/>
    </x:row>
    <x:row r="2145">
      <x:c r="A2145" s="142"/>
    </x:row>
    <x:row r="2146">
      <x:c r="A2146" s="142"/>
    </x:row>
    <x:row r="2147">
      <x:c r="A2147" s="142"/>
    </x:row>
    <x:row r="2148">
      <x:c r="A2148" s="142"/>
    </x:row>
    <x:row r="2149">
      <x:c r="A2149" s="142"/>
    </x:row>
    <x:row r="2150">
      <x:c r="A2150" s="142"/>
    </x:row>
    <x:row r="2151">
      <x:c r="A2151" s="142"/>
    </x:row>
    <x:row r="2152">
      <x:c r="A2152" s="142"/>
    </x:row>
    <x:row r="2153">
      <x:c r="A2153" s="142"/>
    </x:row>
    <x:row r="2154">
      <x:c r="A2154" s="142"/>
    </x:row>
    <x:row r="2155">
      <x:c r="A2155" s="142"/>
    </x:row>
    <x:row r="2156">
      <x:c r="A2156" s="142"/>
    </x:row>
    <x:row r="2157">
      <x:c r="A2157" s="142"/>
    </x:row>
    <x:row r="2158">
      <x:c r="A2158" s="142"/>
    </x:row>
    <x:row r="2159">
      <x:c r="A2159" s="142"/>
    </x:row>
    <x:row r="2160">
      <x:c r="A2160" s="142"/>
    </x:row>
    <x:row r="2161">
      <x:c r="A2161" s="142"/>
    </x:row>
    <x:row r="2162">
      <x:c r="A2162" s="142"/>
    </x:row>
    <x:row r="2163">
      <x:c r="A2163" s="142"/>
    </x:row>
    <x:row r="2164">
      <x:c r="A2164" s="142"/>
    </x:row>
    <x:row r="2165">
      <x:c r="A2165" s="142"/>
    </x:row>
    <x:row r="2166">
      <x:c r="A2166" s="142"/>
    </x:row>
    <x:row r="2167">
      <x:c r="A2167" s="142"/>
    </x:row>
    <x:row r="2168">
      <x:c r="A2168" s="142"/>
    </x:row>
    <x:row r="2169">
      <x:c r="A2169" s="142"/>
    </x:row>
    <x:row r="2170">
      <x:c r="A2170" s="142"/>
    </x:row>
    <x:row r="2171">
      <x:c r="A2171" s="142"/>
    </x:row>
    <x:row r="2172">
      <x:c r="A2172" s="142"/>
    </x:row>
    <x:row r="2173">
      <x:c r="A2173" s="142"/>
    </x:row>
    <x:row r="2174">
      <x:c r="A2174" s="142"/>
    </x:row>
    <x:row r="2175">
      <x:c r="A2175" s="142"/>
    </x:row>
    <x:row r="2176">
      <x:c r="A2176" s="142"/>
    </x:row>
    <x:row r="2177">
      <x:c r="A2177" s="142"/>
    </x:row>
    <x:row r="2178">
      <x:c r="A2178" s="142"/>
    </x:row>
    <x:row r="2179">
      <x:c r="A2179" s="142"/>
    </x:row>
    <x:row r="2180">
      <x:c r="A2180" s="142"/>
    </x:row>
    <x:row r="2181">
      <x:c r="A2181" s="142"/>
    </x:row>
    <x:row r="2182">
      <x:c r="A2182" s="142"/>
    </x:row>
    <x:row r="2183">
      <x:c r="A2183" s="142"/>
    </x:row>
    <x:row r="2184">
      <x:c r="A2184" s="142"/>
    </x:row>
    <x:row r="2185">
      <x:c r="A2185" s="142"/>
    </x:row>
    <x:row r="2186">
      <x:c r="A2186" s="142"/>
    </x:row>
    <x:row r="2187">
      <x:c r="A2187" s="142"/>
    </x:row>
    <x:row r="2188">
      <x:c r="A2188" s="142"/>
    </x:row>
    <x:row r="2189">
      <x:c r="A2189" s="142"/>
    </x:row>
    <x:row r="2190">
      <x:c r="A2190" s="142"/>
    </x:row>
    <x:row r="2191">
      <x:c r="A2191" s="142"/>
    </x:row>
    <x:row r="2192">
      <x:c r="A2192" s="142"/>
    </x:row>
    <x:row r="2193">
      <x:c r="A2193" s="142"/>
    </x:row>
    <x:row r="2194">
      <x:c r="A2194" s="142"/>
    </x:row>
    <x:row r="2195">
      <x:c r="A2195" s="142"/>
    </x:row>
    <x:row r="2196">
      <x:c r="A2196" s="142"/>
    </x:row>
    <x:row r="2197">
      <x:c r="A2197" s="142"/>
    </x:row>
    <x:row r="2198">
      <x:c r="A2198" s="142"/>
    </x:row>
    <x:row r="2199">
      <x:c r="A2199" s="142"/>
    </x:row>
    <x:row r="2200">
      <x:c r="A2200" s="142"/>
    </x:row>
    <x:row r="2201">
      <x:c r="A2201" s="142"/>
    </x:row>
    <x:row r="2202">
      <x:c r="A2202" s="142"/>
    </x:row>
    <x:row r="2203">
      <x:c r="A2203" s="142"/>
    </x:row>
    <x:row r="2204">
      <x:c r="A2204" s="142"/>
    </x:row>
    <x:row r="2205">
      <x:c r="A2205" s="142"/>
    </x:row>
    <x:row r="2206">
      <x:c r="A2206" s="142"/>
    </x:row>
    <x:row r="2207">
      <x:c r="A2207" s="142"/>
    </x:row>
    <x:row r="2208">
      <x:c r="A2208" s="142"/>
    </x:row>
    <x:row r="2209">
      <x:c r="A2209" s="142"/>
    </x:row>
    <x:row r="2210">
      <x:c r="A2210" s="142"/>
    </x:row>
    <x:row r="2211">
      <x:c r="A2211" s="142"/>
    </x:row>
    <x:row r="2212">
      <x:c r="A2212" s="142"/>
    </x:row>
    <x:row r="2213">
      <x:c r="A2213" s="142"/>
    </x:row>
    <x:row r="2214">
      <x:c r="A2214" s="142"/>
    </x:row>
    <x:row r="2215">
      <x:c r="A2215" s="142"/>
    </x:row>
    <x:row r="2216">
      <x:c r="A2216" s="142"/>
    </x:row>
    <x:row r="2217">
      <x:c r="A2217" s="142"/>
    </x:row>
    <x:row r="2218">
      <x:c r="A2218" s="142"/>
    </x:row>
    <x:row r="2219">
      <x:c r="A2219" s="142"/>
    </x:row>
    <x:row r="2220">
      <x:c r="A2220" s="142"/>
    </x:row>
    <x:row r="2221">
      <x:c r="A2221" s="142"/>
    </x:row>
    <x:row r="2222">
      <x:c r="A2222" s="142"/>
    </x:row>
    <x:row r="2223">
      <x:c r="A2223" s="142"/>
    </x:row>
    <x:row r="2224">
      <x:c r="A2224" s="142"/>
    </x:row>
    <x:row r="2225">
      <x:c r="A2225" s="142"/>
    </x:row>
    <x:row r="2226">
      <x:c r="A2226" s="142"/>
    </x:row>
    <x:row r="2227">
      <x:c r="A2227" s="142"/>
    </x:row>
    <x:row r="2228">
      <x:c r="A2228" s="142"/>
    </x:row>
    <x:row r="2229">
      <x:c r="A2229" s="142"/>
    </x:row>
    <x:row r="2230">
      <x:c r="A2230" s="142"/>
    </x:row>
    <x:row r="2231">
      <x:c r="A2231" s="142"/>
    </x:row>
    <x:row r="2232">
      <x:c r="A2232" s="142"/>
    </x:row>
    <x:row r="2233">
      <x:c r="A2233" s="142"/>
    </x:row>
    <x:row r="2234">
      <x:c r="A2234" s="142"/>
    </x:row>
    <x:row r="2235">
      <x:c r="A2235" s="142"/>
    </x:row>
    <x:row r="2236">
      <x:c r="A2236" s="142"/>
    </x:row>
    <x:row r="2237">
      <x:c r="A2237" s="142"/>
    </x:row>
    <x:row r="2238">
      <x:c r="A2238" s="142"/>
    </x:row>
    <x:row r="2239">
      <x:c r="A2239" s="142"/>
    </x:row>
    <x:row r="2240">
      <x:c r="A2240" s="142"/>
    </x:row>
    <x:row r="2241">
      <x:c r="A2241" s="142"/>
    </x:row>
    <x:row r="2242">
      <x:c r="A2242" s="142"/>
    </x:row>
    <x:row r="2243">
      <x:c r="A2243" s="142"/>
    </x:row>
    <x:row r="2244">
      <x:c r="A2244" s="142"/>
    </x:row>
    <x:row r="2245">
      <x:c r="A2245" s="142"/>
    </x:row>
    <x:row r="2246">
      <x:c r="A2246" s="142"/>
    </x:row>
    <x:row r="2247">
      <x:c r="A2247" s="142"/>
    </x:row>
    <x:row r="2248">
      <x:c r="A2248" s="142"/>
    </x:row>
    <x:row r="2249">
      <x:c r="A2249" s="142"/>
    </x:row>
    <x:row r="2250">
      <x:c r="A2250" s="142"/>
    </x:row>
    <x:row r="2251">
      <x:c r="A2251" s="142"/>
    </x:row>
    <x:row r="2252">
      <x:c r="A2252" s="142"/>
    </x:row>
    <x:row r="2253">
      <x:c r="A2253" s="142"/>
    </x:row>
    <x:row r="2254">
      <x:c r="A2254" s="142"/>
    </x:row>
    <x:row r="2255">
      <x:c r="A2255" s="142"/>
    </x:row>
    <x:row r="2256">
      <x:c r="A2256" s="142"/>
    </x:row>
    <x:row r="2257">
      <x:c r="A2257" s="142"/>
    </x:row>
    <x:row r="2258">
      <x:c r="A2258" s="142"/>
    </x:row>
    <x:row r="2259">
      <x:c r="A2259" s="142"/>
    </x:row>
    <x:row r="2260">
      <x:c r="A2260" s="142"/>
    </x:row>
    <x:row r="2261">
      <x:c r="A2261" s="142"/>
    </x:row>
    <x:row r="2262">
      <x:c r="A2262" s="142"/>
    </x:row>
    <x:row r="2263">
      <x:c r="A2263" s="142"/>
    </x:row>
    <x:row r="2264">
      <x:c r="A2264" s="142"/>
    </x:row>
    <x:row r="2265">
      <x:c r="A2265" s="142"/>
    </x:row>
    <x:row r="2266">
      <x:c r="A2266" s="142"/>
    </x:row>
    <x:row r="2267">
      <x:c r="A2267" s="142"/>
    </x:row>
    <x:row r="2268">
      <x:c r="A2268" s="142"/>
    </x:row>
    <x:row r="2269">
      <x:c r="A2269" s="142"/>
    </x:row>
    <x:row r="2270">
      <x:c r="A2270" s="142"/>
    </x:row>
    <x:row r="2271">
      <x:c r="A2271" s="142"/>
    </x:row>
    <x:row r="2272">
      <x:c r="A2272" s="142"/>
    </x:row>
    <x:row r="2273">
      <x:c r="A2273" s="142"/>
    </x:row>
    <x:row r="2274">
      <x:c r="A2274" s="142"/>
    </x:row>
    <x:row r="2275">
      <x:c r="A2275" s="142"/>
    </x:row>
    <x:row r="2276">
      <x:c r="A2276" s="142"/>
    </x:row>
    <x:row r="2277">
      <x:c r="A2277" s="142"/>
    </x:row>
    <x:row r="2278">
      <x:c r="A2278" s="142"/>
    </x:row>
    <x:row r="2279">
      <x:c r="A2279" s="142"/>
    </x:row>
    <x:row r="2280">
      <x:c r="A2280" s="142"/>
    </x:row>
    <x:row r="2281">
      <x:c r="A2281" s="142"/>
    </x:row>
    <x:row r="2282">
      <x:c r="A2282" s="142"/>
    </x:row>
    <x:row r="2283">
      <x:c r="A2283" s="142"/>
    </x:row>
    <x:row r="2284">
      <x:c r="A2284" s="142"/>
    </x:row>
    <x:row r="2285">
      <x:c r="A2285" s="142"/>
    </x:row>
    <x:row r="2286">
      <x:c r="A2286" s="142"/>
    </x:row>
    <x:row r="2287">
      <x:c r="A2287" s="142"/>
    </x:row>
    <x:row r="2288">
      <x:c r="A2288" s="142"/>
    </x:row>
    <x:row r="2289">
      <x:c r="A2289" s="142"/>
    </x:row>
    <x:row r="2290">
      <x:c r="A2290" s="142"/>
    </x:row>
    <x:row r="2291">
      <x:c r="A2291" s="142"/>
    </x:row>
    <x:row r="2292">
      <x:c r="A2292" s="142"/>
    </x:row>
    <x:row r="2293">
      <x:c r="A2293" s="142"/>
    </x:row>
    <x:row r="2294">
      <x:c r="A2294" s="142"/>
    </x:row>
    <x:row r="2295">
      <x:c r="A2295" s="142"/>
    </x:row>
    <x:row r="2296">
      <x:c r="A2296" s="142"/>
    </x:row>
    <x:row r="2297">
      <x:c r="A2297" s="142"/>
    </x:row>
    <x:row r="2298">
      <x:c r="A2298" s="142"/>
    </x:row>
    <x:row r="2299">
      <x:c r="A2299" s="142"/>
    </x:row>
    <x:row r="2300">
      <x:c r="A2300" s="142"/>
    </x:row>
    <x:row r="2301">
      <x:c r="A2301" s="142"/>
    </x:row>
    <x:row r="2302">
      <x:c r="A2302" s="142"/>
    </x:row>
    <x:row r="2303">
      <x:c r="A2303" s="142"/>
    </x:row>
    <x:row r="2304">
      <x:c r="A2304" s="142"/>
    </x:row>
    <x:row r="2305">
      <x:c r="A2305" s="142"/>
    </x:row>
    <x:row r="2306">
      <x:c r="A2306" s="142"/>
    </x:row>
    <x:row r="2307">
      <x:c r="A2307" s="142"/>
    </x:row>
    <x:row r="2308">
      <x:c r="A2308" s="142"/>
    </x:row>
    <x:row r="2309">
      <x:c r="A2309" s="142"/>
    </x:row>
    <x:row r="2310">
      <x:c r="A2310" s="142"/>
    </x:row>
    <x:row r="2311">
      <x:c r="A2311" s="142"/>
    </x:row>
    <x:row r="2312">
      <x:c r="A2312" s="142"/>
    </x:row>
    <x:row r="2313">
      <x:c r="A2313" s="142"/>
    </x:row>
    <x:row r="2314">
      <x:c r="A2314" s="142"/>
    </x:row>
    <x:row r="2315">
      <x:c r="A2315" s="142"/>
    </x:row>
    <x:row r="2316">
      <x:c r="A2316" s="142"/>
    </x:row>
    <x:row r="2317">
      <x:c r="A2317" s="142"/>
    </x:row>
    <x:row r="2318">
      <x:c r="A2318" s="142"/>
    </x:row>
    <x:row r="2319">
      <x:c r="A2319" s="142"/>
    </x:row>
    <x:row r="2320">
      <x:c r="A2320" s="142"/>
    </x:row>
    <x:row r="2321">
      <x:c r="A2321" s="142"/>
    </x:row>
    <x:row r="2322">
      <x:c r="A2322" s="142"/>
    </x:row>
    <x:row r="2323">
      <x:c r="A2323" s="142"/>
    </x:row>
    <x:row r="2324">
      <x:c r="A2324" s="142"/>
    </x:row>
    <x:row r="2325">
      <x:c r="A2325" s="142"/>
    </x:row>
    <x:row r="2326">
      <x:c r="A2326" s="142"/>
    </x:row>
    <x:row r="2327">
      <x:c r="A2327" s="142"/>
    </x:row>
    <x:row r="2328">
      <x:c r="A2328" s="142"/>
    </x:row>
    <x:row r="2329">
      <x:c r="A2329" s="142"/>
    </x:row>
    <x:row r="2330">
      <x:c r="A2330" s="142"/>
    </x:row>
    <x:row r="2331">
      <x:c r="A2331" s="142"/>
    </x:row>
    <x:row r="2332">
      <x:c r="A2332" s="142"/>
    </x:row>
    <x:row r="2333">
      <x:c r="A2333" s="142"/>
    </x:row>
    <x:row r="2334">
      <x:c r="A2334" s="142"/>
    </x:row>
    <x:row r="2335">
      <x:c r="A2335" s="142"/>
    </x:row>
    <x:row r="2336">
      <x:c r="A2336" s="142"/>
    </x:row>
    <x:row r="2337">
      <x:c r="A2337" s="142"/>
    </x:row>
    <x:row r="2338">
      <x:c r="A2338" s="142"/>
    </x:row>
    <x:row r="2339">
      <x:c r="A2339" s="142"/>
    </x:row>
    <x:row r="2340">
      <x:c r="A2340" s="142"/>
    </x:row>
    <x:row r="2341">
      <x:c r="A2341" s="142"/>
    </x:row>
    <x:row r="2342">
      <x:c r="A2342" s="142"/>
    </x:row>
    <x:row r="2343">
      <x:c r="A2343" s="142"/>
    </x:row>
    <x:row r="2344">
      <x:c r="A2344" s="142"/>
    </x:row>
    <x:row r="2345">
      <x:c r="A2345" s="142"/>
    </x:row>
    <x:row r="2346">
      <x:c r="A2346" s="142"/>
    </x:row>
    <x:row r="2347">
      <x:c r="A2347" s="142"/>
    </x:row>
    <x:row r="2348">
      <x:c r="A2348" s="142"/>
    </x:row>
    <x:row r="2349">
      <x:c r="A2349" s="142"/>
    </x:row>
    <x:row r="2350">
      <x:c r="A2350" s="142"/>
    </x:row>
    <x:row r="2351">
      <x:c r="A2351" s="142"/>
    </x:row>
    <x:row r="2352">
      <x:c r="A2352" s="142"/>
    </x:row>
    <x:row r="2353">
      <x:c r="A2353" s="142"/>
    </x:row>
    <x:row r="2354">
      <x:c r="A2354" s="142"/>
    </x:row>
    <x:row r="2355">
      <x:c r="A2355" s="142"/>
    </x:row>
    <x:row r="2356">
      <x:c r="A2356" s="142"/>
    </x:row>
    <x:row r="2357">
      <x:c r="A2357" s="142"/>
    </x:row>
    <x:row r="2358">
      <x:c r="A2358" s="142"/>
    </x:row>
    <x:row r="2359">
      <x:c r="A2359" s="142"/>
    </x:row>
    <x:row r="2360">
      <x:c r="A2360" s="142"/>
    </x:row>
    <x:row r="2361">
      <x:c r="A2361" s="142"/>
    </x:row>
    <x:row r="2362">
      <x:c r="A2362" s="142"/>
    </x:row>
    <x:row r="2363">
      <x:c r="A2363" s="142"/>
    </x:row>
    <x:row r="2364">
      <x:c r="A2364" s="142"/>
    </x:row>
    <x:row r="2365">
      <x:c r="A2365" s="142"/>
    </x:row>
    <x:row r="2366">
      <x:c r="A2366" s="142"/>
    </x:row>
    <x:row r="2367">
      <x:c r="A2367" s="142"/>
    </x:row>
    <x:row r="2368">
      <x:c r="A2368" s="142"/>
    </x:row>
    <x:row r="2369">
      <x:c r="A2369" s="142"/>
    </x:row>
    <x:row r="2370">
      <x:c r="A2370" s="142"/>
    </x:row>
    <x:row r="2371">
      <x:c r="A2371" s="142"/>
    </x:row>
    <x:row r="2372">
      <x:c r="A2372" s="142"/>
    </x:row>
    <x:row r="2373">
      <x:c r="A2373" s="142"/>
    </x:row>
    <x:row r="2374">
      <x:c r="A2374" s="142"/>
    </x:row>
    <x:row r="2375">
      <x:c r="A2375" s="142"/>
    </x:row>
    <x:row r="2376">
      <x:c r="A2376" s="142"/>
    </x:row>
    <x:row r="2377">
      <x:c r="A2377" s="142"/>
    </x:row>
    <x:row r="2378">
      <x:c r="A2378" s="142"/>
    </x:row>
    <x:row r="2379">
      <x:c r="A2379" s="142"/>
    </x:row>
    <x:row r="2380">
      <x:c r="A2380" s="142"/>
    </x:row>
    <x:row r="2381">
      <x:c r="A2381" s="142"/>
    </x:row>
    <x:row r="2382">
      <x:c r="A2382" s="142"/>
    </x:row>
    <x:row r="2383">
      <x:c r="A2383" s="142"/>
    </x:row>
    <x:row r="2384">
      <x:c r="A2384" s="142"/>
    </x:row>
    <x:row r="2385">
      <x:c r="A2385" s="142"/>
    </x:row>
    <x:row r="2386">
      <x:c r="A2386" s="142"/>
    </x:row>
    <x:row r="2387">
      <x:c r="A2387" s="142"/>
    </x:row>
    <x:row r="2388">
      <x:c r="A2388" s="142"/>
    </x:row>
    <x:row r="2389">
      <x:c r="A2389" s="142"/>
    </x:row>
    <x:row r="2390">
      <x:c r="A2390" s="142"/>
    </x:row>
    <x:row r="2391">
      <x:c r="A2391" s="142"/>
    </x:row>
    <x:row r="2392">
      <x:c r="A2392" s="142"/>
    </x:row>
    <x:row r="2393">
      <x:c r="A2393" s="142"/>
    </x:row>
    <x:row r="2394">
      <x:c r="A2394" s="142"/>
    </x:row>
    <x:row r="2395">
      <x:c r="A2395" s="142"/>
    </x:row>
    <x:row r="2396">
      <x:c r="A2396" s="142"/>
    </x:row>
    <x:row r="2397">
      <x:c r="A2397" s="142"/>
    </x:row>
    <x:row r="2398">
      <x:c r="A2398" s="142"/>
    </x:row>
    <x:row r="2399">
      <x:c r="A2399" s="142"/>
    </x:row>
    <x:row r="2400">
      <x:c r="A2400" s="142"/>
    </x:row>
    <x:row r="2401">
      <x:c r="A2401" s="142"/>
    </x:row>
    <x:row r="2402">
      <x:c r="A2402" s="142"/>
    </x:row>
    <x:row r="2403">
      <x:c r="A2403" s="142"/>
    </x:row>
    <x:row r="2404">
      <x:c r="A2404" s="142"/>
    </x:row>
    <x:row r="2405">
      <x:c r="A2405" s="142"/>
    </x:row>
    <x:row r="2406">
      <x:c r="A2406" s="142"/>
    </x:row>
    <x:row r="2407">
      <x:c r="A2407" s="142"/>
    </x:row>
    <x:row r="2408">
      <x:c r="A2408" s="142"/>
    </x:row>
    <x:row r="2409">
      <x:c r="A2409" s="142"/>
    </x:row>
    <x:row r="2410">
      <x:c r="A2410" s="142"/>
    </x:row>
    <x:row r="2411">
      <x:c r="A2411" s="142"/>
    </x:row>
    <x:row r="2412">
      <x:c r="A2412" s="142"/>
    </x:row>
    <x:row r="2413">
      <x:c r="A2413" s="142"/>
    </x:row>
    <x:row r="2414">
      <x:c r="A2414" s="142"/>
    </x:row>
    <x:row r="2415">
      <x:c r="A2415" s="142"/>
    </x:row>
    <x:row r="2416">
      <x:c r="A2416" s="142"/>
    </x:row>
    <x:row r="2417">
      <x:c r="A2417" s="142"/>
    </x:row>
    <x:row r="2418">
      <x:c r="A2418" s="142"/>
    </x:row>
    <x:row r="2419">
      <x:c r="A2419" s="142"/>
    </x:row>
    <x:row r="2420">
      <x:c r="A2420" s="142"/>
    </x:row>
    <x:row r="2421">
      <x:c r="A2421" s="142"/>
    </x:row>
    <x:row r="2422">
      <x:c r="A2422" s="142"/>
    </x:row>
    <x:row r="2423">
      <x:c r="A2423" s="142"/>
    </x:row>
    <x:row r="2424">
      <x:c r="A2424" s="142"/>
    </x:row>
    <x:row r="2425">
      <x:c r="A2425" s="142"/>
    </x:row>
    <x:row r="2426">
      <x:c r="A2426" s="142"/>
    </x:row>
    <x:row r="2427">
      <x:c r="A2427" s="142"/>
    </x:row>
    <x:row r="2428">
      <x:c r="A2428" s="142"/>
    </x:row>
    <x:row r="2429">
      <x:c r="A2429" s="142"/>
    </x:row>
    <x:row r="2430">
      <x:c r="A2430" s="142"/>
    </x:row>
    <x:row r="2431">
      <x:c r="A2431" s="142"/>
    </x:row>
    <x:row r="2432">
      <x:c r="A2432" s="142"/>
    </x:row>
    <x:row r="2433">
      <x:c r="A2433" s="142"/>
    </x:row>
    <x:row r="2434">
      <x:c r="A2434" s="142"/>
    </x:row>
    <x:row r="2435">
      <x:c r="A2435" s="142"/>
    </x:row>
    <x:row r="2436">
      <x:c r="A2436" s="142"/>
    </x:row>
    <x:row r="2437">
      <x:c r="A2437" s="142"/>
    </x:row>
    <x:row r="2438">
      <x:c r="A2438" s="142"/>
    </x:row>
    <x:row r="2439">
      <x:c r="A2439" s="142"/>
    </x:row>
    <x:row r="2440">
      <x:c r="A2440" s="142"/>
    </x:row>
    <x:row r="2441">
      <x:c r="A2441" s="142"/>
    </x:row>
    <x:row r="2442">
      <x:c r="A2442" s="142"/>
    </x:row>
    <x:row r="2443">
      <x:c r="A2443" s="142"/>
    </x:row>
    <x:row r="2444">
      <x:c r="A2444" s="142"/>
    </x:row>
    <x:row r="2445">
      <x:c r="A2445" s="142"/>
    </x:row>
    <x:row r="2446">
      <x:c r="A2446" s="142"/>
    </x:row>
    <x:row r="2447">
      <x:c r="A2447" s="142"/>
    </x:row>
    <x:row r="2448">
      <x:c r="A2448" s="142"/>
    </x:row>
    <x:row r="2449">
      <x:c r="A2449" s="142"/>
    </x:row>
    <x:row r="2450">
      <x:c r="A2450" s="142"/>
    </x:row>
    <x:row r="2451">
      <x:c r="A2451" s="142"/>
    </x:row>
    <x:row r="2452">
      <x:c r="A2452" s="142"/>
    </x:row>
    <x:row r="2453">
      <x:c r="A2453" s="142"/>
    </x:row>
    <x:row r="2454">
      <x:c r="A2454" s="142"/>
    </x:row>
    <x:row r="2455">
      <x:c r="A2455" s="142"/>
    </x:row>
    <x:row r="2456">
      <x:c r="A2456" s="142"/>
    </x:row>
    <x:row r="2457">
      <x:c r="A2457" s="142"/>
    </x:row>
    <x:row r="2458">
      <x:c r="A2458" s="142"/>
    </x:row>
    <x:row r="2459">
      <x:c r="A2459" s="142"/>
    </x:row>
    <x:row r="2460">
      <x:c r="A2460" s="142"/>
    </x:row>
    <x:row r="2461">
      <x:c r="A2461" s="142"/>
    </x:row>
    <x:row r="2462">
      <x:c r="A2462" s="142"/>
    </x:row>
    <x:row r="2463">
      <x:c r="A2463" s="142"/>
    </x:row>
    <x:row r="2464">
      <x:c r="A2464" s="142"/>
    </x:row>
    <x:row r="2465">
      <x:c r="A2465" s="142"/>
    </x:row>
    <x:row r="2466">
      <x:c r="A2466" s="142"/>
    </x:row>
    <x:row r="2467">
      <x:c r="A2467" s="142"/>
    </x:row>
    <x:row r="2468">
      <x:c r="A2468" s="142"/>
    </x:row>
    <x:row r="2469">
      <x:c r="A2469" s="142"/>
    </x:row>
    <x:row r="2470">
      <x:c r="A2470" s="142"/>
    </x:row>
    <x:row r="2471">
      <x:c r="A2471" s="142"/>
    </x:row>
    <x:row r="2472">
      <x:c r="A2472" s="142"/>
    </x:row>
    <x:row r="2473">
      <x:c r="A2473" s="142"/>
    </x:row>
    <x:row r="2474">
      <x:c r="A2474" s="142"/>
    </x:row>
    <x:row r="2475">
      <x:c r="A2475" s="142"/>
    </x:row>
    <x:row r="2476">
      <x:c r="A2476" s="142"/>
    </x:row>
    <x:row r="2477">
      <x:c r="A2477" s="142"/>
    </x:row>
    <x:row r="2478">
      <x:c r="A2478" s="142"/>
    </x:row>
    <x:row r="2479">
      <x:c r="A2479" s="142"/>
    </x:row>
    <x:row r="2480">
      <x:c r="A2480" s="142"/>
    </x:row>
    <x:row r="2481">
      <x:c r="A2481" s="142"/>
    </x:row>
    <x:row r="2482">
      <x:c r="A2482" s="142"/>
    </x:row>
    <x:row r="2483">
      <x:c r="A2483" s="142"/>
    </x:row>
    <x:row r="2484">
      <x:c r="A2484" s="142"/>
    </x:row>
    <x:row r="2485">
      <x:c r="A2485" s="142"/>
    </x:row>
    <x:row r="2486">
      <x:c r="A2486" s="142"/>
    </x:row>
    <x:row r="2487">
      <x:c r="A2487" s="142"/>
    </x:row>
    <x:row r="2488">
      <x:c r="A2488" s="142"/>
    </x:row>
    <x:row r="2489">
      <x:c r="A2489" s="142"/>
    </x:row>
    <x:row r="2490">
      <x:c r="A2490" s="142"/>
    </x:row>
    <x:row r="2491">
      <x:c r="A2491" s="142"/>
    </x:row>
    <x:row r="2492">
      <x:c r="A2492" s="142"/>
    </x:row>
    <x:row r="2493">
      <x:c r="A2493" s="142"/>
    </x:row>
    <x:row r="2494">
      <x:c r="A2494" s="142"/>
    </x:row>
    <x:row r="2495">
      <x:c r="A2495" s="142"/>
    </x:row>
    <x:row r="2496">
      <x:c r="A2496" s="142"/>
    </x:row>
    <x:row r="2497">
      <x:c r="A2497" s="142"/>
    </x:row>
    <x:row r="2498">
      <x:c r="A2498" s="142"/>
    </x:row>
    <x:row r="2499">
      <x:c r="A2499" s="142"/>
    </x:row>
    <x:row r="2500">
      <x:c r="A2500" s="142"/>
    </x:row>
    <x:row r="2501">
      <x:c r="A2501" s="142"/>
    </x:row>
    <x:row r="2502">
      <x:c r="A2502" s="142"/>
    </x:row>
    <x:row r="2503">
      <x:c r="A2503" s="142"/>
    </x:row>
    <x:row r="2504">
      <x:c r="A2504" s="142"/>
    </x:row>
    <x:row r="2505">
      <x:c r="A2505" s="142"/>
    </x:row>
    <x:row r="2506">
      <x:c r="A2506" s="142"/>
    </x:row>
    <x:row r="2507">
      <x:c r="A2507" s="142"/>
    </x:row>
    <x:row r="2508">
      <x:c r="A2508" s="142"/>
    </x:row>
    <x:row r="2509">
      <x:c r="A2509" s="142"/>
    </x:row>
    <x:row r="2510">
      <x:c r="A2510" s="142"/>
    </x:row>
    <x:row r="2511">
      <x:c r="A2511" s="142"/>
    </x:row>
    <x:row r="2512">
      <x:c r="A2512" s="142"/>
    </x:row>
    <x:row r="2513">
      <x:c r="A2513" s="142"/>
    </x:row>
    <x:row r="2514">
      <x:c r="A2514" s="142"/>
    </x:row>
    <x:row r="2515">
      <x:c r="A2515" s="142"/>
    </x:row>
    <x:row r="2516">
      <x:c r="A2516" s="142"/>
    </x:row>
    <x:row r="2517">
      <x:c r="A2517" s="142"/>
    </x:row>
    <x:row r="2518">
      <x:c r="A2518" s="142"/>
    </x:row>
    <x:row r="2519">
      <x:c r="A2519" s="142"/>
    </x:row>
    <x:row r="2520">
      <x:c r="A2520" s="142"/>
    </x:row>
    <x:row r="2521">
      <x:c r="A2521" s="142"/>
    </x:row>
    <x:row r="2522">
      <x:c r="A2522" s="142"/>
    </x:row>
    <x:row r="2523">
      <x:c r="A2523" s="142"/>
    </x:row>
    <x:row r="2524">
      <x:c r="A2524" s="142"/>
    </x:row>
    <x:row r="2525">
      <x:c r="A2525" s="142"/>
    </x:row>
    <x:row r="2526">
      <x:c r="A2526" s="142"/>
    </x:row>
    <x:row r="2527">
      <x:c r="A2527" s="142"/>
    </x:row>
    <x:row r="2528">
      <x:c r="A2528" s="142"/>
    </x:row>
    <x:row r="2529">
      <x:c r="A2529" s="142"/>
    </x:row>
    <x:row r="2530">
      <x:c r="A2530" s="142"/>
    </x:row>
    <x:row r="2531">
      <x:c r="A2531" s="142"/>
    </x:row>
    <x:row r="2532">
      <x:c r="A2532" s="142"/>
    </x:row>
    <x:row r="2533">
      <x:c r="A2533" s="142"/>
    </x:row>
    <x:row r="2534">
      <x:c r="A2534" s="142"/>
    </x:row>
    <x:row r="2535">
      <x:c r="A2535" s="142"/>
    </x:row>
    <x:row r="2536">
      <x:c r="A2536" s="142"/>
    </x:row>
    <x:row r="2537">
      <x:c r="A2537" s="142"/>
    </x:row>
    <x:row r="2538">
      <x:c r="A2538" s="142"/>
    </x:row>
    <x:row r="2539">
      <x:c r="A2539" s="142"/>
    </x:row>
    <x:row r="2540">
      <x:c r="A2540" s="142"/>
    </x:row>
    <x:row r="2541">
      <x:c r="A2541" s="142"/>
    </x:row>
    <x:row r="2542">
      <x:c r="A2542" s="142"/>
    </x:row>
    <x:row r="2543">
      <x:c r="A2543" s="142"/>
    </x:row>
    <x:row r="2544">
      <x:c r="A2544" s="142"/>
    </x:row>
    <x:row r="2545">
      <x:c r="A2545" s="142"/>
    </x:row>
    <x:row r="2546">
      <x:c r="A2546" s="142"/>
    </x:row>
    <x:row r="2547">
      <x:c r="A2547" s="142"/>
    </x:row>
    <x:row r="2548">
      <x:c r="A2548" s="142"/>
    </x:row>
    <x:row r="2549">
      <x:c r="A2549" s="142"/>
    </x:row>
    <x:row r="2550">
      <x:c r="A2550" s="142"/>
    </x:row>
    <x:row r="2551">
      <x:c r="A2551" s="142"/>
    </x:row>
    <x:row r="2552">
      <x:c r="A2552" s="142"/>
    </x:row>
    <x:row r="2553">
      <x:c r="A2553" s="142"/>
    </x:row>
    <x:row r="2554">
      <x:c r="A2554" s="142"/>
    </x:row>
    <x:row r="2555">
      <x:c r="A2555" s="142"/>
    </x:row>
    <x:row r="2556">
      <x:c r="A2556" s="142"/>
    </x:row>
    <x:row r="2557">
      <x:c r="A2557" s="142"/>
    </x:row>
    <x:row r="2558">
      <x:c r="A2558" s="142"/>
    </x:row>
    <x:row r="2559">
      <x:c r="A2559" s="142"/>
    </x:row>
    <x:row r="2560">
      <x:c r="A2560" s="142"/>
    </x:row>
    <x:row r="2561">
      <x:c r="A2561" s="142"/>
    </x:row>
    <x:row r="2562">
      <x:c r="A2562" s="142"/>
    </x:row>
    <x:row r="2563">
      <x:c r="A2563" s="142"/>
    </x:row>
    <x:row r="2564">
      <x:c r="A2564" s="142"/>
    </x:row>
    <x:row r="2565">
      <x:c r="A2565" s="142"/>
    </x:row>
    <x:row r="2566">
      <x:c r="A2566" s="142"/>
    </x:row>
    <x:row r="2567">
      <x:c r="A2567" s="142"/>
    </x:row>
    <x:row r="2568">
      <x:c r="A2568" s="142"/>
    </x:row>
    <x:row r="2569">
      <x:c r="A2569" s="142"/>
    </x:row>
    <x:row r="2570">
      <x:c r="A2570" s="142"/>
    </x:row>
    <x:row r="2571">
      <x:c r="A2571" s="142"/>
    </x:row>
    <x:row r="2572">
      <x:c r="A2572" s="142"/>
    </x:row>
    <x:row r="2573">
      <x:c r="A2573" s="142"/>
    </x:row>
    <x:row r="2574">
      <x:c r="A2574" s="142"/>
    </x:row>
    <x:row r="2575">
      <x:c r="A2575" s="142"/>
    </x:row>
    <x:row r="2576">
      <x:c r="A2576" s="142"/>
    </x:row>
    <x:row r="2577">
      <x:c r="A2577" s="142"/>
    </x:row>
    <x:row r="2578">
      <x:c r="A2578" s="142"/>
    </x:row>
    <x:row r="2579">
      <x:c r="A2579" s="142"/>
    </x:row>
    <x:row r="2580">
      <x:c r="A2580" s="142"/>
    </x:row>
    <x:row r="2581">
      <x:c r="A2581" s="142"/>
    </x:row>
    <x:row r="2582">
      <x:c r="A2582" s="142"/>
    </x:row>
    <x:row r="2583">
      <x:c r="A2583" s="142"/>
    </x:row>
    <x:row r="2584">
      <x:c r="A2584" s="142"/>
    </x:row>
    <x:row r="2585">
      <x:c r="A2585" s="142"/>
    </x:row>
    <x:row r="2586">
      <x:c r="A2586" s="142"/>
    </x:row>
    <x:row r="2587">
      <x:c r="A2587" s="142"/>
    </x:row>
    <x:row r="2588">
      <x:c r="A2588" s="142"/>
    </x:row>
    <x:row r="2589">
      <x:c r="A2589" s="142"/>
    </x:row>
    <x:row r="2590">
      <x:c r="A2590" s="142"/>
    </x:row>
    <x:row r="2591">
      <x:c r="A2591" s="142"/>
    </x:row>
    <x:row r="2592">
      <x:c r="A2592" s="142"/>
    </x:row>
    <x:row r="2593">
      <x:c r="A2593" s="142"/>
    </x:row>
    <x:row r="2594">
      <x:c r="A2594" s="142"/>
    </x:row>
    <x:row r="2595">
      <x:c r="A2595" s="142"/>
    </x:row>
    <x:row r="2596">
      <x:c r="A2596" s="142"/>
    </x:row>
    <x:row r="2597">
      <x:c r="A2597" s="142"/>
    </x:row>
    <x:row r="2598">
      <x:c r="A2598" s="142"/>
    </x:row>
    <x:row r="2599">
      <x:c r="A2599" s="142"/>
    </x:row>
    <x:row r="2600">
      <x:c r="A2600" s="142"/>
    </x:row>
    <x:row r="2601">
      <x:c r="A2601" s="142"/>
    </x:row>
    <x:row r="2602">
      <x:c r="A2602" s="142"/>
    </x:row>
    <x:row r="2603">
      <x:c r="A2603" s="142"/>
    </x:row>
    <x:row r="2604">
      <x:c r="A2604" s="142"/>
    </x:row>
    <x:row r="2605">
      <x:c r="A2605" s="142"/>
    </x:row>
    <x:row r="2606">
      <x:c r="A2606" s="142"/>
    </x:row>
    <x:row r="2607">
      <x:c r="A2607" s="142"/>
    </x:row>
    <x:row r="2608">
      <x:c r="A2608" s="142"/>
    </x:row>
    <x:row r="2609">
      <x:c r="A2609" s="142"/>
    </x:row>
    <x:row r="2610">
      <x:c r="A2610" s="142"/>
    </x:row>
    <x:row r="2611">
      <x:c r="A2611" s="142"/>
    </x:row>
    <x:row r="2612">
      <x:c r="A2612" s="142"/>
    </x:row>
    <x:row r="2613">
      <x:c r="A2613" s="142"/>
    </x:row>
    <x:row r="2614">
      <x:c r="A2614" s="142"/>
    </x:row>
    <x:row r="2615">
      <x:c r="A2615" s="142"/>
    </x:row>
    <x:row r="2616">
      <x:c r="A2616" s="142"/>
    </x:row>
    <x:row r="2617">
      <x:c r="A2617" s="142"/>
    </x:row>
    <x:row r="2618">
      <x:c r="A2618" s="142"/>
    </x:row>
    <x:row r="2619">
      <x:c r="A2619" s="142"/>
    </x:row>
    <x:row r="2620">
      <x:c r="A2620" s="142"/>
    </x:row>
    <x:row r="2621">
      <x:c r="A2621" s="142"/>
    </x:row>
    <x:row r="2622">
      <x:c r="A2622" s="142"/>
    </x:row>
    <x:row r="2623">
      <x:c r="A2623" s="142"/>
    </x:row>
    <x:row r="2624">
      <x:c r="A2624" s="142"/>
    </x:row>
    <x:row r="2625">
      <x:c r="A2625" s="142"/>
    </x:row>
    <x:row r="2626">
      <x:c r="A2626" s="142"/>
    </x:row>
    <x:row r="2627">
      <x:c r="A2627" s="142"/>
    </x:row>
    <x:row r="2628">
      <x:c r="A2628" s="142"/>
    </x:row>
    <x:row r="2629">
      <x:c r="A2629" s="142"/>
    </x:row>
    <x:row r="2630">
      <x:c r="A2630" s="142"/>
    </x:row>
    <x:row r="2631">
      <x:c r="A2631" s="142"/>
    </x:row>
    <x:row r="2632">
      <x:c r="A2632" s="142"/>
    </x:row>
    <x:row r="2633">
      <x:c r="A2633" s="142"/>
    </x:row>
    <x:row r="2634">
      <x:c r="A2634" s="142"/>
    </x:row>
    <x:row r="2635">
      <x:c r="A2635" s="142"/>
    </x:row>
    <x:row r="2636">
      <x:c r="A2636" s="142"/>
    </x:row>
    <x:row r="2637">
      <x:c r="A2637" s="142"/>
    </x:row>
    <x:row r="2638">
      <x:c r="A2638" s="142"/>
    </x:row>
    <x:row r="2639">
      <x:c r="A2639" s="142"/>
    </x:row>
    <x:row r="2640">
      <x:c r="A2640" s="142"/>
    </x:row>
    <x:row r="2641">
      <x:c r="A2641" s="142"/>
    </x:row>
    <x:row r="2642">
      <x:c r="A2642" s="142"/>
    </x:row>
    <x:row r="2643">
      <x:c r="A2643" s="142"/>
    </x:row>
    <x:row r="2644">
      <x:c r="A2644" s="142"/>
    </x:row>
    <x:row r="2645">
      <x:c r="A2645" s="142"/>
    </x:row>
    <x:row r="2646">
      <x:c r="A2646" s="142"/>
    </x:row>
    <x:row r="2647">
      <x:c r="A2647" s="142"/>
    </x:row>
    <x:row r="2648">
      <x:c r="A2648" s="142"/>
    </x:row>
    <x:row r="2649">
      <x:c r="A2649" s="142"/>
    </x:row>
    <x:row r="2650">
      <x:c r="A2650" s="142"/>
    </x:row>
    <x:row r="2651">
      <x:c r="A2651" s="142"/>
    </x:row>
    <x:row r="2652">
      <x:c r="A2652" s="142"/>
    </x:row>
    <x:row r="2653">
      <x:c r="A2653" s="142"/>
    </x:row>
    <x:row r="2654">
      <x:c r="A2654" s="142"/>
    </x:row>
    <x:row r="2655">
      <x:c r="A2655" s="142"/>
    </x:row>
    <x:row r="2656">
      <x:c r="A2656" s="142"/>
    </x:row>
    <x:row r="2657">
      <x:c r="A2657" s="142"/>
    </x:row>
    <x:row r="2658">
      <x:c r="A2658" s="142"/>
    </x:row>
    <x:row r="2659">
      <x:c r="A2659" s="142"/>
    </x:row>
    <x:row r="2660">
      <x:c r="A2660" s="142"/>
    </x:row>
    <x:row r="2661">
      <x:c r="A2661" s="142"/>
    </x:row>
    <x:row r="2662">
      <x:c r="A2662" s="142"/>
    </x:row>
    <x:row r="2663">
      <x:c r="A2663" s="142"/>
    </x:row>
    <x:row r="2664">
      <x:c r="A2664" s="142"/>
    </x:row>
    <x:row r="2665">
      <x:c r="A2665" s="142"/>
    </x:row>
    <x:row r="2666">
      <x:c r="A2666" s="142"/>
    </x:row>
    <x:row r="2667">
      <x:c r="A2667" s="142"/>
    </x:row>
    <x:row r="2668">
      <x:c r="A2668" s="142"/>
    </x:row>
    <x:row r="2669">
      <x:c r="A2669" s="142"/>
    </x:row>
    <x:row r="2670">
      <x:c r="A2670" s="142"/>
    </x:row>
    <x:row r="2671">
      <x:c r="A2671" s="142"/>
    </x:row>
    <x:row r="2672">
      <x:c r="A2672" s="142"/>
    </x:row>
    <x:row r="2673">
      <x:c r="A2673" s="142"/>
    </x:row>
    <x:row r="2674">
      <x:c r="A2674" s="142"/>
    </x:row>
    <x:row r="2675">
      <x:c r="A2675" s="142"/>
    </x:row>
    <x:row r="2676">
      <x:c r="A2676" s="142"/>
    </x:row>
    <x:row r="2677">
      <x:c r="A2677" s="142"/>
    </x:row>
    <x:row r="2678">
      <x:c r="A2678" s="142"/>
    </x:row>
    <x:row r="2679">
      <x:c r="A2679" s="142"/>
    </x:row>
    <x:row r="2680">
      <x:c r="A2680" s="142"/>
    </x:row>
    <x:row r="2681">
      <x:c r="A2681" s="142"/>
    </x:row>
    <x:row r="2682">
      <x:c r="A2682" s="142"/>
    </x:row>
    <x:row r="2683">
      <x:c r="A2683" s="142"/>
    </x:row>
    <x:row r="2684">
      <x:c r="A2684" s="142"/>
    </x:row>
    <x:row r="2685">
      <x:c r="A2685" s="142"/>
    </x:row>
    <x:row r="2686">
      <x:c r="A2686" s="142"/>
    </x:row>
    <x:row r="2687">
      <x:c r="A2687" s="142"/>
    </x:row>
    <x:row r="2688">
      <x:c r="A2688" s="142"/>
    </x:row>
    <x:row r="2689">
      <x:c r="A2689" s="142"/>
    </x:row>
    <x:row r="2690">
      <x:c r="A2690" s="142"/>
    </x:row>
    <x:row r="2691">
      <x:c r="A2691" s="142"/>
    </x:row>
    <x:row r="2692">
      <x:c r="A2692" s="142"/>
    </x:row>
    <x:row r="2693">
      <x:c r="A2693" s="142"/>
    </x:row>
    <x:row r="2694">
      <x:c r="A2694" s="142"/>
    </x:row>
    <x:row r="2695">
      <x:c r="A2695" s="142"/>
    </x:row>
    <x:row r="2696">
      <x:c r="A2696" s="142"/>
    </x:row>
    <x:row r="2697">
      <x:c r="A2697" s="142"/>
    </x:row>
    <x:row r="2698">
      <x:c r="A2698" s="142"/>
    </x:row>
    <x:row r="2699">
      <x:c r="A2699" s="142"/>
    </x:row>
    <x:row r="2700">
      <x:c r="A2700" s="142"/>
    </x:row>
    <x:row r="2701">
      <x:c r="A2701" s="142"/>
    </x:row>
    <x:row r="2702">
      <x:c r="A2702" s="142"/>
    </x:row>
    <x:row r="2703">
      <x:c r="A2703" s="142"/>
    </x:row>
    <x:row r="2704">
      <x:c r="A2704" s="142"/>
    </x:row>
    <x:row r="2705">
      <x:c r="A2705" s="142"/>
    </x:row>
    <x:row r="2706">
      <x:c r="A2706" s="142"/>
    </x:row>
    <x:row r="2707">
      <x:c r="A2707" s="142"/>
    </x:row>
    <x:row r="2708">
      <x:c r="A2708" s="142"/>
    </x:row>
    <x:row r="2709">
      <x:c r="A2709" s="142"/>
    </x:row>
    <x:row r="2710">
      <x:c r="A2710" s="142"/>
    </x:row>
    <x:row r="2711">
      <x:c r="A2711" s="142"/>
    </x:row>
    <x:row r="2712">
      <x:c r="A2712" s="142"/>
    </x:row>
    <x:row r="2713">
      <x:c r="A2713" s="142"/>
    </x:row>
    <x:row r="2714">
      <x:c r="A2714" s="142"/>
    </x:row>
    <x:row r="2715">
      <x:c r="A2715" s="142"/>
    </x:row>
    <x:row r="2716">
      <x:c r="A2716" s="142"/>
    </x:row>
    <x:row r="2717">
      <x:c r="A2717" s="142"/>
    </x:row>
    <x:row r="2718">
      <x:c r="A2718" s="142"/>
    </x:row>
    <x:row r="2719">
      <x:c r="A2719" s="142"/>
    </x:row>
    <x:row r="2720">
      <x:c r="A2720" s="142"/>
    </x:row>
    <x:row r="2721">
      <x:c r="A2721" s="142"/>
    </x:row>
    <x:row r="2722">
      <x:c r="A2722" s="142"/>
    </x:row>
    <x:row r="2723">
      <x:c r="A2723" s="142"/>
    </x:row>
    <x:row r="2724">
      <x:c r="A2724" s="142"/>
    </x:row>
    <x:row r="2725">
      <x:c r="A2725" s="142"/>
    </x:row>
    <x:row r="2726">
      <x:c r="A2726" s="142"/>
    </x:row>
    <x:row r="2727">
      <x:c r="A2727" s="142"/>
    </x:row>
    <x:row r="2728">
      <x:c r="A2728" s="142"/>
    </x:row>
    <x:row r="2729">
      <x:c r="A2729" s="142"/>
    </x:row>
    <x:row r="2730">
      <x:c r="A2730" s="142"/>
    </x:row>
    <x:row r="2731">
      <x:c r="A2731" s="142"/>
    </x:row>
    <x:row r="2732">
      <x:c r="A2732" s="142"/>
    </x:row>
    <x:row r="2733">
      <x:c r="A2733" s="142"/>
    </x:row>
    <x:row r="2734">
      <x:c r="A2734" s="142"/>
    </x:row>
    <x:row r="2735">
      <x:c r="A2735" s="142"/>
    </x:row>
    <x:row r="2736">
      <x:c r="A2736" s="142"/>
    </x:row>
    <x:row r="2737">
      <x:c r="A2737" s="142"/>
    </x:row>
    <x:row r="2738">
      <x:c r="A2738" s="142"/>
    </x:row>
    <x:row r="2739">
      <x:c r="A2739" s="142"/>
    </x:row>
    <x:row r="2740">
      <x:c r="A2740" s="142"/>
    </x:row>
    <x:row r="2741">
      <x:c r="A2741" s="142"/>
    </x:row>
    <x:row r="2742">
      <x:c r="A2742" s="142"/>
    </x:row>
    <x:row r="2743">
      <x:c r="A2743" s="142"/>
    </x:row>
    <x:row r="2744">
      <x:c r="A2744" s="142"/>
    </x:row>
    <x:row r="2745">
      <x:c r="A2745" s="142"/>
    </x:row>
    <x:row r="2746">
      <x:c r="A2746" s="142"/>
    </x:row>
    <x:row r="2747">
      <x:c r="A2747" s="142"/>
    </x:row>
    <x:row r="2748">
      <x:c r="A2748" s="142"/>
    </x:row>
    <x:row r="2749">
      <x:c r="A2749" s="142"/>
    </x:row>
    <x:row r="2750">
      <x:c r="A2750" s="142"/>
    </x:row>
    <x:row r="2751">
      <x:c r="A2751" s="142"/>
    </x:row>
    <x:row r="2752">
      <x:c r="A2752" s="142"/>
    </x:row>
    <x:row r="2753">
      <x:c r="A2753" s="142"/>
    </x:row>
    <x:row r="2754">
      <x:c r="A2754" s="142"/>
    </x:row>
    <x:row r="2755">
      <x:c r="A2755" s="142"/>
    </x:row>
    <x:row r="2756">
      <x:c r="A2756" s="142"/>
    </x:row>
    <x:row r="2757">
      <x:c r="A2757" s="142"/>
    </x:row>
    <x:row r="2758">
      <x:c r="A2758" s="142"/>
    </x:row>
    <x:row r="2759">
      <x:c r="A2759" s="142"/>
    </x:row>
    <x:row r="2760">
      <x:c r="A2760" s="142"/>
    </x:row>
    <x:row r="2761">
      <x:c r="A2761" s="142"/>
    </x:row>
    <x:row r="2762">
      <x:c r="A2762" s="142"/>
    </x:row>
    <x:row r="2763">
      <x:c r="A2763" s="142"/>
    </x:row>
    <x:row r="2764">
      <x:c r="A2764" s="142"/>
    </x:row>
    <x:row r="2765">
      <x:c r="A2765" s="142"/>
    </x:row>
    <x:row r="2766">
      <x:c r="A2766" s="142"/>
    </x:row>
    <x:row r="2767">
      <x:c r="A2767" s="142"/>
    </x:row>
    <x:row r="2768">
      <x:c r="A2768" s="142"/>
    </x:row>
    <x:row r="2769">
      <x:c r="A2769" s="142"/>
    </x:row>
    <x:row r="2770">
      <x:c r="A2770" s="142"/>
    </x:row>
    <x:row r="2771">
      <x:c r="A2771" s="142"/>
    </x:row>
    <x:row r="2772">
      <x:c r="A2772" s="142"/>
    </x:row>
    <x:row r="2773">
      <x:c r="A2773" s="142"/>
    </x:row>
    <x:row r="2774">
      <x:c r="A2774" s="142"/>
    </x:row>
    <x:row r="2775">
      <x:c r="A2775" s="142"/>
    </x:row>
    <x:row r="2776">
      <x:c r="A2776" s="142"/>
    </x:row>
    <x:row r="2777">
      <x:c r="A2777" s="142"/>
    </x:row>
    <x:row r="2778">
      <x:c r="A2778" s="142"/>
    </x:row>
    <x:row r="2779">
      <x:c r="A2779" s="142"/>
    </x:row>
    <x:row r="2780">
      <x:c r="A2780" s="142"/>
    </x:row>
    <x:row r="2781">
      <x:c r="A2781" s="142"/>
    </x:row>
    <x:row r="2782">
      <x:c r="A2782" s="142"/>
    </x:row>
    <x:row r="2783">
      <x:c r="A2783" s="142"/>
    </x:row>
    <x:row r="2784">
      <x:c r="A2784" s="142"/>
    </x:row>
    <x:row r="2785">
      <x:c r="A2785" s="142"/>
    </x:row>
    <x:row r="2786">
      <x:c r="A2786" s="142"/>
    </x:row>
    <x:row r="2787">
      <x:c r="A2787" s="142"/>
    </x:row>
    <x:row r="2788">
      <x:c r="A2788" s="142"/>
    </x:row>
    <x:row r="2789">
      <x:c r="A2789" s="142"/>
    </x:row>
    <x:row r="2790">
      <x:c r="A2790" s="142"/>
    </x:row>
    <x:row r="2791">
      <x:c r="A2791" s="142"/>
    </x:row>
    <x:row r="2792">
      <x:c r="A2792" s="142"/>
    </x:row>
    <x:row r="2793">
      <x:c r="A2793" s="142"/>
    </x:row>
    <x:row r="2794">
      <x:c r="A2794" s="142"/>
    </x:row>
    <x:row r="2795">
      <x:c r="A2795" s="142"/>
    </x:row>
    <x:row r="2796">
      <x:c r="A2796" s="142"/>
    </x:row>
    <x:row r="2797">
      <x:c r="A2797" s="142"/>
    </x:row>
    <x:row r="2798">
      <x:c r="A2798" s="142"/>
    </x:row>
    <x:row r="2799">
      <x:c r="A2799" s="142"/>
    </x:row>
    <x:row r="2800">
      <x:c r="A2800" s="142"/>
    </x:row>
    <x:row r="2801">
      <x:c r="A2801" s="142"/>
    </x:row>
    <x:row r="2802">
      <x:c r="A2802" s="142"/>
    </x:row>
    <x:row r="2803">
      <x:c r="A2803" s="142"/>
    </x:row>
    <x:row r="2804">
      <x:c r="A2804" s="142"/>
    </x:row>
    <x:row r="2805">
      <x:c r="A2805" s="142"/>
    </x:row>
    <x:row r="2806">
      <x:c r="A2806" s="142"/>
    </x:row>
    <x:row r="2807">
      <x:c r="A2807" s="142"/>
    </x:row>
    <x:row r="2808">
      <x:c r="A2808" s="142"/>
    </x:row>
    <x:row r="2809">
      <x:c r="A2809" s="142"/>
    </x:row>
    <x:row r="2810">
      <x:c r="A2810" s="142"/>
    </x:row>
    <x:row r="2811">
      <x:c r="A2811" s="142"/>
    </x:row>
    <x:row r="2812">
      <x:c r="A2812" s="142"/>
    </x:row>
    <x:row r="2813">
      <x:c r="A2813" s="142"/>
    </x:row>
    <x:row r="2814">
      <x:c r="A2814" s="142"/>
    </x:row>
    <x:row r="2815">
      <x:c r="A2815" s="142"/>
    </x:row>
    <x:row r="2816">
      <x:c r="A2816" s="142"/>
    </x:row>
    <x:row r="2817">
      <x:c r="A2817" s="142"/>
    </x:row>
    <x:row r="2818">
      <x:c r="A2818" s="142"/>
    </x:row>
    <x:row r="2819">
      <x:c r="A2819" s="142"/>
    </x:row>
    <x:row r="2820">
      <x:c r="A2820" s="142"/>
    </x:row>
    <x:row r="2821">
      <x:c r="A2821" s="142"/>
    </x:row>
    <x:row r="2822">
      <x:c r="A2822" s="142"/>
    </x:row>
    <x:row r="2823">
      <x:c r="A2823" s="142"/>
    </x:row>
    <x:row r="2824">
      <x:c r="A2824" s="142"/>
    </x:row>
    <x:row r="2825">
      <x:c r="A2825" s="142"/>
    </x:row>
    <x:row r="2826">
      <x:c r="A2826" s="142"/>
    </x:row>
    <x:row r="2827">
      <x:c r="A2827" s="142"/>
    </x:row>
    <x:row r="2828">
      <x:c r="A2828" s="142"/>
    </x:row>
    <x:row r="2829">
      <x:c r="A2829" s="142"/>
    </x:row>
    <x:row r="2830">
      <x:c r="A2830" s="142"/>
    </x:row>
    <x:row r="2831">
      <x:c r="A2831" s="142"/>
    </x:row>
    <x:row r="2832">
      <x:c r="A2832" s="142"/>
    </x:row>
    <x:row r="2833">
      <x:c r="A2833" s="142"/>
    </x:row>
    <x:row r="2834">
      <x:c r="A2834" s="142"/>
    </x:row>
    <x:row r="2835">
      <x:c r="A2835" s="142"/>
    </x:row>
    <x:row r="2836">
      <x:c r="A2836" s="142"/>
    </x:row>
    <x:row r="2837">
      <x:c r="A2837" s="142"/>
    </x:row>
    <x:row r="2838">
      <x:c r="A2838" s="142"/>
    </x:row>
    <x:row r="2839">
      <x:c r="A2839" s="142"/>
    </x:row>
    <x:row r="2840">
      <x:c r="A2840" s="142"/>
    </x:row>
    <x:row r="2841">
      <x:c r="A2841" s="142"/>
    </x:row>
    <x:row r="2842">
      <x:c r="A2842" s="142"/>
    </x:row>
    <x:row r="2843">
      <x:c r="A2843" s="142"/>
    </x:row>
    <x:row r="2844">
      <x:c r="A2844" s="142"/>
    </x:row>
    <x:row r="2845">
      <x:c r="A2845" s="142"/>
    </x:row>
    <x:row r="2846">
      <x:c r="A2846" s="142"/>
    </x:row>
    <x:row r="2847">
      <x:c r="A2847" s="142"/>
    </x:row>
    <x:row r="2848">
      <x:c r="A2848" s="142"/>
    </x:row>
    <x:row r="2849">
      <x:c r="A2849" s="142"/>
    </x:row>
    <x:row r="2850">
      <x:c r="A2850" s="142"/>
    </x:row>
    <x:row r="2851">
      <x:c r="A2851" s="142"/>
    </x:row>
    <x:row r="2852">
      <x:c r="A2852" s="142"/>
    </x:row>
    <x:row r="2853">
      <x:c r="A2853" s="142"/>
    </x:row>
    <x:row r="2854">
      <x:c r="A2854" s="142"/>
    </x:row>
    <x:row r="2855">
      <x:c r="A2855" s="142"/>
    </x:row>
    <x:row r="2856">
      <x:c r="A2856" s="142"/>
    </x:row>
    <x:row r="2857">
      <x:c r="A2857" s="142"/>
    </x:row>
    <x:row r="2858">
      <x:c r="A2858" s="142"/>
    </x:row>
    <x:row r="2859">
      <x:c r="A2859" s="142"/>
    </x:row>
    <x:row r="2860">
      <x:c r="A2860" s="142"/>
    </x:row>
    <x:row r="2861">
      <x:c r="A2861" s="142"/>
    </x:row>
    <x:row r="2862">
      <x:c r="A2862" s="142"/>
    </x:row>
    <x:row r="2863">
      <x:c r="A2863" s="142"/>
    </x:row>
    <x:row r="2864">
      <x:c r="A2864" s="142"/>
    </x:row>
    <x:row r="2865">
      <x:c r="A2865" s="142"/>
    </x:row>
    <x:row r="2866">
      <x:c r="A2866" s="142"/>
    </x:row>
    <x:row r="2867">
      <x:c r="A2867" s="142"/>
    </x:row>
    <x:row r="2868">
      <x:c r="A2868" s="142"/>
    </x:row>
    <x:row r="2869">
      <x:c r="A2869" s="142"/>
    </x:row>
    <x:row r="2870">
      <x:c r="A2870" s="142"/>
    </x:row>
    <x:row r="2871">
      <x:c r="A2871" s="142"/>
    </x:row>
    <x:row r="2872">
      <x:c r="A2872" s="142"/>
    </x:row>
    <x:row r="2873">
      <x:c r="A2873" s="142"/>
    </x:row>
    <x:row r="2874">
      <x:c r="A2874" s="142"/>
    </x:row>
    <x:row r="2875">
      <x:c r="A2875" s="142"/>
    </x:row>
    <x:row r="2876">
      <x:c r="A2876" s="142"/>
    </x:row>
    <x:row r="2877">
      <x:c r="A2877" s="142"/>
    </x:row>
    <x:row r="2878">
      <x:c r="A2878" s="142"/>
    </x:row>
    <x:row r="2879">
      <x:c r="A2879" s="142"/>
    </x:row>
    <x:row r="2880">
      <x:c r="A2880" s="142"/>
    </x:row>
    <x:row r="2881">
      <x:c r="A2881" s="142"/>
    </x:row>
    <x:row r="2882">
      <x:c r="A2882" s="142"/>
    </x:row>
    <x:row r="2883">
      <x:c r="A2883" s="142"/>
    </x:row>
    <x:row r="2884">
      <x:c r="A2884" s="142"/>
    </x:row>
    <x:row r="2885">
      <x:c r="A2885" s="142"/>
    </x:row>
    <x:row r="2886">
      <x:c r="A2886" s="142"/>
    </x:row>
    <x:row r="2887">
      <x:c r="A2887" s="142"/>
    </x:row>
    <x:row r="2888">
      <x:c r="A2888" s="142"/>
    </x:row>
    <x:row r="2889">
      <x:c r="A2889" s="142"/>
    </x:row>
    <x:row r="2890">
      <x:c r="A2890" s="142"/>
    </x:row>
    <x:row r="2891">
      <x:c r="A2891" s="142"/>
    </x:row>
    <x:row r="2892">
      <x:c r="A2892" s="142"/>
    </x:row>
    <x:row r="2893">
      <x:c r="A2893" s="142"/>
    </x:row>
    <x:row r="2894">
      <x:c r="A2894" s="142"/>
    </x:row>
    <x:row r="2895">
      <x:c r="A2895" s="142"/>
    </x:row>
    <x:row r="2896">
      <x:c r="A2896" s="142"/>
    </x:row>
    <x:row r="2897">
      <x:c r="A2897" s="142"/>
    </x:row>
    <x:row r="2898">
      <x:c r="A2898" s="142"/>
    </x:row>
    <x:row r="2899">
      <x:c r="A2899" s="142"/>
    </x:row>
    <x:row r="2900">
      <x:c r="A2900" s="142"/>
    </x:row>
    <x:row r="2901">
      <x:c r="A2901" s="142"/>
    </x:row>
    <x:row r="2902">
      <x:c r="A2902" s="142"/>
    </x:row>
    <x:row r="2903">
      <x:c r="A2903" s="142"/>
    </x:row>
    <x:row r="2904">
      <x:c r="A2904" s="142"/>
    </x:row>
    <x:row r="2905">
      <x:c r="A2905" s="142"/>
    </x:row>
    <x:row r="2906">
      <x:c r="A2906" s="142"/>
    </x:row>
    <x:row r="2907">
      <x:c r="A2907" s="142"/>
    </x:row>
    <x:row r="2908">
      <x:c r="A2908" s="142"/>
    </x:row>
    <x:row r="2909">
      <x:c r="A2909" s="142"/>
    </x:row>
    <x:row r="2910">
      <x:c r="A2910" s="142"/>
    </x:row>
    <x:row r="2911">
      <x:c r="A2911" s="142"/>
    </x:row>
    <x:row r="2912">
      <x:c r="A2912" s="142"/>
    </x:row>
    <x:row r="2913">
      <x:c r="A2913" s="142"/>
    </x:row>
    <x:row r="2914">
      <x:c r="A2914" s="142"/>
    </x:row>
    <x:row r="2915">
      <x:c r="A2915" s="142"/>
    </x:row>
    <x:row r="2916">
      <x:c r="A2916" s="142"/>
    </x:row>
    <x:row r="2917">
      <x:c r="A2917" s="142"/>
    </x:row>
    <x:row r="2918">
      <x:c r="A2918" s="142"/>
    </x:row>
    <x:row r="2919">
      <x:c r="A2919" s="142"/>
    </x:row>
    <x:row r="2920">
      <x:c r="A2920" s="142"/>
    </x:row>
    <x:row r="2921">
      <x:c r="A2921" s="142"/>
    </x:row>
    <x:row r="2922">
      <x:c r="A2922" s="142"/>
    </x:row>
    <x:row r="2923">
      <x:c r="A2923" s="142"/>
    </x:row>
    <x:row r="2924">
      <x:c r="A2924" s="142"/>
    </x:row>
    <x:row r="2925">
      <x:c r="A2925" s="142"/>
    </x:row>
    <x:row r="2926">
      <x:c r="A2926" s="142"/>
    </x:row>
    <x:row r="2927">
      <x:c r="A2927" s="142"/>
    </x:row>
    <x:row r="2928">
      <x:c r="A2928" s="142"/>
    </x:row>
    <x:row r="2929">
      <x:c r="A2929" s="142"/>
    </x:row>
    <x:row r="2930">
      <x:c r="A2930" s="142"/>
    </x:row>
    <x:row r="2931">
      <x:c r="A2931" s="142"/>
    </x:row>
    <x:row r="2932">
      <x:c r="A2932" s="142"/>
    </x:row>
    <x:row r="2933">
      <x:c r="A2933" s="142"/>
    </x:row>
    <x:row r="2934">
      <x:c r="A2934" s="142"/>
    </x:row>
    <x:row r="2935">
      <x:c r="A2935" s="142"/>
    </x:row>
    <x:row r="2936">
      <x:c r="A2936" s="142"/>
    </x:row>
    <x:row r="2937">
      <x:c r="A2937" s="142"/>
    </x:row>
    <x:row r="2938">
      <x:c r="A2938" s="142"/>
    </x:row>
    <x:row r="2939">
      <x:c r="A2939" s="142"/>
    </x:row>
    <x:row r="2940">
      <x:c r="A2940" s="142"/>
    </x:row>
    <x:row r="2941">
      <x:c r="A2941" s="142"/>
    </x:row>
    <x:row r="2942">
      <x:c r="A2942" s="142"/>
    </x:row>
    <x:row r="2943">
      <x:c r="A2943" s="142"/>
    </x:row>
    <x:row r="2944">
      <x:c r="A2944" s="142"/>
    </x:row>
    <x:row r="2945">
      <x:c r="A2945" s="142"/>
    </x:row>
    <x:row r="2946">
      <x:c r="A2946" s="142"/>
    </x:row>
    <x:row r="2947">
      <x:c r="A2947" s="142"/>
    </x:row>
    <x:row r="2948">
      <x:c r="A2948" s="142"/>
    </x:row>
    <x:row r="2949">
      <x:c r="A2949" s="142"/>
    </x:row>
    <x:row r="2950">
      <x:c r="A2950" s="142"/>
    </x:row>
    <x:row r="2951">
      <x:c r="A2951" s="142"/>
    </x:row>
    <x:row r="2952">
      <x:c r="A2952" s="142"/>
    </x:row>
    <x:row r="2953">
      <x:c r="A2953" s="142"/>
    </x:row>
    <x:row r="2954">
      <x:c r="A2954" s="142"/>
    </x:row>
    <x:row r="2955">
      <x:c r="A2955" s="142"/>
    </x:row>
    <x:row r="2956">
      <x:c r="A2956" s="142"/>
    </x:row>
    <x:row r="2957">
      <x:c r="A2957" s="142"/>
    </x:row>
    <x:row r="2958">
      <x:c r="A2958" s="142"/>
    </x:row>
    <x:row r="2959">
      <x:c r="A2959" s="142"/>
    </x:row>
    <x:row r="2960">
      <x:c r="A2960" s="142"/>
    </x:row>
    <x:row r="2961">
      <x:c r="A2961" s="142"/>
    </x:row>
    <x:row r="2962">
      <x:c r="A2962" s="142"/>
    </x:row>
    <x:row r="2963">
      <x:c r="A2963" s="142"/>
    </x:row>
    <x:row r="2964">
      <x:c r="A2964" s="142"/>
    </x:row>
    <x:row r="2965">
      <x:c r="A2965" s="142"/>
    </x:row>
    <x:row r="2966">
      <x:c r="A2966" s="142"/>
    </x:row>
    <x:row r="2967">
      <x:c r="A2967" s="142"/>
    </x:row>
    <x:row r="2968">
      <x:c r="A2968" s="142"/>
    </x:row>
    <x:row r="2969">
      <x:c r="A2969" s="142"/>
    </x:row>
    <x:row r="2970">
      <x:c r="A2970" s="142"/>
    </x:row>
    <x:row r="2971">
      <x:c r="A2971" s="142"/>
    </x:row>
    <x:row r="2972">
      <x:c r="A2972" s="142"/>
    </x:row>
    <x:row r="2973">
      <x:c r="A2973" s="142"/>
    </x:row>
    <x:row r="2974">
      <x:c r="A2974" s="142"/>
    </x:row>
    <x:row r="2975">
      <x:c r="A2975" s="142"/>
    </x:row>
    <x:row r="2976">
      <x:c r="A2976" s="142"/>
    </x:row>
    <x:row r="2977">
      <x:c r="A2977" s="142"/>
    </x:row>
    <x:row r="2978">
      <x:c r="A2978" s="142"/>
    </x:row>
    <x:row r="2979">
      <x:c r="A2979" s="142"/>
    </x:row>
    <x:row r="2980">
      <x:c r="A2980" s="142"/>
    </x:row>
    <x:row r="2981">
      <x:c r="A2981" s="142"/>
    </x:row>
    <x:row r="2982">
      <x:c r="A2982" s="142"/>
    </x:row>
    <x:row r="2983">
      <x:c r="A2983" s="142"/>
    </x:row>
    <x:row r="2984">
      <x:c r="A2984" s="142"/>
    </x:row>
    <x:row r="2985">
      <x:c r="A2985" s="142"/>
    </x:row>
    <x:row r="2986">
      <x:c r="A2986" s="142"/>
    </x:row>
    <x:row r="2987">
      <x:c r="A2987" s="142"/>
    </x:row>
    <x:row r="2988">
      <x:c r="A2988" s="142"/>
    </x:row>
    <x:row r="2989">
      <x:c r="A2989" s="142"/>
    </x:row>
    <x:row r="2990">
      <x:c r="A2990" s="142"/>
    </x:row>
    <x:row r="2991">
      <x:c r="A2991" s="142"/>
    </x:row>
    <x:row r="2992">
      <x:c r="A2992" s="142"/>
    </x:row>
    <x:row r="2993">
      <x:c r="A2993" s="142"/>
    </x:row>
    <x:row r="2994">
      <x:c r="A2994" s="142"/>
    </x:row>
    <x:row r="2995">
      <x:c r="A2995" s="142"/>
    </x:row>
    <x:row r="2996">
      <x:c r="A2996" s="142"/>
    </x:row>
    <x:row r="2997">
      <x:c r="A2997" s="142"/>
    </x:row>
    <x:row r="2998">
      <x:c r="A2998" s="142"/>
    </x:row>
    <x:row r="2999">
      <x:c r="A2999" s="142"/>
    </x:row>
    <x:row r="3000">
      <x:c r="A3000" s="142"/>
    </x:row>
    <x:row r="3001">
      <x:c r="A3001" s="142"/>
    </x:row>
    <x:row r="3002">
      <x:c r="A3002" s="142"/>
    </x:row>
    <x:row r="3003">
      <x:c r="A3003" s="142"/>
    </x:row>
    <x:row r="3004">
      <x:c r="A3004" s="142"/>
    </x:row>
    <x:row r="3005">
      <x:c r="A3005" s="142"/>
    </x:row>
    <x:row r="3006">
      <x:c r="A3006" s="142"/>
    </x:row>
    <x:row r="3007">
      <x:c r="A3007" s="142"/>
    </x:row>
    <x:row r="3008">
      <x:c r="A3008" s="142"/>
    </x:row>
    <x:row r="3009">
      <x:c r="A3009" s="142"/>
    </x:row>
    <x:row r="3010">
      <x:c r="A3010" s="142"/>
    </x:row>
    <x:row r="3011">
      <x:c r="A3011" s="142"/>
    </x:row>
    <x:row r="3012">
      <x:c r="A3012" s="142"/>
    </x:row>
    <x:row r="3013">
      <x:c r="A3013" s="142"/>
    </x:row>
    <x:row r="3014">
      <x:c r="A3014" s="142"/>
    </x:row>
    <x:row r="3015">
      <x:c r="A3015" s="142"/>
    </x:row>
    <x:row r="3016">
      <x:c r="A3016" s="142"/>
    </x:row>
    <x:row r="3017">
      <x:c r="A3017" s="142"/>
    </x:row>
    <x:row r="3018">
      <x:c r="A3018" s="142"/>
    </x:row>
    <x:row r="3019">
      <x:c r="A3019" s="142"/>
    </x:row>
    <x:row r="3020">
      <x:c r="A3020" s="142"/>
    </x:row>
    <x:row r="3021">
      <x:c r="A3021" s="142"/>
    </x:row>
    <x:row r="3022">
      <x:c r="A3022" s="142"/>
    </x:row>
    <x:row r="3023">
      <x:c r="A3023" s="142"/>
    </x:row>
    <x:row r="3024">
      <x:c r="A3024" s="142"/>
    </x:row>
    <x:row r="3025">
      <x:c r="A3025" s="142"/>
    </x:row>
    <x:row r="3026">
      <x:c r="A3026" s="142"/>
    </x:row>
    <x:row r="3027">
      <x:c r="A3027" s="142"/>
    </x:row>
    <x:row r="3028">
      <x:c r="A3028" s="142"/>
    </x:row>
    <x:row r="3029">
      <x:c r="A3029" s="142"/>
    </x:row>
    <x:row r="3030">
      <x:c r="A3030" s="142"/>
    </x:row>
    <x:row r="3031">
      <x:c r="A3031" s="142"/>
    </x:row>
    <x:row r="3032">
      <x:c r="A3032" s="142"/>
    </x:row>
    <x:row r="3033">
      <x:c r="A3033" s="142"/>
    </x:row>
    <x:row r="3034">
      <x:c r="A3034" s="142"/>
    </x:row>
    <x:row r="3035">
      <x:c r="A3035" s="142"/>
    </x:row>
    <x:row r="3036">
      <x:c r="A3036" s="142"/>
    </x:row>
    <x:row r="3037">
      <x:c r="A3037" s="142"/>
    </x:row>
    <x:row r="3038">
      <x:c r="A3038" s="142"/>
    </x:row>
    <x:row r="3039">
      <x:c r="A3039" s="142"/>
    </x:row>
    <x:row r="3040">
      <x:c r="A3040" s="142"/>
    </x:row>
    <x:row r="3041">
      <x:c r="A3041" s="142"/>
    </x:row>
    <x:row r="3042">
      <x:c r="A3042" s="142"/>
    </x:row>
    <x:row r="3043">
      <x:c r="A3043" s="142"/>
    </x:row>
    <x:row r="3044">
      <x:c r="A3044" s="142"/>
    </x:row>
    <x:row r="3045">
      <x:c r="A3045" s="142"/>
    </x:row>
    <x:row r="3046">
      <x:c r="A3046" s="142"/>
    </x:row>
    <x:row r="3047">
      <x:c r="A3047" s="142"/>
    </x:row>
    <x:row r="3048">
      <x:c r="A3048" s="142"/>
    </x:row>
    <x:row r="3049">
      <x:c r="A3049" s="142"/>
    </x:row>
    <x:row r="3050">
      <x:c r="A3050" s="142"/>
    </x:row>
    <x:row r="3051">
      <x:c r="A3051" s="142"/>
    </x:row>
    <x:row r="3052">
      <x:c r="A3052" s="142"/>
    </x:row>
    <x:row r="3053">
      <x:c r="A3053" s="142"/>
    </x:row>
    <x:row r="3054">
      <x:c r="A3054" s="142"/>
    </x:row>
    <x:row r="3055">
      <x:c r="A3055" s="142"/>
    </x:row>
    <x:row r="3056">
      <x:c r="A3056" s="142"/>
    </x:row>
    <x:row r="3057">
      <x:c r="A3057" s="142"/>
    </x:row>
    <x:row r="3058">
      <x:c r="A3058" s="142"/>
    </x:row>
    <x:row r="3059">
      <x:c r="A3059" s="142"/>
    </x:row>
    <x:row r="3060">
      <x:c r="A3060" s="142"/>
    </x:row>
    <x:row r="3061">
      <x:c r="A3061" s="142"/>
    </x:row>
    <x:row r="3062">
      <x:c r="A3062" s="142"/>
    </x:row>
    <x:row r="3063">
      <x:c r="A3063" s="142"/>
    </x:row>
    <x:row r="3064">
      <x:c r="A3064" s="142"/>
    </x:row>
    <x:row r="3065">
      <x:c r="A3065" s="142"/>
    </x:row>
    <x:row r="3066">
      <x:c r="A3066" s="142"/>
    </x:row>
    <x:row r="3067">
      <x:c r="A3067" s="142"/>
    </x:row>
    <x:row r="3068">
      <x:c r="A3068" s="142"/>
    </x:row>
    <x:row r="3069">
      <x:c r="A3069" s="142"/>
    </x:row>
    <x:row r="3070">
      <x:c r="A3070" s="142"/>
    </x:row>
    <x:row r="3071">
      <x:c r="A3071" s="142"/>
    </x:row>
    <x:row r="3072">
      <x:c r="A3072" s="142"/>
    </x:row>
    <x:row r="3073">
      <x:c r="A3073" s="142"/>
    </x:row>
    <x:row r="3074">
      <x:c r="A3074" s="142"/>
    </x:row>
    <x:row r="3075">
      <x:c r="A3075" s="142"/>
    </x:row>
    <x:row r="3076">
      <x:c r="A3076" s="142"/>
    </x:row>
    <x:row r="3077">
      <x:c r="A3077" s="142"/>
    </x:row>
    <x:row r="3078">
      <x:c r="A3078" s="142"/>
    </x:row>
    <x:row r="3079">
      <x:c r="A3079" s="142"/>
    </x:row>
    <x:row r="3080">
      <x:c r="A3080" s="142"/>
    </x:row>
    <x:row r="3081">
      <x:c r="A3081" s="142"/>
    </x:row>
    <x:row r="3082">
      <x:c r="A3082" s="142"/>
    </x:row>
    <x:row r="3083">
      <x:c r="A3083" s="142"/>
    </x:row>
    <x:row r="3084">
      <x:c r="A3084" s="142"/>
    </x:row>
    <x:row r="3085">
      <x:c r="A3085" s="142"/>
    </x:row>
    <x:row r="3086">
      <x:c r="A3086" s="142"/>
    </x:row>
    <x:row r="3087">
      <x:c r="A3087" s="142"/>
    </x:row>
    <x:row r="3088">
      <x:c r="A3088" s="142"/>
    </x:row>
    <x:row r="3089">
      <x:c r="A3089" s="142"/>
    </x:row>
    <x:row r="3090">
      <x:c r="A3090" s="142"/>
    </x:row>
    <x:row r="3091">
      <x:c r="A3091" s="142"/>
    </x:row>
    <x:row r="3092">
      <x:c r="A3092" s="142"/>
    </x:row>
    <x:row r="3093">
      <x:c r="A3093" s="142"/>
    </x:row>
    <x:row r="3094">
      <x:c r="A3094" s="142"/>
    </x:row>
    <x:row r="3095">
      <x:c r="A3095" s="142"/>
    </x:row>
    <x:row r="3096">
      <x:c r="A3096" s="142"/>
    </x:row>
    <x:row r="3097">
      <x:c r="A3097" s="142"/>
    </x:row>
    <x:row r="3098">
      <x:c r="A3098" s="142"/>
    </x:row>
    <x:row r="3099">
      <x:c r="A3099" s="142"/>
    </x:row>
    <x:row r="3100">
      <x:c r="A3100" s="142"/>
    </x:row>
    <x:row r="3101">
      <x:c r="A3101" s="142"/>
    </x:row>
    <x:row r="3102">
      <x:c r="A3102" s="142"/>
    </x:row>
    <x:row r="3103">
      <x:c r="A3103" s="142"/>
    </x:row>
    <x:row r="3104">
      <x:c r="A3104" s="142"/>
    </x:row>
    <x:row r="3105">
      <x:c r="A3105" s="142"/>
    </x:row>
    <x:row r="3106">
      <x:c r="A3106" s="142"/>
    </x:row>
    <x:row r="3107">
      <x:c r="A3107" s="142"/>
    </x:row>
    <x:row r="3108">
      <x:c r="A3108" s="142"/>
    </x:row>
    <x:row r="3109">
      <x:c r="A3109" s="142"/>
    </x:row>
    <x:row r="3110">
      <x:c r="A3110" s="142"/>
    </x:row>
    <x:row r="3111">
      <x:c r="A3111" s="142"/>
    </x:row>
    <x:row r="3112">
      <x:c r="A3112" s="142"/>
    </x:row>
    <x:row r="3113">
      <x:c r="A3113" s="142"/>
    </x:row>
    <x:row r="3114">
      <x:c r="A3114" s="142"/>
    </x:row>
    <x:row r="3115">
      <x:c r="A3115" s="142"/>
    </x:row>
    <x:row r="3116">
      <x:c r="A3116" s="142"/>
    </x:row>
    <x:row r="3117">
      <x:c r="A3117" s="142"/>
    </x:row>
    <x:row r="3118">
      <x:c r="A3118" s="142"/>
    </x:row>
    <x:row r="3119">
      <x:c r="A3119" s="142"/>
    </x:row>
    <x:row r="3120">
      <x:c r="A3120" s="142"/>
    </x:row>
    <x:row r="3121">
      <x:c r="A3121" s="142"/>
    </x:row>
    <x:row r="3122">
      <x:c r="A3122" s="142"/>
    </x:row>
    <x:row r="3123">
      <x:c r="A3123" s="142"/>
    </x:row>
    <x:row r="3124">
      <x:c r="A3124" s="142"/>
    </x:row>
    <x:row r="3125">
      <x:c r="A3125" s="142"/>
    </x:row>
    <x:row r="3126">
      <x:c r="A3126" s="142"/>
    </x:row>
    <x:row r="3127">
      <x:c r="A3127" s="142"/>
    </x:row>
    <x:row r="3128">
      <x:c r="A3128" s="142"/>
    </x:row>
    <x:row r="3129">
      <x:c r="A3129" s="142"/>
    </x:row>
    <x:row r="3130">
      <x:c r="A3130" s="142"/>
    </x:row>
    <x:row r="3131">
      <x:c r="A3131" s="142"/>
    </x:row>
    <x:row r="3132">
      <x:c r="A3132" s="142"/>
    </x:row>
    <x:row r="3133">
      <x:c r="A3133" s="142"/>
    </x:row>
    <x:row r="3134">
      <x:c r="A3134" s="142"/>
    </x:row>
    <x:row r="3135">
      <x:c r="A3135" s="142"/>
    </x:row>
    <x:row r="3136">
      <x:c r="A3136" s="142"/>
    </x:row>
    <x:row r="3137">
      <x:c r="A3137" s="142"/>
    </x:row>
    <x:row r="3138">
      <x:c r="A3138" s="142"/>
    </x:row>
    <x:row r="3139">
      <x:c r="A3139" s="142"/>
    </x:row>
    <x:row r="3140">
      <x:c r="A3140" s="142"/>
    </x:row>
    <x:row r="3141">
      <x:c r="A3141" s="142"/>
    </x:row>
    <x:row r="3142">
      <x:c r="A3142" s="142"/>
    </x:row>
    <x:row r="3143">
      <x:c r="A3143" s="142"/>
    </x:row>
    <x:row r="3144">
      <x:c r="A3144" s="142"/>
    </x:row>
    <x:row r="3145">
      <x:c r="A3145" s="142"/>
    </x:row>
    <x:row r="3146">
      <x:c r="A3146" s="142"/>
    </x:row>
    <x:row r="3147">
      <x:c r="A3147" s="142"/>
    </x:row>
    <x:row r="3148">
      <x:c r="A3148" s="142"/>
    </x:row>
    <x:row r="3149">
      <x:c r="A3149" s="142"/>
    </x:row>
    <x:row r="3150">
      <x:c r="A3150" s="142"/>
    </x:row>
    <x:row r="3151">
      <x:c r="A3151" s="142"/>
    </x:row>
    <x:row r="3152">
      <x:c r="A3152" s="142"/>
    </x:row>
    <x:row r="3153">
      <x:c r="A3153" s="142"/>
    </x:row>
    <x:row r="3154">
      <x:c r="A3154" s="142"/>
    </x:row>
    <x:row r="3155">
      <x:c r="A3155" s="142"/>
    </x:row>
    <x:row r="3156">
      <x:c r="A3156" s="142"/>
    </x:row>
    <x:row r="3157">
      <x:c r="A3157" s="142"/>
    </x:row>
    <x:row r="3158">
      <x:c r="A3158" s="142"/>
    </x:row>
    <x:row r="3159">
      <x:c r="A3159" s="142"/>
    </x:row>
    <x:row r="3160">
      <x:c r="A3160" s="142"/>
    </x:row>
    <x:row r="3161">
      <x:c r="A3161" s="142"/>
    </x:row>
    <x:row r="3162">
      <x:c r="A3162" s="142"/>
    </x:row>
    <x:row r="3163">
      <x:c r="A3163" s="142"/>
    </x:row>
    <x:row r="3164">
      <x:c r="A3164" s="142"/>
    </x:row>
    <x:row r="3165">
      <x:c r="A3165" s="142"/>
    </x:row>
    <x:row r="3166">
      <x:c r="A3166" s="142"/>
    </x:row>
    <x:row r="3167">
      <x:c r="A3167" s="142"/>
    </x:row>
    <x:row r="3168">
      <x:c r="A3168" s="142"/>
    </x:row>
    <x:row r="3169">
      <x:c r="A3169" s="142"/>
    </x:row>
    <x:row r="3170">
      <x:c r="A3170" s="142"/>
    </x:row>
    <x:row r="3171">
      <x:c r="A3171" s="142"/>
    </x:row>
    <x:row r="3172">
      <x:c r="A3172" s="142"/>
    </x:row>
    <x:row r="3173">
      <x:c r="A3173" s="142"/>
    </x:row>
    <x:row r="3174">
      <x:c r="A3174" s="142"/>
    </x:row>
    <x:row r="3175">
      <x:c r="A3175" s="142"/>
    </x:row>
    <x:row r="3176">
      <x:c r="A3176" s="142"/>
    </x:row>
    <x:row r="3177">
      <x:c r="A3177" s="142"/>
    </x:row>
    <x:row r="3178">
      <x:c r="A3178" s="142"/>
    </x:row>
    <x:row r="3179">
      <x:c r="A3179" s="142"/>
    </x:row>
    <x:row r="3180">
      <x:c r="A3180" s="142"/>
    </x:row>
    <x:row r="3181">
      <x:c r="A3181" s="142"/>
    </x:row>
    <x:row r="3182">
      <x:c r="A3182" s="142"/>
    </x:row>
    <x:row r="3183">
      <x:c r="A3183" s="142"/>
    </x:row>
    <x:row r="3184">
      <x:c r="A3184" s="142"/>
    </x:row>
    <x:row r="3185">
      <x:c r="A3185" s="142"/>
    </x:row>
    <x:row r="3186">
      <x:c r="A3186" s="142"/>
    </x:row>
    <x:row r="3187">
      <x:c r="A3187" s="142"/>
    </x:row>
    <x:row r="3188">
      <x:c r="A3188" s="142"/>
    </x:row>
    <x:row r="3189">
      <x:c r="A3189" s="142"/>
    </x:row>
    <x:row r="3190">
      <x:c r="A3190" s="142"/>
    </x:row>
    <x:row r="3191">
      <x:c r="A3191" s="142"/>
    </x:row>
    <x:row r="3192">
      <x:c r="A3192" s="142"/>
    </x:row>
    <x:row r="3193">
      <x:c r="A3193" s="142"/>
    </x:row>
    <x:row r="3194">
      <x:c r="A3194" s="142"/>
    </x:row>
    <x:row r="3195">
      <x:c r="A3195" s="142"/>
    </x:row>
    <x:row r="3196">
      <x:c r="A3196" s="142"/>
    </x:row>
    <x:row r="3197">
      <x:c r="A3197" s="142"/>
    </x:row>
    <x:row r="3198">
      <x:c r="A3198" s="142"/>
    </x:row>
    <x:row r="3199">
      <x:c r="A3199" s="142"/>
    </x:row>
    <x:row r="3200">
      <x:c r="A3200" s="142"/>
    </x:row>
    <x:row r="3201">
      <x:c r="A3201" s="142"/>
    </x:row>
    <x:row r="3202">
      <x:c r="A3202" s="142"/>
    </x:row>
    <x:row r="3203">
      <x:c r="A3203" s="142"/>
    </x:row>
    <x:row r="3204">
      <x:c r="A3204" s="142"/>
    </x:row>
    <x:row r="3205">
      <x:c r="A3205" s="142"/>
    </x:row>
    <x:row r="3206">
      <x:c r="A3206" s="142"/>
    </x:row>
    <x:row r="3207">
      <x:c r="A3207" s="142"/>
    </x:row>
    <x:row r="3208">
      <x:c r="A3208" s="142"/>
    </x:row>
    <x:row r="3209">
      <x:c r="A3209" s="142"/>
    </x:row>
    <x:row r="3210">
      <x:c r="A3210" s="142"/>
    </x:row>
    <x:row r="3211">
      <x:c r="A3211" s="142"/>
    </x:row>
    <x:row r="3212">
      <x:c r="A3212" s="142"/>
    </x:row>
    <x:row r="3213">
      <x:c r="A3213" s="142"/>
    </x:row>
    <x:row r="3214">
      <x:c r="A3214" s="142"/>
    </x:row>
    <x:row r="3215">
      <x:c r="A3215" s="142"/>
    </x:row>
    <x:row r="3216">
      <x:c r="A3216" s="142"/>
    </x:row>
    <x:row r="3217">
      <x:c r="A3217" s="142"/>
    </x:row>
    <x:row r="3218">
      <x:c r="A3218" s="142"/>
    </x:row>
    <x:row r="3219">
      <x:c r="A3219" s="142"/>
    </x:row>
    <x:row r="3220">
      <x:c r="A3220" s="142"/>
    </x:row>
    <x:row r="3221">
      <x:c r="A3221" s="142"/>
    </x:row>
    <x:row r="3222">
      <x:c r="A3222" s="142"/>
    </x:row>
    <x:row r="3223">
      <x:c r="A3223" s="142"/>
    </x:row>
    <x:row r="3224">
      <x:c r="A3224" s="142"/>
    </x:row>
    <x:row r="3225">
      <x:c r="A3225" s="142"/>
    </x:row>
    <x:row r="3226">
      <x:c r="A3226" s="142"/>
    </x:row>
    <x:row r="3227">
      <x:c r="A3227" s="142"/>
    </x:row>
    <x:row r="3228">
      <x:c r="A3228" s="142"/>
    </x:row>
    <x:row r="3229">
      <x:c r="A3229" s="142"/>
    </x:row>
    <x:row r="3230">
      <x:c r="A3230" s="142"/>
    </x:row>
    <x:row r="3231">
      <x:c r="A3231" s="142"/>
    </x:row>
    <x:row r="3232">
      <x:c r="A3232" s="142"/>
    </x:row>
    <x:row r="3233">
      <x:c r="A3233" s="142"/>
    </x:row>
    <x:row r="3234">
      <x:c r="A3234" s="142"/>
    </x:row>
    <x:row r="3235">
      <x:c r="A3235" s="142"/>
    </x:row>
    <x:row r="3236">
      <x:c r="A3236" s="142"/>
    </x:row>
    <x:row r="3237">
      <x:c r="A3237" s="142"/>
    </x:row>
    <x:row r="3238">
      <x:c r="A3238" s="142"/>
    </x:row>
    <x:row r="3239">
      <x:c r="A3239" s="142"/>
    </x:row>
    <x:row r="3240">
      <x:c r="A3240" s="142"/>
    </x:row>
    <x:row r="3241">
      <x:c r="A3241" s="142"/>
    </x:row>
    <x:row r="3242">
      <x:c r="A3242" s="142"/>
    </x:row>
    <x:row r="3243">
      <x:c r="A3243" s="142"/>
    </x:row>
    <x:row r="3244">
      <x:c r="A3244" s="142"/>
    </x:row>
    <x:row r="3245">
      <x:c r="A3245" s="142"/>
    </x:row>
    <x:row r="3246">
      <x:c r="A3246" s="142"/>
    </x:row>
    <x:row r="3247">
      <x:c r="A3247" s="142"/>
    </x:row>
    <x:row r="3248">
      <x:c r="A3248" s="142"/>
    </x:row>
    <x:row r="3249">
      <x:c r="A3249" s="142"/>
    </x:row>
    <x:row r="3250">
      <x:c r="A3250" s="142"/>
    </x:row>
    <x:row r="3251">
      <x:c r="A3251" s="142"/>
    </x:row>
    <x:row r="3252">
      <x:c r="A3252" s="142"/>
    </x:row>
    <x:row r="3253">
      <x:c r="A3253" s="142"/>
    </x:row>
    <x:row r="3254">
      <x:c r="A3254" s="142"/>
    </x:row>
    <x:row r="3255">
      <x:c r="A3255" s="142"/>
    </x:row>
    <x:row r="3256">
      <x:c r="A3256" s="142"/>
    </x:row>
    <x:row r="3257">
      <x:c r="A3257" s="142"/>
    </x:row>
    <x:row r="3258">
      <x:c r="A3258" s="142"/>
    </x:row>
    <x:row r="3259">
      <x:c r="A3259" s="142"/>
    </x:row>
    <x:row r="3260">
      <x:c r="A3260" s="142"/>
    </x:row>
    <x:row r="3261">
      <x:c r="A3261" s="142"/>
    </x:row>
    <x:row r="3262">
      <x:c r="A3262" s="142"/>
    </x:row>
    <x:row r="3263">
      <x:c r="A3263" s="142"/>
    </x:row>
    <x:row r="3264">
      <x:c r="A3264" s="142"/>
    </x:row>
    <x:row r="3265">
      <x:c r="A3265" s="142"/>
    </x:row>
    <x:row r="3266">
      <x:c r="A3266" s="142"/>
    </x:row>
    <x:row r="3267">
      <x:c r="A3267" s="142"/>
    </x:row>
    <x:row r="3268">
      <x:c r="A3268" s="142"/>
    </x:row>
    <x:row r="3269">
      <x:c r="A3269" s="142"/>
    </x:row>
    <x:row r="3270">
      <x:c r="A3270" s="142"/>
    </x:row>
    <x:row r="3271">
      <x:c r="A3271" s="142"/>
    </x:row>
    <x:row r="3272">
      <x:c r="A3272" s="142"/>
    </x:row>
    <x:row r="3273">
      <x:c r="A3273" s="142"/>
    </x:row>
    <x:row r="3274">
      <x:c r="A3274" s="142"/>
    </x:row>
    <x:row r="3275">
      <x:c r="A3275" s="142"/>
    </x:row>
    <x:row r="3276">
      <x:c r="A3276" s="142"/>
    </x:row>
    <x:row r="3277">
      <x:c r="A3277" s="142"/>
    </x:row>
    <x:row r="3278">
      <x:c r="A3278" s="142"/>
    </x:row>
    <x:row r="3279">
      <x:c r="A3279" s="142"/>
    </x:row>
    <x:row r="3280">
      <x:c r="A3280" s="142"/>
    </x:row>
    <x:row r="3281">
      <x:c r="A3281" s="142"/>
    </x:row>
    <x:row r="3282">
      <x:c r="A3282" s="142"/>
    </x:row>
    <x:row r="3283">
      <x:c r="A3283" s="142"/>
    </x:row>
    <x:row r="3284">
      <x:c r="A3284" s="142"/>
    </x:row>
    <x:row r="3285">
      <x:c r="A3285" s="142"/>
    </x:row>
    <x:row r="3286">
      <x:c r="A3286" s="142"/>
    </x:row>
    <x:row r="3287">
      <x:c r="A3287" s="142"/>
    </x:row>
    <x:row r="3288">
      <x:c r="A3288" s="142"/>
    </x:row>
    <x:row r="3289">
      <x:c r="A3289" s="142"/>
    </x:row>
    <x:row r="3290">
      <x:c r="A3290" s="142"/>
    </x:row>
    <x:row r="3291">
      <x:c r="A3291" s="142"/>
    </x:row>
    <x:row r="3292">
      <x:c r="A3292" s="142"/>
    </x:row>
    <x:row r="3293">
      <x:c r="A3293" s="142"/>
    </x:row>
    <x:row r="3294">
      <x:c r="A3294" s="142"/>
    </x:row>
    <x:row r="3295">
      <x:c r="A3295" s="142"/>
    </x:row>
    <x:row r="3296">
      <x:c r="A3296" s="142"/>
    </x:row>
    <x:row r="3297">
      <x:c r="A3297" s="142"/>
    </x:row>
    <x:row r="3298">
      <x:c r="A3298" s="142"/>
    </x:row>
    <x:row r="3299">
      <x:c r="A3299" s="142"/>
    </x:row>
    <x:row r="3300">
      <x:c r="A3300" s="142"/>
    </x:row>
    <x:row r="3301">
      <x:c r="A3301" s="142"/>
    </x:row>
    <x:row r="3302">
      <x:c r="A3302" s="142"/>
    </x:row>
    <x:row r="3303">
      <x:c r="A3303" s="142"/>
    </x:row>
    <x:row r="3304">
      <x:c r="A3304" s="142"/>
    </x:row>
    <x:row r="3305">
      <x:c r="A3305" s="142"/>
    </x:row>
    <x:row r="3306">
      <x:c r="A3306" s="142"/>
    </x:row>
    <x:row r="3307">
      <x:c r="A3307" s="142"/>
    </x:row>
    <x:row r="3308">
      <x:c r="A3308" s="142"/>
    </x:row>
    <x:row r="3309">
      <x:c r="A3309" s="142"/>
    </x:row>
    <x:row r="3310">
      <x:c r="A3310" s="142"/>
    </x:row>
    <x:row r="3311">
      <x:c r="A3311" s="142"/>
    </x:row>
    <x:row r="3312">
      <x:c r="A3312" s="142"/>
    </x:row>
    <x:row r="3313">
      <x:c r="A3313" s="142"/>
    </x:row>
    <x:row r="3314">
      <x:c r="A3314" s="142"/>
    </x:row>
    <x:row r="3315">
      <x:c r="A3315" s="142"/>
    </x:row>
    <x:row r="3316">
      <x:c r="A3316" s="142"/>
    </x:row>
    <x:row r="3317">
      <x:c r="A3317" s="142"/>
    </x:row>
    <x:row r="3318">
      <x:c r="A3318" s="142"/>
    </x:row>
    <x:row r="3319">
      <x:c r="A3319" s="142"/>
    </x:row>
    <x:row r="3320">
      <x:c r="A3320" s="142"/>
    </x:row>
    <x:row r="3321">
      <x:c r="A3321" s="142"/>
    </x:row>
    <x:row r="3322">
      <x:c r="A3322" s="142"/>
    </x:row>
    <x:row r="3323">
      <x:c r="A3323" s="142"/>
    </x:row>
    <x:row r="3324">
      <x:c r="A3324" s="142"/>
    </x:row>
    <x:row r="3325">
      <x:c r="A3325" s="142"/>
    </x:row>
    <x:row r="3326">
      <x:c r="A3326" s="142"/>
    </x:row>
    <x:row r="3327">
      <x:c r="A3327" s="142"/>
    </x:row>
    <x:row r="3328">
      <x:c r="A3328" s="142"/>
    </x:row>
    <x:row r="3329">
      <x:c r="A3329" s="142"/>
    </x:row>
    <x:row r="3330">
      <x:c r="A3330" s="142"/>
    </x:row>
    <x:row r="3331">
      <x:c r="A3331" s="142"/>
    </x:row>
    <x:row r="3332">
      <x:c r="A3332" s="142"/>
    </x:row>
    <x:row r="3333">
      <x:c r="A3333" s="142"/>
    </x:row>
    <x:row r="3334">
      <x:c r="A3334" s="142"/>
    </x:row>
    <x:row r="3335">
      <x:c r="A3335" s="142"/>
    </x:row>
    <x:row r="3336">
      <x:c r="A3336" s="142"/>
    </x:row>
    <x:row r="3337">
      <x:c r="A3337" s="142"/>
    </x:row>
    <x:row r="3338">
      <x:c r="A3338" s="142"/>
    </x:row>
    <x:row r="3339">
      <x:c r="A3339" s="142"/>
    </x:row>
    <x:row r="3340">
      <x:c r="A3340" s="142"/>
    </x:row>
    <x:row r="3341">
      <x:c r="A3341" s="142"/>
    </x:row>
    <x:row r="3342">
      <x:c r="A3342" s="142"/>
    </x:row>
    <x:row r="3343">
      <x:c r="A3343" s="142"/>
    </x:row>
    <x:row r="3344">
      <x:c r="A3344" s="142"/>
    </x:row>
    <x:row r="3345">
      <x:c r="A3345" s="142"/>
    </x:row>
    <x:row r="3346">
      <x:c r="A3346" s="142"/>
    </x:row>
    <x:row r="3347">
      <x:c r="A3347" s="142"/>
    </x:row>
    <x:row r="3348">
      <x:c r="A3348" s="142"/>
    </x:row>
    <x:row r="3349">
      <x:c r="A3349" s="142"/>
    </x:row>
    <x:row r="3350">
      <x:c r="A3350" s="142"/>
    </x:row>
    <x:row r="3351">
      <x:c r="A3351" s="142"/>
    </x:row>
    <x:row r="3352">
      <x:c r="A3352" s="142"/>
    </x:row>
    <x:row r="3353">
      <x:c r="A3353" s="142"/>
    </x:row>
    <x:row r="3354">
      <x:c r="A3354" s="142"/>
    </x:row>
    <x:row r="3355">
      <x:c r="A3355" s="142"/>
    </x:row>
    <x:row r="3356">
      <x:c r="A3356" s="142"/>
    </x:row>
    <x:row r="3357">
      <x:c r="A3357" s="142"/>
    </x:row>
    <x:row r="3358">
      <x:c r="A3358" s="142"/>
    </x:row>
    <x:row r="3359">
      <x:c r="A3359" s="142"/>
    </x:row>
    <x:row r="3360">
      <x:c r="A3360" s="142"/>
    </x:row>
    <x:row r="3361">
      <x:c r="A3361" s="142"/>
    </x:row>
    <x:row r="3362">
      <x:c r="A3362" s="142"/>
    </x:row>
    <x:row r="3363">
      <x:c r="A3363" s="142"/>
    </x:row>
    <x:row r="3364">
      <x:c r="A3364" s="142"/>
    </x:row>
    <x:row r="3365">
      <x:c r="A3365" s="142"/>
    </x:row>
    <x:row r="3366">
      <x:c r="A3366" s="142"/>
    </x:row>
    <x:row r="3367">
      <x:c r="A3367" s="142"/>
    </x:row>
    <x:row r="3368">
      <x:c r="A3368" s="142"/>
    </x:row>
    <x:row r="3369">
      <x:c r="A3369" s="142"/>
    </x:row>
    <x:row r="3370">
      <x:c r="A3370" s="142"/>
    </x:row>
    <x:row r="3371">
      <x:c r="A3371" s="142"/>
    </x:row>
    <x:row r="3372">
      <x:c r="A3372" s="142"/>
    </x:row>
    <x:row r="3373">
      <x:c r="A3373" s="142"/>
    </x:row>
    <x:row r="3374">
      <x:c r="A3374" s="142"/>
    </x:row>
    <x:row r="3375">
      <x:c r="A3375" s="142"/>
    </x:row>
    <x:row r="3376">
      <x:c r="A3376" s="142"/>
    </x:row>
    <x:row r="3377">
      <x:c r="A3377" s="142"/>
    </x:row>
    <x:row r="3378">
      <x:c r="A3378" s="142"/>
    </x:row>
    <x:row r="3379">
      <x:c r="A3379" s="142"/>
    </x:row>
    <x:row r="3380">
      <x:c r="A3380" s="142"/>
    </x:row>
    <x:row r="3381">
      <x:c r="A3381" s="142"/>
    </x:row>
    <x:row r="3382">
      <x:c r="A3382" s="142"/>
    </x:row>
    <x:row r="3383">
      <x:c r="A3383" s="142"/>
    </x:row>
    <x:row r="3384">
      <x:c r="A3384" s="142"/>
    </x:row>
    <x:row r="3385">
      <x:c r="A3385" s="142"/>
    </x:row>
    <x:row r="3386">
      <x:c r="A3386" s="142"/>
    </x:row>
    <x:row r="3387">
      <x:c r="A3387" s="142"/>
    </x:row>
    <x:row r="3388">
      <x:c r="A3388" s="142"/>
    </x:row>
    <x:row r="3389">
      <x:c r="A3389" s="142"/>
    </x:row>
    <x:row r="3390">
      <x:c r="A3390" s="142"/>
    </x:row>
    <x:row r="3391">
      <x:c r="A3391" s="142"/>
    </x:row>
    <x:row r="3392">
      <x:c r="A3392" s="142"/>
    </x:row>
    <x:row r="3393">
      <x:c r="A3393" s="142"/>
    </x:row>
    <x:row r="3394">
      <x:c r="A3394" s="142"/>
    </x:row>
    <x:row r="3395">
      <x:c r="A3395" s="142"/>
    </x:row>
    <x:row r="3396">
      <x:c r="A3396" s="142"/>
    </x:row>
    <x:row r="3397">
      <x:c r="A3397" s="142"/>
    </x:row>
    <x:row r="3398">
      <x:c r="A3398" s="142"/>
    </x:row>
    <x:row r="3399">
      <x:c r="A3399" s="142"/>
    </x:row>
    <x:row r="3400">
      <x:c r="A3400" s="142"/>
    </x:row>
    <x:row r="3401">
      <x:c r="A3401" s="142"/>
    </x:row>
    <x:row r="3402">
      <x:c r="A3402" s="142"/>
    </x:row>
    <x:row r="3403">
      <x:c r="A3403" s="142"/>
    </x:row>
    <x:row r="3404">
      <x:c r="A3404" s="142"/>
    </x:row>
    <x:row r="3405">
      <x:c r="A3405" s="142"/>
    </x:row>
    <x:row r="3406">
      <x:c r="A3406" s="142"/>
    </x:row>
    <x:row r="3407">
      <x:c r="A3407" s="142"/>
    </x:row>
    <x:row r="3408">
      <x:c r="A3408" s="142"/>
    </x:row>
    <x:row r="3409">
      <x:c r="A3409" s="142"/>
    </x:row>
    <x:row r="3410">
      <x:c r="A3410" s="142"/>
    </x:row>
    <x:row r="3411">
      <x:c r="A3411" s="142"/>
    </x:row>
    <x:row r="3412">
      <x:c r="A3412" s="142"/>
    </x:row>
    <x:row r="3413">
      <x:c r="A3413" s="142"/>
    </x:row>
    <x:row r="3414">
      <x:c r="A3414" s="142"/>
    </x:row>
    <x:row r="3415">
      <x:c r="A3415" s="142"/>
    </x:row>
    <x:row r="3416">
      <x:c r="A3416" s="142"/>
    </x:row>
    <x:row r="3417">
      <x:c r="A3417" s="142"/>
    </x:row>
    <x:row r="3418">
      <x:c r="A3418" s="142"/>
    </x:row>
    <x:row r="3419">
      <x:c r="A3419" s="142"/>
    </x:row>
    <x:row r="3420">
      <x:c r="A3420" s="142"/>
    </x:row>
    <x:row r="3421">
      <x:c r="A3421" s="142"/>
    </x:row>
    <x:row r="3422">
      <x:c r="A3422" s="142"/>
    </x:row>
    <x:row r="3423">
      <x:c r="A3423" s="142"/>
    </x:row>
    <x:row r="3424">
      <x:c r="A3424" s="142"/>
    </x:row>
    <x:row r="3425">
      <x:c r="A3425" s="142"/>
    </x:row>
    <x:row r="3426">
      <x:c r="A3426" s="142"/>
    </x:row>
    <x:row r="3427">
      <x:c r="A3427" s="142"/>
    </x:row>
    <x:row r="3428">
      <x:c r="A3428" s="142"/>
    </x:row>
    <x:row r="3429">
      <x:c r="A3429" s="142"/>
    </x:row>
    <x:row r="3430">
      <x:c r="A3430" s="142"/>
    </x:row>
    <x:row r="3431">
      <x:c r="A3431" s="142"/>
    </x:row>
    <x:row r="3432">
      <x:c r="A3432" s="142"/>
    </x:row>
    <x:row r="3433">
      <x:c r="A3433" s="142"/>
    </x:row>
    <x:row r="3434">
      <x:c r="A3434" s="142"/>
    </x:row>
    <x:row r="3435">
      <x:c r="A3435" s="142"/>
    </x:row>
    <x:row r="3436">
      <x:c r="A3436" s="142"/>
    </x:row>
    <x:row r="3437">
      <x:c r="A3437" s="142"/>
    </x:row>
    <x:row r="3438">
      <x:c r="A3438" s="142"/>
    </x:row>
    <x:row r="3439">
      <x:c r="A3439" s="142"/>
    </x:row>
    <x:row r="3440">
      <x:c r="A3440" s="142"/>
    </x:row>
    <x:row r="3441">
      <x:c r="A3441" s="142"/>
    </x:row>
    <x:row r="3442">
      <x:c r="A3442" s="142"/>
    </x:row>
    <x:row r="3443">
      <x:c r="A3443" s="142"/>
    </x:row>
    <x:row r="3444">
      <x:c r="A3444" s="142"/>
    </x:row>
    <x:row r="3445">
      <x:c r="A3445" s="142"/>
    </x:row>
    <x:row r="3446">
      <x:c r="A3446" s="142"/>
    </x:row>
    <x:row r="3447">
      <x:c r="A3447" s="142"/>
    </x:row>
    <x:row r="3448">
      <x:c r="A3448" s="142"/>
    </x:row>
    <x:row r="3449">
      <x:c r="A3449" s="142"/>
    </x:row>
    <x:row r="3450">
      <x:c r="A3450" s="142"/>
    </x:row>
    <x:row r="3451">
      <x:c r="A3451" s="142"/>
    </x:row>
    <x:row r="3452">
      <x:c r="A3452" s="142"/>
    </x:row>
    <x:row r="3453">
      <x:c r="A3453" s="142"/>
    </x:row>
    <x:row r="3454">
      <x:c r="A3454" s="142"/>
    </x:row>
    <x:row r="3455">
      <x:c r="A3455" s="142"/>
    </x:row>
    <x:row r="3456">
      <x:c r="A3456" s="142"/>
    </x:row>
    <x:row r="3457">
      <x:c r="A3457" s="142"/>
    </x:row>
    <x:row r="3458">
      <x:c r="A3458" s="142"/>
    </x:row>
    <x:row r="3459">
      <x:c r="A3459" s="142"/>
    </x:row>
    <x:row r="3460">
      <x:c r="A3460" s="142"/>
    </x:row>
    <x:row r="3461">
      <x:c r="A3461" s="142"/>
    </x:row>
    <x:row r="3462">
      <x:c r="A3462" s="142"/>
    </x:row>
    <x:row r="3463">
      <x:c r="A3463" s="142"/>
    </x:row>
    <x:row r="3464">
      <x:c r="A3464" s="142"/>
    </x:row>
    <x:row r="3465">
      <x:c r="A3465" s="142"/>
    </x:row>
    <x:row r="3466">
      <x:c r="A3466" s="142"/>
    </x:row>
    <x:row r="3467">
      <x:c r="A3467" s="142"/>
    </x:row>
    <x:row r="3468">
      <x:c r="A3468" s="142"/>
    </x:row>
    <x:row r="3469">
      <x:c r="A3469" s="142"/>
    </x:row>
    <x:row r="3470">
      <x:c r="A3470" s="142"/>
    </x:row>
    <x:row r="3471">
      <x:c r="A3471" s="142"/>
    </x:row>
    <x:row r="3472">
      <x:c r="A3472" s="142"/>
    </x:row>
    <x:row r="3473">
      <x:c r="A3473" s="142"/>
    </x:row>
    <x:row r="3474">
      <x:c r="A3474" s="142"/>
    </x:row>
    <x:row r="3475">
      <x:c r="A3475" s="142"/>
    </x:row>
    <x:row r="3476">
      <x:c r="A3476" s="142"/>
    </x:row>
    <x:row r="3477">
      <x:c r="A3477" s="142"/>
    </x:row>
    <x:row r="3478">
      <x:c r="A3478" s="142"/>
    </x:row>
    <x:row r="3479">
      <x:c r="A3479" s="142"/>
    </x:row>
    <x:row r="3480">
      <x:c r="A3480" s="142"/>
    </x:row>
    <x:row r="3481">
      <x:c r="A3481" s="142"/>
    </x:row>
    <x:row r="3482">
      <x:c r="A3482" s="142"/>
    </x:row>
    <x:row r="3483">
      <x:c r="A3483" s="142"/>
    </x:row>
    <x:row r="3484">
      <x:c r="A3484" s="142"/>
    </x:row>
    <x:row r="3485">
      <x:c r="A3485" s="142"/>
    </x:row>
    <x:row r="3486">
      <x:c r="A3486" s="142"/>
    </x:row>
    <x:row r="3487">
      <x:c r="A3487" s="142"/>
    </x:row>
    <x:row r="3488">
      <x:c r="A3488" s="142"/>
    </x:row>
    <x:row r="3489">
      <x:c r="A3489" s="142"/>
    </x:row>
    <x:row r="3490">
      <x:c r="A3490" s="142"/>
    </x:row>
    <x:row r="3491">
      <x:c r="A3491" s="142"/>
    </x:row>
    <x:row r="3492">
      <x:c r="A3492" s="142"/>
    </x:row>
    <x:row r="3493">
      <x:c r="A3493" s="142"/>
    </x:row>
    <x:row r="3494">
      <x:c r="A3494" s="142"/>
    </x:row>
    <x:row r="3495">
      <x:c r="A3495" s="142"/>
    </x:row>
    <x:row r="3496">
      <x:c r="A3496" s="142"/>
    </x:row>
    <x:row r="3497">
      <x:c r="A3497" s="142"/>
    </x:row>
    <x:row r="3498">
      <x:c r="A3498" s="142"/>
    </x:row>
    <x:row r="3499">
      <x:c r="A3499" s="142"/>
    </x:row>
    <x:row r="3500">
      <x:c r="A3500" s="142"/>
    </x:row>
    <x:row r="3501">
      <x:c r="A3501" s="142"/>
    </x:row>
    <x:row r="3502">
      <x:c r="A3502" s="142"/>
    </x:row>
    <x:row r="3503">
      <x:c r="A3503" s="142"/>
    </x:row>
    <x:row r="3504">
      <x:c r="A3504" s="142"/>
    </x:row>
    <x:row r="3505">
      <x:c r="A3505" s="142"/>
    </x:row>
    <x:row r="3506">
      <x:c r="A3506" s="142"/>
    </x:row>
    <x:row r="3507">
      <x:c r="A3507" s="142"/>
    </x:row>
    <x:row r="3508">
      <x:c r="A3508" s="142"/>
    </x:row>
    <x:row r="3509">
      <x:c r="A3509" s="142"/>
    </x:row>
    <x:row r="3510">
      <x:c r="A3510" s="142"/>
    </x:row>
    <x:row r="3511">
      <x:c r="A3511" s="142"/>
    </x:row>
    <x:row r="3512">
      <x:c r="A3512" s="142"/>
    </x:row>
    <x:row r="3513">
      <x:c r="A3513" s="142"/>
    </x:row>
    <x:row r="3514">
      <x:c r="A3514" s="142"/>
    </x:row>
    <x:row r="3515">
      <x:c r="A3515" s="142"/>
    </x:row>
    <x:row r="3516">
      <x:c r="A3516" s="142"/>
    </x:row>
    <x:row r="3517">
      <x:c r="A3517" s="142"/>
    </x:row>
    <x:row r="3518">
      <x:c r="A3518" s="142"/>
    </x:row>
    <x:row r="3519">
      <x:c r="A3519" s="142"/>
    </x:row>
    <x:row r="3520">
      <x:c r="A3520" s="142"/>
    </x:row>
    <x:row r="3521">
      <x:c r="A3521" s="142"/>
    </x:row>
    <x:row r="3522">
      <x:c r="A3522" s="142"/>
    </x:row>
    <x:row r="3523">
      <x:c r="A3523" s="142"/>
    </x:row>
    <x:row r="3524">
      <x:c r="A3524" s="142"/>
    </x:row>
    <x:row r="3525">
      <x:c r="A3525" s="142"/>
    </x:row>
    <x:row r="3526">
      <x:c r="A3526" s="142"/>
    </x:row>
    <x:row r="3527">
      <x:c r="A3527" s="142"/>
    </x:row>
    <x:row r="3528">
      <x:c r="A3528" s="142"/>
    </x:row>
    <x:row r="3529">
      <x:c r="A3529" s="142"/>
    </x:row>
    <x:row r="3530">
      <x:c r="A3530" s="142"/>
    </x:row>
    <x:row r="3531">
      <x:c r="A3531" s="142"/>
    </x:row>
    <x:row r="3532">
      <x:c r="A3532" s="142"/>
    </x:row>
    <x:row r="3533">
      <x:c r="A3533" s="142"/>
    </x:row>
    <x:row r="3534">
      <x:c r="A3534" s="142"/>
    </x:row>
    <x:row r="3535">
      <x:c r="A3535" s="142"/>
    </x:row>
    <x:row r="3536">
      <x:c r="A3536" s="142"/>
    </x:row>
    <x:row r="3537">
      <x:c r="A3537" s="142"/>
    </x:row>
    <x:row r="3538">
      <x:c r="A3538" s="142"/>
    </x:row>
    <x:row r="3539">
      <x:c r="A3539" s="142"/>
    </x:row>
    <x:row r="3540">
      <x:c r="A3540" s="142"/>
    </x:row>
    <x:row r="3541">
      <x:c r="A3541" s="142"/>
    </x:row>
    <x:row r="3542">
      <x:c r="A3542" s="142"/>
    </x:row>
    <x:row r="3543">
      <x:c r="A3543" s="142"/>
    </x:row>
    <x:row r="3544">
      <x:c r="A3544" s="142"/>
    </x:row>
    <x:row r="3545">
      <x:c r="A3545" s="142"/>
    </x:row>
    <x:row r="3546">
      <x:c r="A3546" s="142"/>
    </x:row>
    <x:row r="3547">
      <x:c r="A3547" s="142"/>
    </x:row>
    <x:row r="3548">
      <x:c r="A3548" s="142"/>
    </x:row>
    <x:row r="3549">
      <x:c r="A3549" s="142"/>
    </x:row>
    <x:row r="3550">
      <x:c r="A3550" s="142"/>
    </x:row>
    <x:row r="3551">
      <x:c r="A3551" s="142"/>
    </x:row>
    <x:row r="3552">
      <x:c r="A3552" s="142"/>
    </x:row>
    <x:row r="3553">
      <x:c r="A3553" s="142"/>
    </x:row>
    <x:row r="3554">
      <x:c r="A3554" s="142"/>
    </x:row>
    <x:row r="3555">
      <x:c r="A3555" s="142"/>
    </x:row>
    <x:row r="3556">
      <x:c r="A3556" s="142"/>
    </x:row>
    <x:row r="3557">
      <x:c r="A3557" s="142"/>
    </x:row>
    <x:row r="3558">
      <x:c r="A3558" s="142"/>
    </x:row>
    <x:row r="3559">
      <x:c r="A3559" s="142"/>
    </x:row>
    <x:row r="3560">
      <x:c r="A3560" s="142"/>
    </x:row>
    <x:row r="3561">
      <x:c r="A3561" s="142"/>
    </x:row>
    <x:row r="3562">
      <x:c r="A3562" s="142"/>
    </x:row>
    <x:row r="3563">
      <x:c r="A3563" s="142"/>
    </x:row>
    <x:row r="3564">
      <x:c r="A3564" s="142"/>
    </x:row>
    <x:row r="3565">
      <x:c r="A3565" s="142"/>
    </x:row>
    <x:row r="3566">
      <x:c r="A3566" s="142"/>
    </x:row>
    <x:row r="3567">
      <x:c r="A3567" s="142"/>
    </x:row>
    <x:row r="3568">
      <x:c r="A3568" s="142"/>
    </x:row>
    <x:row r="3569">
      <x:c r="A3569" s="142"/>
    </x:row>
    <x:row r="3570">
      <x:c r="A3570" s="142"/>
    </x:row>
    <x:row r="3571">
      <x:c r="A3571" s="142"/>
    </x:row>
    <x:row r="3572">
      <x:c r="A3572" s="142"/>
    </x:row>
    <x:row r="3573">
      <x:c r="A3573" s="142"/>
    </x:row>
    <x:row r="3574">
      <x:c r="A3574" s="142"/>
    </x:row>
    <x:row r="3575">
      <x:c r="A3575" s="142"/>
    </x:row>
    <x:row r="3576">
      <x:c r="A3576" s="142"/>
    </x:row>
    <x:row r="3577">
      <x:c r="A3577" s="142"/>
    </x:row>
    <x:row r="3578">
      <x:c r="A3578" s="142"/>
    </x:row>
    <x:row r="3579">
      <x:c r="A3579" s="142"/>
    </x:row>
    <x:row r="3580">
      <x:c r="A3580" s="142"/>
    </x:row>
    <x:row r="3581">
      <x:c r="A3581" s="142"/>
    </x:row>
    <x:row r="3582">
      <x:c r="A3582" s="142"/>
    </x:row>
    <x:row r="3583">
      <x:c r="A3583" s="142"/>
    </x:row>
    <x:row r="3584">
      <x:c r="A3584" s="142"/>
    </x:row>
    <x:row r="3585">
      <x:c r="A3585" s="142"/>
    </x:row>
    <x:row r="3586">
      <x:c r="A3586" s="142"/>
    </x:row>
    <x:row r="3587">
      <x:c r="A3587" s="142"/>
    </x:row>
    <x:row r="3588">
      <x:c r="A3588" s="142"/>
    </x:row>
    <x:row r="3589">
      <x:c r="A3589" s="142"/>
    </x:row>
    <x:row r="3590">
      <x:c r="A3590" s="142"/>
    </x:row>
    <x:row r="3591">
      <x:c r="A3591" s="142"/>
    </x:row>
    <x:row r="3592">
      <x:c r="A3592" s="142"/>
    </x:row>
    <x:row r="3593">
      <x:c r="A3593" s="142"/>
    </x:row>
    <x:row r="3594">
      <x:c r="A3594" s="142"/>
    </x:row>
    <x:row r="3595">
      <x:c r="A3595" s="142"/>
    </x:row>
    <x:row r="3596">
      <x:c r="A3596" s="142"/>
    </x:row>
    <x:row r="3597">
      <x:c r="A3597" s="142"/>
    </x:row>
    <x:row r="3598">
      <x:c r="A3598" s="142"/>
    </x:row>
    <x:row r="3599">
      <x:c r="A3599" s="142"/>
    </x:row>
    <x:row r="3600">
      <x:c r="A3600" s="142"/>
    </x:row>
    <x:row r="3601">
      <x:c r="A3601" s="142"/>
    </x:row>
    <x:row r="3602">
      <x:c r="A3602" s="142"/>
    </x:row>
    <x:row r="3603">
      <x:c r="A3603" s="142"/>
    </x:row>
    <x:row r="3604">
      <x:c r="A3604" s="142"/>
    </x:row>
    <x:row r="3605">
      <x:c r="A3605" s="142"/>
    </x:row>
    <x:row r="3606">
      <x:c r="A3606" s="142"/>
    </x:row>
    <x:row r="3607">
      <x:c r="A3607" s="142"/>
    </x:row>
    <x:row r="3608">
      <x:c r="A3608" s="142"/>
    </x:row>
    <x:row r="3609">
      <x:c r="A3609" s="142"/>
    </x:row>
    <x:row r="3610">
      <x:c r="A3610" s="142"/>
    </x:row>
    <x:row r="3611">
      <x:c r="A3611" s="142"/>
    </x:row>
    <x:row r="3612">
      <x:c r="A3612" s="142"/>
    </x:row>
    <x:row r="3613">
      <x:c r="A3613" s="142"/>
    </x:row>
    <x:row r="3614">
      <x:c r="A3614" s="142"/>
    </x:row>
    <x:row r="3615">
      <x:c r="A3615" s="142"/>
    </x:row>
    <x:row r="3616">
      <x:c r="A3616" s="142"/>
    </x:row>
    <x:row r="3617">
      <x:c r="A3617" s="142"/>
    </x:row>
    <x:row r="3618">
      <x:c r="A3618" s="142"/>
    </x:row>
    <x:row r="3619">
      <x:c r="A3619" s="142"/>
    </x:row>
    <x:row r="3620">
      <x:c r="A3620" s="142"/>
    </x:row>
    <x:row r="3621">
      <x:c r="A3621" s="142"/>
    </x:row>
    <x:row r="3622">
      <x:c r="A3622" s="142"/>
    </x:row>
    <x:row r="3623">
      <x:c r="A3623" s="142"/>
    </x:row>
    <x:row r="3624">
      <x:c r="A3624" s="142"/>
    </x:row>
    <x:row r="3625">
      <x:c r="A3625" s="142"/>
    </x:row>
    <x:row r="3626">
      <x:c r="A3626" s="142"/>
    </x:row>
    <x:row r="3627">
      <x:c r="A3627" s="142"/>
    </x:row>
    <x:row r="3628">
      <x:c r="A3628" s="142"/>
    </x:row>
    <x:row r="3629">
      <x:c r="A3629" s="142"/>
    </x:row>
    <x:row r="3630">
      <x:c r="A3630" s="142"/>
    </x:row>
    <x:row r="3631">
      <x:c r="A3631" s="142"/>
    </x:row>
    <x:row r="3632">
      <x:c r="A3632" s="142"/>
    </x:row>
    <x:row r="3633">
      <x:c r="A3633" s="142"/>
    </x:row>
    <x:row r="3634">
      <x:c r="A3634" s="142"/>
    </x:row>
    <x:row r="3635">
      <x:c r="A3635" s="142"/>
    </x:row>
    <x:row r="3636">
      <x:c r="A3636" s="142"/>
    </x:row>
    <x:row r="3637">
      <x:c r="A3637" s="142"/>
    </x:row>
    <x:row r="3638">
      <x:c r="A3638" s="142"/>
    </x:row>
    <x:row r="3639">
      <x:c r="A3639" s="142"/>
    </x:row>
    <x:row r="3640">
      <x:c r="A3640" s="142"/>
    </x:row>
    <x:row r="3641">
      <x:c r="A3641" s="142"/>
    </x:row>
    <x:row r="3642">
      <x:c r="A3642" s="142"/>
    </x:row>
    <x:row r="3643">
      <x:c r="A3643" s="142"/>
    </x:row>
    <x:row r="3644">
      <x:c r="A3644" s="142"/>
    </x:row>
    <x:row r="3645">
      <x:c r="A3645" s="142"/>
    </x:row>
    <x:row r="3646">
      <x:c r="A3646" s="142"/>
    </x:row>
    <x:row r="3647">
      <x:c r="A3647" s="142"/>
    </x:row>
    <x:row r="3648">
      <x:c r="A3648" s="142"/>
    </x:row>
    <x:row r="3649">
      <x:c r="A3649" s="142"/>
    </x:row>
    <x:row r="3650">
      <x:c r="A3650" s="142"/>
    </x:row>
    <x:row r="3651">
      <x:c r="A3651" s="142"/>
    </x:row>
    <x:row r="3652">
      <x:c r="A3652" s="142"/>
    </x:row>
    <x:row r="3653">
      <x:c r="A3653" s="142"/>
    </x:row>
    <x:row r="3654">
      <x:c r="A3654" s="142"/>
    </x:row>
    <x:row r="3655">
      <x:c r="A3655" s="142"/>
    </x:row>
    <x:row r="3656">
      <x:c r="A3656" s="142"/>
    </x:row>
    <x:row r="3657">
      <x:c r="A3657" s="142"/>
    </x:row>
    <x:row r="3658">
      <x:c r="A3658" s="142"/>
    </x:row>
    <x:row r="3659">
      <x:c r="A3659" s="142"/>
    </x:row>
    <x:row r="3660">
      <x:c r="A3660" s="142"/>
    </x:row>
    <x:row r="3661">
      <x:c r="A3661" s="142"/>
    </x:row>
    <x:row r="3662">
      <x:c r="A3662" s="142"/>
    </x:row>
    <x:row r="3663">
      <x:c r="A3663" s="142"/>
    </x:row>
    <x:row r="3664">
      <x:c r="A3664" s="142"/>
    </x:row>
    <x:row r="3665">
      <x:c r="A3665" s="142"/>
    </x:row>
    <x:row r="3666">
      <x:c r="A3666" s="142"/>
    </x:row>
    <x:row r="3667">
      <x:c r="A3667" s="142"/>
    </x:row>
    <x:row r="3668">
      <x:c r="A3668" s="142"/>
    </x:row>
    <x:row r="3669">
      <x:c r="A3669" s="142"/>
    </x:row>
    <x:row r="3670">
      <x:c r="A3670" s="142"/>
    </x:row>
    <x:row r="3671">
      <x:c r="A3671" s="142"/>
    </x:row>
    <x:row r="3672">
      <x:c r="A3672" s="142"/>
    </x:row>
    <x:row r="3673">
      <x:c r="A3673" s="142"/>
    </x:row>
    <x:row r="3674">
      <x:c r="A3674" s="142"/>
    </x:row>
    <x:row r="3675">
      <x:c r="A3675" s="142"/>
    </x:row>
    <x:row r="3676">
      <x:c r="A3676" s="142"/>
    </x:row>
    <x:row r="3677">
      <x:c r="A3677" s="142"/>
    </x:row>
    <x:row r="3678">
      <x:c r="A3678" s="142"/>
    </x:row>
    <x:row r="3679">
      <x:c r="A3679" s="142"/>
    </x:row>
    <x:row r="3680">
      <x:c r="A3680" s="142"/>
    </x:row>
    <x:row r="3681">
      <x:c r="A3681" s="142"/>
    </x:row>
    <x:row r="3682">
      <x:c r="A3682" s="142"/>
    </x:row>
    <x:row r="3683">
      <x:c r="A3683" s="142"/>
    </x:row>
    <x:row r="3684">
      <x:c r="A3684" s="142"/>
    </x:row>
    <x:row r="3685">
      <x:c r="A3685" s="142"/>
    </x:row>
    <x:row r="3686">
      <x:c r="A3686" s="142"/>
    </x:row>
    <x:row r="3687">
      <x:c r="A3687" s="142"/>
    </x:row>
    <x:row r="3688">
      <x:c r="A3688" s="142"/>
    </x:row>
    <x:row r="3689">
      <x:c r="A3689" s="142"/>
    </x:row>
    <x:row r="3690">
      <x:c r="A3690" s="142"/>
    </x:row>
    <x:row r="3691">
      <x:c r="A3691" s="142"/>
    </x:row>
    <x:row r="3692">
      <x:c r="A3692" s="142"/>
    </x:row>
    <x:row r="3693">
      <x:c r="A3693" s="142"/>
    </x:row>
    <x:row r="3694">
      <x:c r="A3694" s="142"/>
    </x:row>
    <x:row r="3695">
      <x:c r="A3695" s="142"/>
    </x:row>
    <x:row r="3696">
      <x:c r="A3696" s="142"/>
    </x:row>
    <x:row r="3697">
      <x:c r="A3697" s="142"/>
    </x:row>
    <x:row r="3698">
      <x:c r="A3698" s="142"/>
    </x:row>
    <x:row r="3699">
      <x:c r="A3699" s="142"/>
    </x:row>
    <x:row r="3700">
      <x:c r="A3700" s="142"/>
    </x:row>
    <x:row r="3701">
      <x:c r="A3701" s="142"/>
    </x:row>
    <x:row r="3702">
      <x:c r="A3702" s="142"/>
    </x:row>
    <x:row r="3703">
      <x:c r="A3703" s="142"/>
    </x:row>
    <x:row r="3704">
      <x:c r="A3704" s="142"/>
    </x:row>
    <x:row r="3705">
      <x:c r="A3705" s="142"/>
    </x:row>
    <x:row r="3706">
      <x:c r="A3706" s="142"/>
    </x:row>
    <x:row r="3707">
      <x:c r="A3707" s="142"/>
    </x:row>
    <x:row r="3708">
      <x:c r="A3708" s="142"/>
    </x:row>
    <x:row r="3709">
      <x:c r="A3709" s="142"/>
    </x:row>
    <x:row r="3710">
      <x:c r="A3710" s="142"/>
    </x:row>
    <x:row r="3711">
      <x:c r="A3711" s="142"/>
    </x:row>
    <x:row r="3712">
      <x:c r="A3712" s="142"/>
    </x:row>
    <x:row r="3713">
      <x:c r="A3713" s="142"/>
    </x:row>
    <x:row r="3714">
      <x:c r="A3714" s="142"/>
    </x:row>
    <x:row r="3715">
      <x:c r="A3715" s="142"/>
    </x:row>
    <x:row r="3716">
      <x:c r="A3716" s="142"/>
    </x:row>
    <x:row r="3717">
      <x:c r="A3717" s="142"/>
    </x:row>
    <x:row r="3718">
      <x:c r="A3718" s="142"/>
    </x:row>
    <x:row r="3719">
      <x:c r="A3719" s="142"/>
    </x:row>
    <x:row r="3720">
      <x:c r="A3720" s="142"/>
    </x:row>
    <x:row r="3721">
      <x:c r="A3721" s="142"/>
    </x:row>
    <x:row r="3722">
      <x:c r="A3722" s="142"/>
    </x:row>
    <x:row r="3723">
      <x:c r="A3723" s="142"/>
    </x:row>
    <x:row r="3724">
      <x:c r="A3724" s="142"/>
    </x:row>
    <x:row r="3725">
      <x:c r="A3725" s="142"/>
    </x:row>
    <x:row r="3726">
      <x:c r="A3726" s="142"/>
    </x:row>
    <x:row r="3727">
      <x:c r="A3727" s="142"/>
    </x:row>
    <x:row r="3728">
      <x:c r="A3728" s="142"/>
    </x:row>
    <x:row r="3729">
      <x:c r="A3729" s="142"/>
    </x:row>
    <x:row r="3730">
      <x:c r="A3730" s="142"/>
    </x:row>
    <x:row r="3731">
      <x:c r="A3731" s="142"/>
    </x:row>
    <x:row r="3732">
      <x:c r="A3732" s="142"/>
    </x:row>
    <x:row r="3733">
      <x:c r="A3733" s="142"/>
    </x:row>
    <x:row r="3734">
      <x:c r="A3734" s="142"/>
    </x:row>
    <x:row r="3735">
      <x:c r="A3735" s="142"/>
    </x:row>
    <x:row r="3736">
      <x:c r="A3736" s="142"/>
    </x:row>
    <x:row r="3737">
      <x:c r="A3737" s="142"/>
    </x:row>
    <x:row r="3738">
      <x:c r="A3738" s="142"/>
    </x:row>
    <x:row r="3739">
      <x:c r="A3739" s="142"/>
    </x:row>
    <x:row r="3740">
      <x:c r="A3740" s="142"/>
    </x:row>
    <x:row r="3741">
      <x:c r="A3741" s="142"/>
    </x:row>
    <x:row r="3742">
      <x:c r="A3742" s="142"/>
    </x:row>
    <x:row r="3743">
      <x:c r="A3743" s="142"/>
    </x:row>
    <x:row r="3744">
      <x:c r="A3744" s="142"/>
    </x:row>
    <x:row r="3745">
      <x:c r="A3745" s="142"/>
    </x:row>
    <x:row r="3746">
      <x:c r="A3746" s="142"/>
    </x:row>
    <x:row r="3747">
      <x:c r="A3747" s="142"/>
    </x:row>
    <x:row r="3748">
      <x:c r="A3748" s="142"/>
    </x:row>
    <x:row r="3749">
      <x:c r="A3749" s="142"/>
    </x:row>
    <x:row r="3750">
      <x:c r="A3750" s="142"/>
    </x:row>
    <x:row r="3751">
      <x:c r="A3751" s="142"/>
    </x:row>
    <x:row r="3752">
      <x:c r="A3752" s="142"/>
    </x:row>
    <x:row r="3753">
      <x:c r="A3753" s="142"/>
    </x:row>
    <x:row r="3754">
      <x:c r="A3754" s="142"/>
    </x:row>
    <x:row r="3755">
      <x:c r="A3755" s="142"/>
    </x:row>
    <x:row r="3756">
      <x:c r="A3756" s="142"/>
    </x:row>
    <x:row r="3757">
      <x:c r="A3757" s="142"/>
    </x:row>
    <x:row r="3758">
      <x:c r="A3758" s="142"/>
    </x:row>
    <x:row r="3759">
      <x:c r="A3759" s="142"/>
    </x:row>
    <x:row r="3760">
      <x:c r="A3760" s="142"/>
    </x:row>
    <x:row r="3761">
      <x:c r="A3761" s="142"/>
    </x:row>
    <x:row r="3762">
      <x:c r="A3762" s="142"/>
    </x:row>
    <x:row r="3763">
      <x:c r="A3763" s="142"/>
    </x:row>
    <x:row r="3764">
      <x:c r="A3764" s="142"/>
    </x:row>
    <x:row r="3765">
      <x:c r="A3765" s="142"/>
    </x:row>
    <x:row r="3766">
      <x:c r="A3766" s="142"/>
    </x:row>
    <x:row r="3767">
      <x:c r="A3767" s="142"/>
    </x:row>
    <x:row r="3768">
      <x:c r="A3768" s="142"/>
    </x:row>
    <x:row r="3769">
      <x:c r="A3769" s="142"/>
    </x:row>
    <x:row r="3770">
      <x:c r="A3770" s="142"/>
    </x:row>
    <x:row r="3771">
      <x:c r="A3771" s="142"/>
    </x:row>
    <x:row r="3772">
      <x:c r="A3772" s="142"/>
    </x:row>
    <x:row r="3773">
      <x:c r="A3773" s="142"/>
    </x:row>
    <x:row r="3774">
      <x:c r="A3774" s="142"/>
    </x:row>
    <x:row r="3775">
      <x:c r="A3775" s="142"/>
    </x:row>
    <x:row r="3776">
      <x:c r="A3776" s="142"/>
    </x:row>
    <x:row r="3777">
      <x:c r="A3777" s="142"/>
    </x:row>
    <x:row r="3778">
      <x:c r="A3778" s="142"/>
    </x:row>
    <x:row r="3779">
      <x:c r="A3779" s="142"/>
    </x:row>
    <x:row r="3780">
      <x:c r="A3780" s="142"/>
    </x:row>
    <x:row r="3781">
      <x:c r="A3781" s="142"/>
    </x:row>
    <x:row r="3782">
      <x:c r="A3782" s="142"/>
    </x:row>
    <x:row r="3783">
      <x:c r="A3783" s="142"/>
    </x:row>
    <x:row r="3784">
      <x:c r="A3784" s="142"/>
    </x:row>
    <x:row r="3785">
      <x:c r="A3785" s="142"/>
    </x:row>
    <x:row r="3786">
      <x:c r="A3786" s="142"/>
    </x:row>
    <x:row r="3787">
      <x:c r="A3787" s="142"/>
    </x:row>
    <x:row r="3788">
      <x:c r="A3788" s="142"/>
    </x:row>
    <x:row r="3789">
      <x:c r="A3789" s="142"/>
    </x:row>
    <x:row r="3790">
      <x:c r="A3790" s="142"/>
    </x:row>
    <x:row r="3791">
      <x:c r="A3791" s="142"/>
    </x:row>
    <x:row r="3792">
      <x:c r="A3792" s="142"/>
    </x:row>
    <x:row r="3793">
      <x:c r="A3793" s="142"/>
    </x:row>
    <x:row r="3794">
      <x:c r="A3794" s="142"/>
    </x:row>
    <x:row r="3795">
      <x:c r="A3795" s="142"/>
    </x:row>
    <x:row r="3796">
      <x:c r="A3796" s="142"/>
    </x:row>
    <x:row r="3797">
      <x:c r="A3797" s="142"/>
    </x:row>
    <x:row r="3798">
      <x:c r="A3798" s="142"/>
    </x:row>
    <x:row r="3799">
      <x:c r="A3799" s="142"/>
    </x:row>
    <x:row r="3800">
      <x:c r="A3800" s="142"/>
    </x:row>
    <x:row r="3801">
      <x:c r="A3801" s="142"/>
    </x:row>
    <x:row r="3802">
      <x:c r="A3802" s="142"/>
    </x:row>
    <x:row r="3803">
      <x:c r="A3803" s="142"/>
    </x:row>
    <x:row r="3804">
      <x:c r="A3804" s="142"/>
    </x:row>
    <x:row r="3805">
      <x:c r="A3805" s="142"/>
    </x:row>
    <x:row r="3806">
      <x:c r="A3806" s="142"/>
    </x:row>
    <x:row r="3807">
      <x:c r="A3807" s="142"/>
    </x:row>
    <x:row r="3808">
      <x:c r="A3808" s="142"/>
    </x:row>
    <x:row r="3809">
      <x:c r="A3809" s="142"/>
    </x:row>
    <x:row r="3810">
      <x:c r="A3810" s="142"/>
    </x:row>
    <x:row r="3811">
      <x:c r="A3811" s="142"/>
    </x:row>
    <x:row r="3812">
      <x:c r="A3812" s="142"/>
    </x:row>
    <x:row r="3813">
      <x:c r="A3813" s="142"/>
    </x:row>
    <x:row r="3814">
      <x:c r="A3814" s="142"/>
    </x:row>
    <x:row r="3815">
      <x:c r="A3815" s="142"/>
    </x:row>
    <x:row r="3816">
      <x:c r="A3816" s="142"/>
    </x:row>
    <x:row r="3817">
      <x:c r="A3817" s="142"/>
    </x:row>
    <x:row r="3818">
      <x:c r="A3818" s="142"/>
    </x:row>
    <x:row r="3819">
      <x:c r="A3819" s="142"/>
    </x:row>
    <x:row r="3820">
      <x:c r="A3820" s="142"/>
    </x:row>
    <x:row r="3821">
      <x:c r="A3821" s="142"/>
    </x:row>
    <x:row r="3822">
      <x:c r="A3822" s="142"/>
    </x:row>
    <x:row r="3823">
      <x:c r="A3823" s="142"/>
    </x:row>
    <x:row r="3824">
      <x:c r="A3824" s="142"/>
    </x:row>
    <x:row r="3825">
      <x:c r="A3825" s="142"/>
    </x:row>
    <x:row r="3826">
      <x:c r="A3826" s="142"/>
    </x:row>
    <x:row r="3827">
      <x:c r="A3827" s="142"/>
    </x:row>
    <x:row r="3828">
      <x:c r="A3828" s="142"/>
    </x:row>
    <x:row r="3829">
      <x:c r="A3829" s="142"/>
    </x:row>
    <x:row r="3830">
      <x:c r="A3830" s="142"/>
    </x:row>
    <x:row r="3831">
      <x:c r="A3831" s="142"/>
    </x:row>
    <x:row r="3832">
      <x:c r="A3832" s="142"/>
    </x:row>
    <x:row r="3833">
      <x:c r="A3833" s="142"/>
    </x:row>
    <x:row r="3834">
      <x:c r="A3834" s="142"/>
    </x:row>
    <x:row r="3835">
      <x:c r="A3835" s="142"/>
    </x:row>
    <x:row r="3836">
      <x:c r="A3836" s="142"/>
    </x:row>
    <x:row r="3837">
      <x:c r="A3837" s="142"/>
    </x:row>
    <x:row r="3838">
      <x:c r="A3838" s="142"/>
    </x:row>
    <x:row r="3839">
      <x:c r="A3839" s="142"/>
    </x:row>
    <x:row r="3840">
      <x:c r="A3840" s="142"/>
    </x:row>
    <x:row r="3841">
      <x:c r="A3841" s="142"/>
    </x:row>
    <x:row r="3842">
      <x:c r="A3842" s="142"/>
    </x:row>
    <x:row r="3843">
      <x:c r="A3843" s="142"/>
    </x:row>
    <x:row r="3844">
      <x:c r="A3844" s="142"/>
    </x:row>
    <x:row r="3845">
      <x:c r="A3845" s="142"/>
    </x:row>
    <x:row r="3846">
      <x:c r="A3846" s="142"/>
    </x:row>
    <x:row r="3847">
      <x:c r="A3847" s="142"/>
    </x:row>
    <x:row r="3848">
      <x:c r="A3848" s="142"/>
    </x:row>
    <x:row r="3849">
      <x:c r="A3849" s="142"/>
    </x:row>
    <x:row r="3850">
      <x:c r="A3850" s="142"/>
    </x:row>
    <x:row r="3851">
      <x:c r="A3851" s="142"/>
    </x:row>
    <x:row r="3852">
      <x:c r="A3852" s="142"/>
    </x:row>
    <x:row r="3853">
      <x:c r="A3853" s="142"/>
    </x:row>
    <x:row r="3854">
      <x:c r="A3854" s="142"/>
    </x:row>
    <x:row r="3855">
      <x:c r="A3855" s="142"/>
    </x:row>
    <x:row r="3856">
      <x:c r="A3856" s="142"/>
    </x:row>
    <x:row r="3857">
      <x:c r="A3857" s="142"/>
    </x:row>
    <x:row r="3858">
      <x:c r="A3858" s="142"/>
    </x:row>
    <x:row r="3859">
      <x:c r="A3859" s="142"/>
    </x:row>
    <x:row r="3860">
      <x:c r="A3860" s="142"/>
    </x:row>
    <x:row r="3861">
      <x:c r="A3861" s="142"/>
    </x:row>
    <x:row r="3862">
      <x:c r="A3862" s="142"/>
    </x:row>
    <x:row r="3863">
      <x:c r="A3863" s="142"/>
    </x:row>
    <x:row r="3864">
      <x:c r="A3864" s="142"/>
    </x:row>
    <x:row r="3865">
      <x:c r="A3865" s="142"/>
    </x:row>
    <x:row r="3866">
      <x:c r="A3866" s="142"/>
    </x:row>
    <x:row r="3867">
      <x:c r="A3867" s="142"/>
    </x:row>
    <x:row r="3868">
      <x:c r="A3868" s="142"/>
    </x:row>
    <x:row r="3869">
      <x:c r="A3869" s="142"/>
    </x:row>
    <x:row r="3870">
      <x:c r="A3870" s="142"/>
    </x:row>
    <x:row r="3871">
      <x:c r="A3871" s="142"/>
    </x:row>
    <x:row r="3872">
      <x:c r="A3872" s="142"/>
    </x:row>
    <x:row r="3873">
      <x:c r="A3873" s="142"/>
    </x:row>
    <x:row r="3874">
      <x:c r="A3874" s="142"/>
    </x:row>
    <x:row r="3875">
      <x:c r="A3875" s="142"/>
    </x:row>
    <x:row r="3876">
      <x:c r="A3876" s="142"/>
    </x:row>
    <x:row r="3877">
      <x:c r="A3877" s="142"/>
    </x:row>
    <x:row r="3878">
      <x:c r="A3878" s="142"/>
    </x:row>
    <x:row r="3879">
      <x:c r="A3879" s="142"/>
    </x:row>
    <x:row r="3880">
      <x:c r="A3880" s="142"/>
    </x:row>
    <x:row r="3881">
      <x:c r="A3881" s="142"/>
    </x:row>
    <x:row r="3882">
      <x:c r="A3882" s="142"/>
    </x:row>
    <x:row r="3883">
      <x:c r="A3883" s="142"/>
    </x:row>
    <x:row r="3884">
      <x:c r="A3884" s="142"/>
    </x:row>
    <x:row r="3885">
      <x:c r="A3885" s="142"/>
    </x:row>
    <x:row r="3886">
      <x:c r="A3886" s="142"/>
    </x:row>
    <x:row r="3887">
      <x:c r="A3887" s="142"/>
    </x:row>
    <x:row r="3888">
      <x:c r="A3888" s="142"/>
    </x:row>
    <x:row r="3889">
      <x:c r="A3889" s="142"/>
    </x:row>
    <x:row r="3890">
      <x:c r="A3890" s="142"/>
    </x:row>
    <x:row r="3891">
      <x:c r="A3891" s="142"/>
    </x:row>
    <x:row r="3892">
      <x:c r="A3892" s="142"/>
    </x:row>
    <x:row r="3893">
      <x:c r="A3893" s="142"/>
    </x:row>
    <x:row r="3894">
      <x:c r="A3894" s="142"/>
    </x:row>
    <x:row r="3895">
      <x:c r="A3895" s="142"/>
    </x:row>
    <x:row r="3896">
      <x:c r="A3896" s="142"/>
    </x:row>
    <x:row r="3897">
      <x:c r="A3897" s="142"/>
    </x:row>
    <x:row r="3898">
      <x:c r="A3898" s="142"/>
    </x:row>
    <x:row r="3899">
      <x:c r="A3899" s="142"/>
    </x:row>
    <x:row r="3900">
      <x:c r="A3900" s="142"/>
    </x:row>
    <x:row r="3901">
      <x:c r="A3901" s="142"/>
    </x:row>
    <x:row r="3902">
      <x:c r="A3902" s="142"/>
    </x:row>
    <x:row r="3903">
      <x:c r="A3903" s="142"/>
    </x:row>
    <x:row r="3904">
      <x:c r="A3904" s="142"/>
    </x:row>
    <x:row r="3905">
      <x:c r="A3905" s="142"/>
    </x:row>
    <x:row r="3906">
      <x:c r="A3906" s="142"/>
    </x:row>
    <x:row r="3907">
      <x:c r="A3907" s="142"/>
    </x:row>
    <x:row r="3908">
      <x:c r="A3908" s="142"/>
    </x:row>
    <x:row r="3909">
      <x:c r="A3909" s="142"/>
    </x:row>
    <x:row r="3910">
      <x:c r="A3910" s="142"/>
    </x:row>
    <x:row r="3911">
      <x:c r="A3911" s="142"/>
    </x:row>
    <x:row r="3912">
      <x:c r="A3912" s="142"/>
    </x:row>
    <x:row r="3913">
      <x:c r="A3913" s="142"/>
    </x:row>
    <x:row r="3914">
      <x:c r="A3914" s="142"/>
    </x:row>
    <x:row r="3915">
      <x:c r="A3915" s="142"/>
    </x:row>
    <x:row r="3916">
      <x:c r="A3916" s="142"/>
    </x:row>
    <x:row r="3917">
      <x:c r="A3917" s="142"/>
    </x:row>
    <x:row r="3918">
      <x:c r="A3918" s="142"/>
    </x:row>
    <x:row r="3919">
      <x:c r="A3919" s="142"/>
    </x:row>
    <x:row r="3920">
      <x:c r="A3920" s="142"/>
    </x:row>
    <x:row r="3921">
      <x:c r="A3921" s="142"/>
    </x:row>
    <x:row r="3922">
      <x:c r="A3922" s="142"/>
    </x:row>
    <x:row r="3923">
      <x:c r="A3923" s="142"/>
    </x:row>
    <x:row r="3924">
      <x:c r="A3924" s="142"/>
    </x:row>
    <x:row r="3925">
      <x:c r="A3925" s="142"/>
    </x:row>
    <x:row r="3926">
      <x:c r="A3926" s="142"/>
    </x:row>
    <x:row r="3927">
      <x:c r="A3927" s="142"/>
    </x:row>
    <x:row r="3928">
      <x:c r="A3928" s="142"/>
    </x:row>
    <x:row r="3929">
      <x:c r="A3929" s="142"/>
    </x:row>
    <x:row r="3930">
      <x:c r="A3930" s="142"/>
    </x:row>
    <x:row r="3931">
      <x:c r="A3931" s="142"/>
    </x:row>
    <x:row r="3932">
      <x:c r="A3932" s="142"/>
    </x:row>
    <x:row r="3933">
      <x:c r="A3933" s="142"/>
    </x:row>
    <x:row r="3934">
      <x:c r="A3934" s="142"/>
    </x:row>
    <x:row r="3935">
      <x:c r="A3935" s="142"/>
    </x:row>
    <x:row r="3936">
      <x:c r="A3936" s="142"/>
    </x:row>
    <x:row r="3937">
      <x:c r="A3937" s="142"/>
    </x:row>
    <x:row r="3938">
      <x:c r="A3938" s="142"/>
    </x:row>
    <x:row r="3939">
      <x:c r="A3939" s="142"/>
    </x:row>
    <x:row r="3940">
      <x:c r="A3940" s="142"/>
    </x:row>
    <x:row r="3941">
      <x:c r="A3941" s="142"/>
    </x:row>
    <x:row r="3942">
      <x:c r="A3942" s="142"/>
    </x:row>
    <x:row r="3943">
      <x:c r="A3943" s="142"/>
    </x:row>
    <x:row r="3944">
      <x:c r="A3944" s="142"/>
    </x:row>
    <x:row r="3945">
      <x:c r="A3945" s="142"/>
    </x:row>
    <x:row r="3946">
      <x:c r="A3946" s="142"/>
    </x:row>
    <x:row r="3947">
      <x:c r="A3947" s="142"/>
    </x:row>
    <x:row r="3948">
      <x:c r="A3948" s="142"/>
    </x:row>
    <x:row r="3949">
      <x:c r="A3949" s="142"/>
    </x:row>
    <x:row r="3950">
      <x:c r="A3950" s="142"/>
    </x:row>
    <x:row r="3951">
      <x:c r="A3951" s="142"/>
    </x:row>
    <x:row r="3952">
      <x:c r="A3952" s="142"/>
    </x:row>
    <x:row r="3953">
      <x:c r="A3953" s="142"/>
    </x:row>
    <x:row r="3954">
      <x:c r="A3954" s="142"/>
    </x:row>
    <x:row r="3955">
      <x:c r="A3955" s="142"/>
    </x:row>
    <x:row r="3956">
      <x:c r="A3956" s="142"/>
    </x:row>
    <x:row r="3957">
      <x:c r="A3957" s="142"/>
    </x:row>
    <x:row r="3958">
      <x:c r="A3958" s="142"/>
    </x:row>
    <x:row r="3959">
      <x:c r="A3959" s="142"/>
    </x:row>
    <x:row r="3960">
      <x:c r="A3960" s="142"/>
    </x:row>
    <x:row r="3961">
      <x:c r="A3961" s="142"/>
    </x:row>
    <x:row r="3962">
      <x:c r="A3962" s="142"/>
    </x:row>
    <x:row r="3963">
      <x:c r="A3963" s="142"/>
    </x:row>
    <x:row r="3964">
      <x:c r="A3964" s="142"/>
    </x:row>
    <x:row r="3965">
      <x:c r="A3965" s="142"/>
    </x:row>
    <x:row r="3966">
      <x:c r="A3966" s="142"/>
    </x:row>
    <x:row r="3967">
      <x:c r="A3967" s="142"/>
    </x:row>
    <x:row r="3968">
      <x:c r="A3968" s="142"/>
    </x:row>
    <x:row r="3969">
      <x:c r="A3969" s="142"/>
    </x:row>
    <x:row r="3970">
      <x:c r="A3970" s="142"/>
    </x:row>
    <x:row r="3971">
      <x:c r="A3971" s="142"/>
    </x:row>
    <x:row r="3972">
      <x:c r="A3972" s="142"/>
    </x:row>
    <x:row r="3973">
      <x:c r="A3973" s="142"/>
    </x:row>
    <x:row r="3974">
      <x:c r="A3974" s="142"/>
    </x:row>
    <x:row r="3975">
      <x:c r="A3975" s="142"/>
    </x:row>
    <x:row r="3976">
      <x:c r="A3976" s="142"/>
    </x:row>
    <x:row r="3977">
      <x:c r="A3977" s="142"/>
    </x:row>
    <x:row r="3978">
      <x:c r="A3978" s="142"/>
    </x:row>
    <x:row r="3979">
      <x:c r="A3979" s="142"/>
    </x:row>
    <x:row r="3980">
      <x:c r="A3980" s="142"/>
    </x:row>
    <x:row r="3981">
      <x:c r="A3981" s="142"/>
    </x:row>
    <x:row r="3982">
      <x:c r="A3982" s="142"/>
    </x:row>
    <x:row r="3983">
      <x:c r="A3983" s="142"/>
    </x:row>
    <x:row r="3984">
      <x:c r="A3984" s="142"/>
    </x:row>
    <x:row r="3985">
      <x:c r="A3985" s="142"/>
    </x:row>
    <x:row r="3986">
      <x:c r="A3986" s="142"/>
    </x:row>
    <x:row r="3987">
      <x:c r="A3987" s="142"/>
    </x:row>
    <x:row r="3988">
      <x:c r="A3988" s="142"/>
    </x:row>
    <x:row r="3989">
      <x:c r="A3989" s="142"/>
    </x:row>
    <x:row r="3990">
      <x:c r="A3990" s="142"/>
    </x:row>
    <x:row r="3991">
      <x:c r="A3991" s="142"/>
    </x:row>
    <x:row r="3992">
      <x:c r="A3992" s="142"/>
    </x:row>
    <x:row r="3993">
      <x:c r="A3993" s="142"/>
    </x:row>
    <x:row r="3994">
      <x:c r="A3994" s="142"/>
    </x:row>
    <x:row r="3995">
      <x:c r="A3995" s="142"/>
    </x:row>
    <x:row r="3996">
      <x:c r="A3996" s="142"/>
    </x:row>
    <x:row r="3997">
      <x:c r="A3997" s="142"/>
    </x:row>
    <x:row r="3998">
      <x:c r="A3998" s="142"/>
    </x:row>
    <x:row r="3999">
      <x:c r="A3999" s="142"/>
    </x:row>
    <x:row r="4000">
      <x:c r="A4000" s="142"/>
    </x:row>
    <x:row r="4001">
      <x:c r="A4001" s="142"/>
    </x:row>
    <x:row r="4002">
      <x:c r="A4002" s="142"/>
    </x:row>
    <x:row r="4003">
      <x:c r="A4003" s="142"/>
    </x:row>
    <x:row r="4004">
      <x:c r="A4004" s="142"/>
    </x:row>
    <x:row r="4005">
      <x:c r="A4005" s="142"/>
    </x:row>
    <x:row r="4006">
      <x:c r="A4006" s="142"/>
    </x:row>
    <x:row r="4007">
      <x:c r="A4007" s="142"/>
    </x:row>
    <x:row r="4008">
      <x:c r="A4008" s="142"/>
    </x:row>
    <x:row r="4009">
      <x:c r="A4009" s="142"/>
    </x:row>
    <x:row r="4010">
      <x:c r="A4010" s="142"/>
    </x:row>
    <x:row r="4011">
      <x:c r="A4011" s="142"/>
    </x:row>
    <x:row r="4012">
      <x:c r="A4012" s="142"/>
    </x:row>
    <x:row r="4013">
      <x:c r="A4013" s="142"/>
    </x:row>
    <x:row r="4014">
      <x:c r="A4014" s="142"/>
    </x:row>
    <x:row r="4015">
      <x:c r="A4015" s="142"/>
    </x:row>
    <x:row r="4016">
      <x:c r="A4016" s="142"/>
    </x:row>
    <x:row r="4017">
      <x:c r="A4017" s="142"/>
    </x:row>
    <x:row r="4018">
      <x:c r="A4018" s="142"/>
    </x:row>
    <x:row r="4019">
      <x:c r="A4019" s="142"/>
    </x:row>
    <x:row r="4020">
      <x:c r="A4020" s="142"/>
    </x:row>
    <x:row r="4021">
      <x:c r="A4021" s="142"/>
    </x:row>
    <x:row r="4022">
      <x:c r="A4022" s="142"/>
    </x:row>
    <x:row r="4023">
      <x:c r="A4023" s="142"/>
    </x:row>
    <x:row r="4024">
      <x:c r="A4024" s="142"/>
    </x:row>
    <x:row r="4025">
      <x:c r="A4025" s="142"/>
    </x:row>
    <x:row r="4026">
      <x:c r="A4026" s="142"/>
    </x:row>
    <x:row r="4027">
      <x:c r="A4027" s="142"/>
    </x:row>
    <x:row r="4028">
      <x:c r="A4028" s="142"/>
    </x:row>
    <x:row r="4029">
      <x:c r="A4029" s="142"/>
    </x:row>
    <x:row r="4030">
      <x:c r="A4030" s="142"/>
    </x:row>
    <x:row r="4031">
      <x:c r="A4031" s="142"/>
    </x:row>
    <x:row r="4032">
      <x:c r="A4032" s="142"/>
    </x:row>
    <x:row r="4033">
      <x:c r="A4033" s="142"/>
    </x:row>
    <x:row r="4034">
      <x:c r="A4034" s="142"/>
    </x:row>
    <x:row r="4035">
      <x:c r="A4035" s="142"/>
    </x:row>
    <x:row r="4036">
      <x:c r="A4036" s="142"/>
    </x:row>
    <x:row r="4037">
      <x:c r="A4037" s="142"/>
    </x:row>
    <x:row r="4038">
      <x:c r="A4038" s="142"/>
    </x:row>
    <x:row r="4039">
      <x:c r="A4039" s="142"/>
    </x:row>
    <x:row r="4040">
      <x:c r="A4040" s="142"/>
    </x:row>
    <x:row r="4041">
      <x:c r="A4041" s="142"/>
    </x:row>
    <x:row r="4042">
      <x:c r="A4042" s="142"/>
    </x:row>
    <x:row r="4043">
      <x:c r="A4043" s="142"/>
    </x:row>
    <x:row r="4044">
      <x:c r="A4044" s="142"/>
    </x:row>
    <x:row r="4045">
      <x:c r="A4045" s="142"/>
    </x:row>
    <x:row r="4046">
      <x:c r="A4046" s="142"/>
    </x:row>
    <x:row r="4047">
      <x:c r="A4047" s="142"/>
    </x:row>
    <x:row r="4048">
      <x:c r="A4048" s="142"/>
    </x:row>
    <x:row r="4049">
      <x:c r="A4049" s="142"/>
    </x:row>
    <x:row r="4050">
      <x:c r="A4050" s="142"/>
    </x:row>
    <x:row r="4051">
      <x:c r="A4051" s="142"/>
    </x:row>
    <x:row r="4052">
      <x:c r="A4052" s="142"/>
    </x:row>
    <x:row r="4053">
      <x:c r="A4053" s="142"/>
    </x:row>
    <x:row r="4054">
      <x:c r="A4054" s="142"/>
    </x:row>
    <x:row r="4055">
      <x:c r="A4055" s="142"/>
    </x:row>
    <x:row r="4056">
      <x:c r="A4056" s="142"/>
    </x:row>
    <x:row r="4057">
      <x:c r="A4057" s="142"/>
    </x:row>
    <x:row r="4058">
      <x:c r="A4058" s="142"/>
    </x:row>
    <x:row r="4059">
      <x:c r="A4059" s="142"/>
    </x:row>
    <x:row r="4060">
      <x:c r="A4060" s="142"/>
    </x:row>
    <x:row r="4061">
      <x:c r="A4061" s="142"/>
    </x:row>
    <x:row r="4062">
      <x:c r="A4062" s="142"/>
    </x:row>
    <x:row r="4063">
      <x:c r="A4063" s="142"/>
    </x:row>
    <x:row r="4064">
      <x:c r="A4064" s="142"/>
    </x:row>
    <x:row r="4065">
      <x:c r="A4065" s="142"/>
    </x:row>
    <x:row r="4066">
      <x:c r="A4066" s="142"/>
    </x:row>
    <x:row r="4067">
      <x:c r="A4067" s="142"/>
    </x:row>
    <x:row r="4068">
      <x:c r="A4068" s="142"/>
    </x:row>
    <x:row r="4069">
      <x:c r="A4069" s="142"/>
    </x:row>
    <x:row r="4070">
      <x:c r="A4070" s="142"/>
    </x:row>
    <x:row r="4071">
      <x:c r="A4071" s="142"/>
    </x:row>
    <x:row r="4072">
      <x:c r="A4072" s="142"/>
    </x:row>
    <x:row r="4073">
      <x:c r="A4073" s="142"/>
    </x:row>
    <x:row r="4074">
      <x:c r="A4074" s="142"/>
    </x:row>
    <x:row r="4075">
      <x:c r="A4075" s="142"/>
    </x:row>
    <x:row r="4076">
      <x:c r="A4076" s="142"/>
    </x:row>
    <x:row r="4077">
      <x:c r="A4077" s="142"/>
    </x:row>
    <x:row r="4078">
      <x:c r="A4078" s="142"/>
    </x:row>
    <x:row r="4079">
      <x:c r="A4079" s="142"/>
    </x:row>
    <x:row r="4080">
      <x:c r="A4080" s="142"/>
    </x:row>
    <x:row r="4081">
      <x:c r="A4081" s="142"/>
    </x:row>
    <x:row r="4082">
      <x:c r="A4082" s="142"/>
    </x:row>
    <x:row r="4083">
      <x:c r="A4083" s="142"/>
    </x:row>
    <x:row r="4084">
      <x:c r="A4084" s="142"/>
    </x:row>
    <x:row r="4085">
      <x:c r="A4085" s="142"/>
    </x:row>
    <x:row r="4086">
      <x:c r="A4086" s="142"/>
    </x:row>
    <x:row r="4087">
      <x:c r="A4087" s="142"/>
    </x:row>
    <x:row r="4088">
      <x:c r="A4088" s="142"/>
    </x:row>
    <x:row r="4089">
      <x:c r="A4089" s="142"/>
    </x:row>
    <x:row r="4090">
      <x:c r="A4090" s="142"/>
    </x:row>
    <x:row r="4091">
      <x:c r="A4091" s="142"/>
    </x:row>
    <x:row r="4092">
      <x:c r="A4092" s="142"/>
    </x:row>
    <x:row r="4093">
      <x:c r="A4093" s="142"/>
    </x:row>
    <x:row r="4094">
      <x:c r="A4094" s="142"/>
    </x:row>
    <x:row r="4095">
      <x:c r="A4095" s="142"/>
    </x:row>
    <x:row r="4096">
      <x:c r="A4096" s="142"/>
    </x:row>
    <x:row r="4097">
      <x:c r="A4097" s="142"/>
    </x:row>
    <x:row r="4098">
      <x:c r="A4098" s="142"/>
    </x:row>
    <x:row r="4099">
      <x:c r="A4099" s="142"/>
    </x:row>
    <x:row r="4100">
      <x:c r="A4100" s="142"/>
    </x:row>
    <x:row r="4101">
      <x:c r="A4101" s="142"/>
    </x:row>
    <x:row r="4102">
      <x:c r="A4102" s="142"/>
    </x:row>
    <x:row r="4103">
      <x:c r="A4103" s="142"/>
    </x:row>
    <x:row r="4104">
      <x:c r="A4104" s="142"/>
    </x:row>
    <x:row r="4105">
      <x:c r="A4105" s="142"/>
    </x:row>
    <x:row r="4106">
      <x:c r="A4106" s="142"/>
    </x:row>
    <x:row r="4107">
      <x:c r="A4107" s="142"/>
    </x:row>
    <x:row r="4108">
      <x:c r="A4108" s="142"/>
    </x:row>
    <x:row r="4109">
      <x:c r="A4109" s="142"/>
    </x:row>
    <x:row r="4110">
      <x:c r="A4110" s="142"/>
    </x:row>
    <x:row r="4111">
      <x:c r="A4111" s="142"/>
    </x:row>
    <x:row r="4112">
      <x:c r="A4112" s="142"/>
    </x:row>
    <x:row r="4113">
      <x:c r="A4113" s="142"/>
    </x:row>
    <x:row r="4114">
      <x:c r="A4114" s="142"/>
    </x:row>
    <x:row r="4115">
      <x:c r="A4115" s="142"/>
    </x:row>
    <x:row r="4116">
      <x:c r="A4116" s="142"/>
    </x:row>
    <x:row r="4117">
      <x:c r="A4117" s="142"/>
    </x:row>
    <x:row r="4118">
      <x:c r="A4118" s="142"/>
    </x:row>
    <x:row r="4119">
      <x:c r="A4119" s="142"/>
    </x:row>
    <x:row r="4120">
      <x:c r="A4120" s="142"/>
    </x:row>
    <x:row r="4121">
      <x:c r="A4121" s="142"/>
    </x:row>
    <x:row r="4122">
      <x:c r="A4122" s="142"/>
    </x:row>
    <x:row r="4123">
      <x:c r="A4123" s="142"/>
    </x:row>
    <x:row r="4124">
      <x:c r="A4124" s="142"/>
    </x:row>
    <x:row r="4125">
      <x:c r="A4125" s="142"/>
    </x:row>
    <x:row r="4126">
      <x:c r="A4126" s="142"/>
    </x:row>
    <x:row r="4127">
      <x:c r="A4127" s="142"/>
    </x:row>
    <x:row r="4128">
      <x:c r="A4128" s="142"/>
    </x:row>
    <x:row r="4129">
      <x:c r="A4129" s="142"/>
    </x:row>
    <x:row r="4130">
      <x:c r="A4130" s="142"/>
    </x:row>
    <x:row r="4131">
      <x:c r="A4131" s="142"/>
    </x:row>
    <x:row r="4132">
      <x:c r="A4132" s="142"/>
    </x:row>
    <x:row r="4133">
      <x:c r="A4133" s="142"/>
    </x:row>
    <x:row r="4134">
      <x:c r="A4134" s="142"/>
    </x:row>
    <x:row r="4135">
      <x:c r="A4135" s="142"/>
    </x:row>
    <x:row r="4136">
      <x:c r="A4136" s="142"/>
    </x:row>
    <x:row r="4137">
      <x:c r="A4137" s="142"/>
    </x:row>
    <x:row r="4138">
      <x:c r="A4138" s="142"/>
    </x:row>
    <x:row r="4139">
      <x:c r="A4139" s="142"/>
    </x:row>
    <x:row r="4140">
      <x:c r="A4140" s="142"/>
    </x:row>
    <x:row r="4141">
      <x:c r="A4141" s="142"/>
    </x:row>
    <x:row r="4142">
      <x:c r="A4142" s="142"/>
    </x:row>
    <x:row r="4143">
      <x:c r="A4143" s="142"/>
    </x:row>
    <x:row r="4144">
      <x:c r="A4144" s="142"/>
    </x:row>
    <x:row r="4145">
      <x:c r="A4145" s="142"/>
    </x:row>
    <x:row r="4146">
      <x:c r="A4146" s="142"/>
    </x:row>
    <x:row r="4147">
      <x:c r="A4147" s="142"/>
    </x:row>
    <x:row r="4148">
      <x:c r="A4148" s="142"/>
    </x:row>
    <x:row r="4149">
      <x:c r="A4149" s="142"/>
    </x:row>
    <x:row r="4150">
      <x:c r="A4150" s="142"/>
    </x:row>
    <x:row r="4151">
      <x:c r="A4151" s="142"/>
    </x:row>
    <x:row r="4152">
      <x:c r="A4152" s="142"/>
    </x:row>
    <x:row r="4153">
      <x:c r="A4153" s="142"/>
    </x:row>
    <x:row r="4154">
      <x:c r="A4154" s="142"/>
    </x:row>
    <x:row r="4155">
      <x:c r="A4155" s="142"/>
    </x:row>
    <x:row r="4156">
      <x:c r="A4156" s="142"/>
    </x:row>
    <x:row r="4157">
      <x:c r="A4157" s="142"/>
    </x:row>
    <x:row r="4158">
      <x:c r="A4158" s="142"/>
    </x:row>
    <x:row r="4159">
      <x:c r="A4159" s="142"/>
    </x:row>
    <x:row r="4160">
      <x:c r="A4160" s="142"/>
    </x:row>
    <x:row r="4161">
      <x:c r="A4161" s="142"/>
    </x:row>
    <x:row r="4162">
      <x:c r="A4162" s="142"/>
    </x:row>
    <x:row r="4163">
      <x:c r="A4163" s="142"/>
    </x:row>
    <x:row r="4164">
      <x:c r="A4164" s="142"/>
    </x:row>
    <x:row r="4165">
      <x:c r="A4165" s="142"/>
    </x:row>
    <x:row r="4166">
      <x:c r="A4166" s="142"/>
    </x:row>
    <x:row r="4167">
      <x:c r="A4167" s="142"/>
    </x:row>
    <x:row r="4168">
      <x:c r="A4168" s="142"/>
    </x:row>
    <x:row r="4169">
      <x:c r="A4169" s="142"/>
    </x:row>
    <x:row r="4170">
      <x:c r="A4170" s="142"/>
    </x:row>
    <x:row r="4171">
      <x:c r="A4171" s="142"/>
    </x:row>
    <x:row r="4172">
      <x:c r="A4172" s="142"/>
    </x:row>
    <x:row r="4173">
      <x:c r="A4173" s="142"/>
    </x:row>
    <x:row r="4174">
      <x:c r="A4174" s="142"/>
    </x:row>
    <x:row r="4175">
      <x:c r="A4175" s="142"/>
    </x:row>
    <x:row r="4176">
      <x:c r="A4176" s="142"/>
    </x:row>
    <x:row r="4177">
      <x:c r="A4177" s="142"/>
    </x:row>
    <x:row r="4178">
      <x:c r="A4178" s="142"/>
    </x:row>
    <x:row r="4179">
      <x:c r="A4179" s="142"/>
    </x:row>
    <x:row r="4180">
      <x:c r="A4180" s="142"/>
    </x:row>
    <x:row r="4181">
      <x:c r="A4181" s="142"/>
    </x:row>
    <x:row r="4182">
      <x:c r="A4182" s="142"/>
    </x:row>
    <x:row r="4183">
      <x:c r="A4183" s="142"/>
    </x:row>
    <x:row r="4184">
      <x:c r="A4184" s="142"/>
    </x:row>
    <x:row r="4185">
      <x:c r="A4185" s="142"/>
    </x:row>
    <x:row r="4186">
      <x:c r="A4186" s="142"/>
    </x:row>
    <x:row r="4187">
      <x:c r="A4187" s="142"/>
    </x:row>
    <x:row r="4188">
      <x:c r="A4188" s="142"/>
    </x:row>
    <x:row r="4189">
      <x:c r="A4189" s="142"/>
    </x:row>
    <x:row r="4190">
      <x:c r="A4190" s="142"/>
    </x:row>
    <x:row r="4191">
      <x:c r="A4191" s="142"/>
    </x:row>
    <x:row r="4192">
      <x:c r="A4192" s="142"/>
    </x:row>
    <x:row r="4193">
      <x:c r="A4193" s="142"/>
    </x:row>
    <x:row r="4194">
      <x:c r="A4194" s="142"/>
    </x:row>
    <x:row r="4195">
      <x:c r="A4195" s="142"/>
    </x:row>
    <x:row r="4196">
      <x:c r="A4196" s="142"/>
    </x:row>
    <x:row r="4197">
      <x:c r="A4197" s="142"/>
    </x:row>
    <x:row r="4198">
      <x:c r="A4198" s="142"/>
    </x:row>
    <x:row r="4199">
      <x:c r="A4199" s="142"/>
    </x:row>
    <x:row r="4200">
      <x:c r="A4200" s="142"/>
    </x:row>
    <x:row r="4201">
      <x:c r="A4201" s="142"/>
    </x:row>
    <x:row r="4202">
      <x:c r="A4202" s="142"/>
    </x:row>
    <x:row r="4203">
      <x:c r="A4203" s="142"/>
    </x:row>
    <x:row r="4204">
      <x:c r="A4204" s="142"/>
    </x:row>
    <x:row r="4205">
      <x:c r="A4205" s="142"/>
    </x:row>
    <x:row r="4206">
      <x:c r="A4206" s="142"/>
    </x:row>
    <x:row r="4207">
      <x:c r="A4207" s="142"/>
    </x:row>
    <x:row r="4208">
      <x:c r="A4208" s="142"/>
    </x:row>
    <x:row r="4209">
      <x:c r="A4209" s="142"/>
    </x:row>
    <x:row r="4210">
      <x:c r="A4210" s="142"/>
    </x:row>
    <x:row r="4211">
      <x:c r="A4211" s="142"/>
    </x:row>
    <x:row r="4212">
      <x:c r="A4212" s="142"/>
    </x:row>
    <x:row r="4213">
      <x:c r="A4213" s="142"/>
    </x:row>
    <x:row r="4214">
      <x:c r="A4214" s="142"/>
    </x:row>
    <x:row r="4215">
      <x:c r="A4215" s="142"/>
    </x:row>
    <x:row r="4216">
      <x:c r="A4216" s="142"/>
    </x:row>
    <x:row r="4217">
      <x:c r="A4217" s="142"/>
    </x:row>
    <x:row r="4218">
      <x:c r="A4218" s="142"/>
    </x:row>
    <x:row r="4219">
      <x:c r="A4219" s="142"/>
    </x:row>
    <x:row r="4220">
      <x:c r="A4220" s="142"/>
    </x:row>
    <x:row r="4221">
      <x:c r="A4221" s="142"/>
    </x:row>
    <x:row r="4222">
      <x:c r="A4222" s="142"/>
    </x:row>
    <x:row r="4223">
      <x:c r="A4223" s="142"/>
    </x:row>
    <x:row r="4224">
      <x:c r="A4224" s="142"/>
    </x:row>
    <x:row r="4225">
      <x:c r="A4225" s="142"/>
    </x:row>
    <x:row r="4226">
      <x:c r="A4226" s="142"/>
    </x:row>
    <x:row r="4227">
      <x:c r="A4227" s="142"/>
    </x:row>
    <x:row r="4228">
      <x:c r="A4228" s="142"/>
    </x:row>
    <x:row r="4229">
      <x:c r="A4229" s="142"/>
    </x:row>
    <x:row r="4230">
      <x:c r="A4230" s="142"/>
    </x:row>
    <x:row r="4231">
      <x:c r="A4231" s="142"/>
    </x:row>
    <x:row r="4232">
      <x:c r="A4232" s="142"/>
    </x:row>
    <x:row r="4233">
      <x:c r="A4233" s="142"/>
    </x:row>
    <x:row r="4234">
      <x:c r="A4234" s="142"/>
    </x:row>
    <x:row r="4235">
      <x:c r="A4235" s="142"/>
    </x:row>
    <x:row r="4236">
      <x:c r="A4236" s="142"/>
    </x:row>
    <x:row r="4237">
      <x:c r="A4237" s="142"/>
    </x:row>
    <x:row r="4238">
      <x:c r="A4238" s="142"/>
    </x:row>
    <x:row r="4239">
      <x:c r="A4239" s="142"/>
    </x:row>
    <x:row r="4240">
      <x:c r="A4240" s="142"/>
    </x:row>
    <x:row r="4241">
      <x:c r="A4241" s="142"/>
    </x:row>
    <x:row r="4242">
      <x:c r="A4242" s="142"/>
    </x:row>
    <x:row r="4243">
      <x:c r="A4243" s="142"/>
    </x:row>
    <x:row r="4244">
      <x:c r="A4244" s="142"/>
    </x:row>
    <x:row r="4245">
      <x:c r="A4245" s="142"/>
    </x:row>
    <x:row r="4246">
      <x:c r="A4246" s="142"/>
    </x:row>
    <x:row r="4247">
      <x:c r="A4247" s="142"/>
    </x:row>
    <x:row r="4248">
      <x:c r="A4248" s="142"/>
    </x:row>
    <x:row r="4249">
      <x:c r="A4249" s="142"/>
    </x:row>
    <x:row r="4250">
      <x:c r="A4250" s="142"/>
    </x:row>
    <x:row r="4251">
      <x:c r="A4251" s="142"/>
    </x:row>
    <x:row r="4252">
      <x:c r="A4252" s="142"/>
    </x:row>
    <x:row r="4253">
      <x:c r="A4253" s="142"/>
    </x:row>
    <x:row r="4254">
      <x:c r="A4254" s="142"/>
    </x:row>
    <x:row r="4255">
      <x:c r="A4255" s="142"/>
    </x:row>
    <x:row r="4256">
      <x:c r="A4256" s="142"/>
    </x:row>
    <x:row r="4257">
      <x:c r="A4257" s="142"/>
    </x:row>
    <x:row r="4258">
      <x:c r="A4258" s="142"/>
    </x:row>
    <x:row r="4259">
      <x:c r="A4259" s="142"/>
    </x:row>
    <x:row r="4260">
      <x:c r="A4260" s="142"/>
    </x:row>
    <x:row r="4261">
      <x:c r="A4261" s="142"/>
    </x:row>
    <x:row r="4262">
      <x:c r="A4262" s="142"/>
    </x:row>
    <x:row r="4263">
      <x:c r="A4263" s="142"/>
    </x:row>
    <x:row r="4264">
      <x:c r="A4264" s="142"/>
    </x:row>
    <x:row r="4265">
      <x:c r="A4265" s="142"/>
    </x:row>
    <x:row r="4266">
      <x:c r="A4266" s="142"/>
    </x:row>
    <x:row r="4267">
      <x:c r="A4267" s="142"/>
    </x:row>
    <x:row r="4268">
      <x:c r="A4268" s="142"/>
    </x:row>
    <x:row r="4269">
      <x:c r="A4269" s="142"/>
    </x:row>
    <x:row r="4270">
      <x:c r="A4270" s="142"/>
    </x:row>
    <x:row r="4271">
      <x:c r="A4271" s="142"/>
    </x:row>
    <x:row r="4272">
      <x:c r="A4272" s="142"/>
    </x:row>
    <x:row r="4273">
      <x:c r="A4273" s="142"/>
    </x:row>
    <x:row r="4274">
      <x:c r="A4274" s="142"/>
    </x:row>
    <x:row r="4275">
      <x:c r="A4275" s="142"/>
    </x:row>
    <x:row r="4276">
      <x:c r="A4276" s="142"/>
    </x:row>
    <x:row r="4277">
      <x:c r="A4277" s="142"/>
    </x:row>
    <x:row r="4278">
      <x:c r="A4278" s="142"/>
    </x:row>
    <x:row r="4279">
      <x:c r="A4279" s="142"/>
    </x:row>
    <x:row r="4280">
      <x:c r="A4280" s="142"/>
    </x:row>
    <x:row r="4281">
      <x:c r="A4281" s="142"/>
    </x:row>
    <x:row r="4282">
      <x:c r="A4282" s="142"/>
    </x:row>
    <x:row r="4283">
      <x:c r="A4283" s="142"/>
    </x:row>
    <x:row r="4284">
      <x:c r="A4284" s="142"/>
    </x:row>
    <x:row r="4285">
      <x:c r="A4285" s="142"/>
    </x:row>
    <x:row r="4286">
      <x:c r="A4286" s="142"/>
    </x:row>
    <x:row r="4287">
      <x:c r="A4287" s="142"/>
    </x:row>
    <x:row r="4288">
      <x:c r="A4288" s="142"/>
    </x:row>
    <x:row r="4289">
      <x:c r="A4289" s="142"/>
    </x:row>
    <x:row r="4290">
      <x:c r="A4290" s="142"/>
    </x:row>
    <x:row r="4291">
      <x:c r="A4291" s="142"/>
    </x:row>
    <x:row r="4292">
      <x:c r="A4292" s="142"/>
    </x:row>
    <x:row r="4293">
      <x:c r="A4293" s="142"/>
    </x:row>
    <x:row r="4294">
      <x:c r="A4294" s="142"/>
    </x:row>
    <x:row r="4295">
      <x:c r="A4295" s="142"/>
    </x:row>
    <x:row r="4296">
      <x:c r="A4296" s="142"/>
    </x:row>
    <x:row r="4297">
      <x:c r="A4297" s="142"/>
    </x:row>
    <x:row r="4298">
      <x:c r="A4298" s="142"/>
    </x:row>
    <x:row r="4299">
      <x:c r="A4299" s="142"/>
    </x:row>
    <x:row r="4300">
      <x:c r="A4300" s="142"/>
    </x:row>
    <x:row r="4301">
      <x:c r="A4301" s="142"/>
    </x:row>
    <x:row r="4302">
      <x:c r="A4302" s="142"/>
    </x:row>
    <x:row r="4303">
      <x:c r="A4303" s="142"/>
    </x:row>
    <x:row r="4304">
      <x:c r="A4304" s="142"/>
    </x:row>
    <x:row r="4305">
      <x:c r="A4305" s="142"/>
    </x:row>
    <x:row r="4306">
      <x:c r="A4306" s="142"/>
    </x:row>
    <x:row r="4307">
      <x:c r="A4307" s="142"/>
    </x:row>
    <x:row r="4308">
      <x:c r="A4308" s="142"/>
    </x:row>
    <x:row r="4309">
      <x:c r="A4309" s="142"/>
    </x:row>
    <x:row r="4310">
      <x:c r="A4310" s="142"/>
    </x:row>
    <x:row r="4311">
      <x:c r="A4311" s="142"/>
    </x:row>
    <x:row r="4312">
      <x:c r="A4312" s="142"/>
    </x:row>
    <x:row r="4313">
      <x:c r="A4313" s="142"/>
    </x:row>
    <x:row r="4314">
      <x:c r="A4314" s="142"/>
    </x:row>
    <x:row r="4315">
      <x:c r="A4315" s="142"/>
    </x:row>
    <x:row r="4316">
      <x:c r="A4316" s="142"/>
    </x:row>
    <x:row r="4317">
      <x:c r="A4317" s="142"/>
    </x:row>
    <x:row r="4318">
      <x:c r="A4318" s="142"/>
    </x:row>
    <x:row r="4319">
      <x:c r="A4319" s="142"/>
    </x:row>
    <x:row r="4320">
      <x:c r="A4320" s="142"/>
    </x:row>
    <x:row r="4321">
      <x:c r="A4321" s="142"/>
    </x:row>
    <x:row r="4322">
      <x:c r="A4322" s="142"/>
    </x:row>
    <x:row r="4323">
      <x:c r="A4323" s="142"/>
    </x:row>
    <x:row r="4324">
      <x:c r="A4324" s="142"/>
    </x:row>
    <x:row r="4325">
      <x:c r="A4325" s="142"/>
    </x:row>
    <x:row r="4326">
      <x:c r="A4326" s="142"/>
    </x:row>
    <x:row r="4327">
      <x:c r="A4327" s="142"/>
    </x:row>
    <x:row r="4328">
      <x:c r="A4328" s="142"/>
    </x:row>
    <x:row r="4329">
      <x:c r="A4329" s="142"/>
    </x:row>
    <x:row r="4330">
      <x:c r="A4330" s="142"/>
    </x:row>
    <x:row r="4331">
      <x:c r="A4331" s="142"/>
    </x:row>
    <x:row r="4332">
      <x:c r="A4332" s="142"/>
    </x:row>
    <x:row r="4333">
      <x:c r="A4333" s="142"/>
    </x:row>
    <x:row r="4334">
      <x:c r="A4334" s="142"/>
    </x:row>
    <x:row r="4335">
      <x:c r="A4335" s="142"/>
    </x:row>
    <x:row r="4336">
      <x:c r="A4336" s="142"/>
    </x:row>
    <x:row r="4337">
      <x:c r="A4337" s="142"/>
    </x:row>
    <x:row r="4338">
      <x:c r="A4338" s="142"/>
    </x:row>
    <x:row r="4339">
      <x:c r="A4339" s="142"/>
    </x:row>
    <x:row r="4340">
      <x:c r="A4340" s="142"/>
    </x:row>
    <x:row r="4341">
      <x:c r="A4341" s="142"/>
    </x:row>
    <x:row r="4342">
      <x:c r="A4342" s="142"/>
    </x:row>
    <x:row r="4343">
      <x:c r="A4343" s="142"/>
    </x:row>
    <x:row r="4344">
      <x:c r="A4344" s="142"/>
    </x:row>
    <x:row r="4345">
      <x:c r="A4345" s="142"/>
    </x:row>
    <x:row r="4346">
      <x:c r="A4346" s="142"/>
    </x:row>
    <x:row r="4347">
      <x:c r="A4347" s="142"/>
    </x:row>
    <x:row r="4348">
      <x:c r="A4348" s="142"/>
    </x:row>
    <x:row r="4349">
      <x:c r="A4349" s="142"/>
    </x:row>
    <x:row r="4350">
      <x:c r="A4350" s="142"/>
    </x:row>
    <x:row r="4351">
      <x:c r="A4351" s="142"/>
    </x:row>
    <x:row r="4352">
      <x:c r="A4352" s="142"/>
    </x:row>
    <x:row r="4353">
      <x:c r="A4353" s="142"/>
    </x:row>
    <x:row r="4354">
      <x:c r="A4354" s="142"/>
    </x:row>
    <x:row r="4355">
      <x:c r="A4355" s="142"/>
    </x:row>
    <x:row r="4356">
      <x:c r="A4356" s="142"/>
    </x:row>
    <x:row r="4357">
      <x:c r="A4357" s="142"/>
    </x:row>
    <x:row r="4358">
      <x:c r="A4358" s="142"/>
    </x:row>
    <x:row r="4359">
      <x:c r="A4359" s="142"/>
    </x:row>
    <x:row r="4360">
      <x:c r="A4360" s="142"/>
    </x:row>
    <x:row r="4361">
      <x:c r="A4361" s="142"/>
    </x:row>
    <x:row r="4362">
      <x:c r="A4362" s="142"/>
    </x:row>
    <x:row r="4363">
      <x:c r="A4363" s="142"/>
    </x:row>
    <x:row r="4364">
      <x:c r="A4364" s="142"/>
    </x:row>
    <x:row r="4365">
      <x:c r="A4365" s="142"/>
    </x:row>
    <x:row r="4366">
      <x:c r="A4366" s="142"/>
    </x:row>
    <x:row r="4367">
      <x:c r="A4367" s="142"/>
    </x:row>
    <x:row r="4368">
      <x:c r="A4368" s="142"/>
    </x:row>
    <x:row r="4369">
      <x:c r="A4369" s="142"/>
    </x:row>
    <x:row r="4370">
      <x:c r="A4370" s="142"/>
    </x:row>
    <x:row r="4371">
      <x:c r="A4371" s="142"/>
    </x:row>
    <x:row r="4372">
      <x:c r="A4372" s="142"/>
    </x:row>
    <x:row r="4373">
      <x:c r="A4373" s="142"/>
    </x:row>
    <x:row r="4374">
      <x:c r="A4374" s="142"/>
    </x:row>
    <x:row r="4375">
      <x:c r="A4375" s="142"/>
    </x:row>
    <x:row r="4376">
      <x:c r="A4376" s="142"/>
    </x:row>
    <x:row r="4377">
      <x:c r="A4377" s="142"/>
    </x:row>
    <x:row r="4378">
      <x:c r="A4378" s="142"/>
    </x:row>
    <x:row r="4379">
      <x:c r="A4379" s="142"/>
    </x:row>
    <x:row r="4380">
      <x:c r="A4380" s="142"/>
    </x:row>
    <x:row r="4381">
      <x:c r="A4381" s="142"/>
    </x:row>
    <x:row r="4382">
      <x:c r="A4382" s="142"/>
    </x:row>
    <x:row r="4383">
      <x:c r="A4383" s="142"/>
    </x:row>
    <x:row r="4384">
      <x:c r="A4384" s="142"/>
    </x:row>
    <x:row r="4385">
      <x:c r="A4385" s="142"/>
    </x:row>
    <x:row r="4386">
      <x:c r="A4386" s="142"/>
    </x:row>
    <x:row r="4387">
      <x:c r="A4387" s="142"/>
    </x:row>
    <x:row r="4388">
      <x:c r="A4388" s="142"/>
    </x:row>
    <x:row r="4389">
      <x:c r="A4389" s="142"/>
    </x:row>
    <x:row r="4390">
      <x:c r="A4390" s="142"/>
    </x:row>
    <x:row r="4391">
      <x:c r="A4391" s="142"/>
    </x:row>
    <x:row r="4392">
      <x:c r="A4392" s="142"/>
    </x:row>
    <x:row r="4393">
      <x:c r="A4393" s="142"/>
    </x:row>
    <x:row r="4394">
      <x:c r="A4394" s="142"/>
    </x:row>
    <x:row r="4395">
      <x:c r="A4395" s="142"/>
    </x:row>
    <x:row r="4396">
      <x:c r="A4396" s="142"/>
    </x:row>
    <x:row r="4397">
      <x:c r="A4397" s="142"/>
    </x:row>
    <x:row r="4398">
      <x:c r="A4398" s="142"/>
    </x:row>
    <x:row r="4399">
      <x:c r="A4399" s="142"/>
    </x:row>
    <x:row r="4400">
      <x:c r="A4400" s="142"/>
    </x:row>
    <x:row r="4401">
      <x:c r="A4401" s="142"/>
    </x:row>
    <x:row r="4402">
      <x:c r="A4402" s="142"/>
    </x:row>
    <x:row r="4403">
      <x:c r="A4403" s="142"/>
    </x:row>
    <x:row r="4404">
      <x:c r="A4404" s="142"/>
    </x:row>
    <x:row r="4405">
      <x:c r="A4405" s="142"/>
    </x:row>
    <x:row r="4406">
      <x:c r="A4406" s="142"/>
    </x:row>
    <x:row r="4407">
      <x:c r="A4407" s="142"/>
    </x:row>
    <x:row r="4408">
      <x:c r="A4408" s="142"/>
    </x:row>
    <x:row r="4409">
      <x:c r="A4409" s="142"/>
    </x:row>
    <x:row r="4410">
      <x:c r="A4410" s="142"/>
    </x:row>
    <x:row r="4411">
      <x:c r="A4411" s="142"/>
    </x:row>
    <x:row r="4412">
      <x:c r="A4412" s="142"/>
    </x:row>
    <x:row r="4413">
      <x:c r="A4413" s="142"/>
    </x:row>
    <x:row r="4414">
      <x:c r="A4414" s="142"/>
    </x:row>
    <x:row r="4415">
      <x:c r="A4415" s="142"/>
    </x:row>
    <x:row r="4416">
      <x:c r="A4416" s="142"/>
    </x:row>
    <x:row r="4417">
      <x:c r="A4417" s="142"/>
    </x:row>
    <x:row r="4418">
      <x:c r="A4418" s="142"/>
    </x:row>
    <x:row r="4419">
      <x:c r="A4419" s="142"/>
    </x:row>
    <x:row r="4420">
      <x:c r="A4420" s="142"/>
    </x:row>
    <x:row r="4421">
      <x:c r="A4421" s="142"/>
    </x:row>
    <x:row r="4422">
      <x:c r="A4422" s="142"/>
    </x:row>
    <x:row r="4423">
      <x:c r="A4423" s="142"/>
    </x:row>
    <x:row r="4424">
      <x:c r="A4424" s="142"/>
    </x:row>
    <x:row r="4425">
      <x:c r="A4425" s="142"/>
    </x:row>
    <x:row r="4426">
      <x:c r="A4426" s="142"/>
    </x:row>
    <x:row r="4427">
      <x:c r="A4427" s="142"/>
    </x:row>
    <x:row r="4428">
      <x:c r="A4428" s="142"/>
    </x:row>
    <x:row r="4429">
      <x:c r="A4429" s="142"/>
    </x:row>
    <x:row r="4430">
      <x:c r="A4430" s="142"/>
    </x:row>
    <x:row r="4431">
      <x:c r="A4431" s="142"/>
    </x:row>
    <x:row r="4432">
      <x:c r="A4432" s="142"/>
    </x:row>
    <x:row r="4433">
      <x:c r="A4433" s="142"/>
    </x:row>
    <x:row r="4434">
      <x:c r="A4434" s="142"/>
    </x:row>
    <x:row r="4435">
      <x:c r="A4435" s="142"/>
    </x:row>
    <x:row r="4436">
      <x:c r="A4436" s="142"/>
    </x:row>
    <x:row r="4437">
      <x:c r="A4437" s="142"/>
    </x:row>
    <x:row r="4438">
      <x:c r="A4438" s="142"/>
    </x:row>
    <x:row r="4439">
      <x:c r="A4439" s="142"/>
    </x:row>
    <x:row r="4440">
      <x:c r="A4440" s="142"/>
    </x:row>
    <x:row r="4441">
      <x:c r="A4441" s="142"/>
    </x:row>
    <x:row r="4442">
      <x:c r="A4442" s="142"/>
    </x:row>
    <x:row r="4443">
      <x:c r="A4443" s="142"/>
    </x:row>
    <x:row r="4444">
      <x:c r="A4444" s="142"/>
    </x:row>
    <x:row r="4445">
      <x:c r="A4445" s="142"/>
    </x:row>
    <x:row r="4446">
      <x:c r="A4446" s="142"/>
    </x:row>
    <x:row r="4447">
      <x:c r="A4447" s="142"/>
    </x:row>
    <x:row r="4448">
      <x:c r="A4448" s="142"/>
    </x:row>
    <x:row r="4449">
      <x:c r="A4449" s="142"/>
    </x:row>
    <x:row r="4450">
      <x:c r="A4450" s="142"/>
    </x:row>
    <x:row r="4451">
      <x:c r="A4451" s="142"/>
    </x:row>
    <x:row r="4452">
      <x:c r="A4452" s="142"/>
    </x:row>
    <x:row r="4453">
      <x:c r="A4453" s="142"/>
    </x:row>
    <x:row r="4454">
      <x:c r="A4454" s="142"/>
    </x:row>
    <x:row r="4455">
      <x:c r="A4455" s="142"/>
    </x:row>
    <x:row r="4456">
      <x:c r="A4456" s="142"/>
    </x:row>
    <x:row r="4457">
      <x:c r="A4457" s="142"/>
    </x:row>
    <x:row r="4458">
      <x:c r="A4458" s="142"/>
    </x:row>
    <x:row r="4459">
      <x:c r="A4459" s="142"/>
    </x:row>
    <x:row r="4460">
      <x:c r="A4460" s="142"/>
    </x:row>
    <x:row r="4461">
      <x:c r="A4461" s="142"/>
    </x:row>
    <x:row r="4462">
      <x:c r="A4462" s="142"/>
    </x:row>
    <x:row r="4463">
      <x:c r="A4463" s="142"/>
    </x:row>
    <x:row r="4464">
      <x:c r="A4464" s="142"/>
    </x:row>
    <x:row r="4465">
      <x:c r="A4465" s="142"/>
    </x:row>
    <x:row r="4466">
      <x:c r="A4466" s="142"/>
    </x:row>
    <x:row r="4467">
      <x:c r="A4467" s="142"/>
    </x:row>
    <x:row r="4468">
      <x:c r="A4468" s="142"/>
    </x:row>
    <x:row r="4469">
      <x:c r="A4469" s="142"/>
    </x:row>
    <x:row r="4470">
      <x:c r="A4470" s="142"/>
    </x:row>
    <x:row r="4471">
      <x:c r="A4471" s="142"/>
    </x:row>
    <x:row r="4472">
      <x:c r="A4472" s="142"/>
    </x:row>
    <x:row r="4473">
      <x:c r="A4473" s="142"/>
    </x:row>
    <x:row r="4474">
      <x:c r="A4474" s="142"/>
    </x:row>
    <x:row r="4475">
      <x:c r="A4475" s="142"/>
    </x:row>
    <x:row r="4476">
      <x:c r="A4476" s="142"/>
    </x:row>
    <x:row r="4477">
      <x:c r="A4477" s="142"/>
    </x:row>
    <x:row r="4478">
      <x:c r="A4478" s="142"/>
    </x:row>
    <x:row r="4479">
      <x:c r="A4479" s="142"/>
    </x:row>
    <x:row r="4480">
      <x:c r="A4480" s="142"/>
    </x:row>
    <x:row r="4481">
      <x:c r="A4481" s="142"/>
    </x:row>
    <x:row r="4482">
      <x:c r="A4482" s="142"/>
    </x:row>
    <x:row r="4483">
      <x:c r="A4483" s="142"/>
    </x:row>
    <x:row r="4484">
      <x:c r="A4484" s="142"/>
    </x:row>
    <x:row r="4485">
      <x:c r="A4485" s="142"/>
    </x:row>
    <x:row r="4486">
      <x:c r="A4486" s="142"/>
    </x:row>
    <x:row r="4487">
      <x:c r="A4487" s="142"/>
    </x:row>
    <x:row r="4488">
      <x:c r="A4488" s="142"/>
    </x:row>
    <x:row r="4489">
      <x:c r="A4489" s="142"/>
    </x:row>
    <x:row r="4490">
      <x:c r="A4490" s="142"/>
    </x:row>
    <x:row r="4491">
      <x:c r="A4491" s="142"/>
    </x:row>
    <x:row r="4492">
      <x:c r="A4492" s="142"/>
    </x:row>
    <x:row r="4493">
      <x:c r="A4493" s="142"/>
    </x:row>
    <x:row r="4494">
      <x:c r="A4494" s="142"/>
    </x:row>
    <x:row r="4495">
      <x:c r="A4495" s="142"/>
    </x:row>
    <x:row r="4496">
      <x:c r="A4496" s="142"/>
    </x:row>
    <x:row r="4497">
      <x:c r="A4497" s="142"/>
    </x:row>
    <x:row r="4498">
      <x:c r="A4498" s="142"/>
    </x:row>
    <x:row r="4499">
      <x:c r="A4499" s="142"/>
    </x:row>
    <x:row r="4500">
      <x:c r="A4500" s="142"/>
    </x:row>
    <x:row r="4501">
      <x:c r="A4501" s="142"/>
    </x:row>
    <x:row r="4502">
      <x:c r="A4502" s="142"/>
    </x:row>
    <x:row r="4503">
      <x:c r="A4503" s="142"/>
    </x:row>
    <x:row r="4504">
      <x:c r="A4504" s="142"/>
    </x:row>
    <x:row r="4505">
      <x:c r="A4505" s="142"/>
    </x:row>
    <x:row r="4506">
      <x:c r="A4506" s="142"/>
    </x:row>
    <x:row r="4507">
      <x:c r="A4507" s="142"/>
    </x:row>
    <x:row r="4508">
      <x:c r="A4508" s="142"/>
    </x:row>
    <x:row r="4509">
      <x:c r="A4509" s="142"/>
    </x:row>
    <x:row r="4510">
      <x:c r="A4510" s="142"/>
    </x:row>
    <x:row r="4511">
      <x:c r="A4511" s="142"/>
    </x:row>
    <x:row r="4512">
      <x:c r="A4512" s="142"/>
    </x:row>
    <x:row r="4513">
      <x:c r="A4513" s="142"/>
    </x:row>
    <x:row r="4514">
      <x:c r="A4514" s="142"/>
    </x:row>
    <x:row r="4515">
      <x:c r="A4515" s="142"/>
    </x:row>
    <x:row r="4516">
      <x:c r="A4516" s="142"/>
    </x:row>
    <x:row r="4517">
      <x:c r="A4517" s="142"/>
    </x:row>
    <x:row r="4518">
      <x:c r="A4518" s="142"/>
    </x:row>
    <x:row r="4519">
      <x:c r="A4519" s="142"/>
    </x:row>
    <x:row r="4520">
      <x:c r="A4520" s="142"/>
    </x:row>
    <x:row r="4521">
      <x:c r="A4521" s="142"/>
    </x:row>
    <x:row r="4522">
      <x:c r="A4522" s="142"/>
    </x:row>
    <x:row r="4523">
      <x:c r="A4523" s="142"/>
    </x:row>
    <x:row r="4524">
      <x:c r="A4524" s="142"/>
    </x:row>
    <x:row r="4525">
      <x:c r="A4525" s="142"/>
    </x:row>
    <x:row r="4526">
      <x:c r="A4526" s="142"/>
    </x:row>
    <x:row r="4527">
      <x:c r="A4527" s="142"/>
    </x:row>
    <x:row r="4528">
      <x:c r="A4528" s="142"/>
    </x:row>
    <x:row r="4529">
      <x:c r="A4529" s="142"/>
    </x:row>
    <x:row r="4530">
      <x:c r="A4530" s="142"/>
    </x:row>
    <x:row r="4531">
      <x:c r="A4531" s="142"/>
    </x:row>
    <x:row r="4532">
      <x:c r="A4532" s="142"/>
    </x:row>
    <x:row r="4533">
      <x:c r="A4533" s="142"/>
    </x:row>
    <x:row r="4534">
      <x:c r="A4534" s="142"/>
    </x:row>
    <x:row r="4535">
      <x:c r="A4535" s="142"/>
    </x:row>
    <x:row r="4536">
      <x:c r="A4536" s="142"/>
    </x:row>
    <x:row r="4537">
      <x:c r="A4537" s="142"/>
    </x:row>
    <x:row r="4538">
      <x:c r="A4538" s="142"/>
    </x:row>
    <x:row r="4539">
      <x:c r="A4539" s="142"/>
    </x:row>
    <x:row r="4540">
      <x:c r="A4540" s="142"/>
    </x:row>
    <x:row r="4541">
      <x:c r="A4541" s="142"/>
    </x:row>
    <x:row r="4542">
      <x:c r="A4542" s="142"/>
    </x:row>
    <x:row r="4543">
      <x:c r="A4543" s="142"/>
    </x:row>
    <x:row r="4544">
      <x:c r="A4544" s="142"/>
    </x:row>
    <x:row r="4545">
      <x:c r="A4545" s="142"/>
    </x:row>
    <x:row r="4546">
      <x:c r="A4546" s="142"/>
    </x:row>
    <x:row r="4547">
      <x:c r="A4547" s="142"/>
    </x:row>
    <x:row r="4548">
      <x:c r="A4548" s="142"/>
    </x:row>
    <x:row r="4549">
      <x:c r="A4549" s="142"/>
    </x:row>
    <x:row r="4550">
      <x:c r="A4550" s="142"/>
    </x:row>
    <x:row r="4551">
      <x:c r="A4551" s="142"/>
    </x:row>
    <x:row r="4552">
      <x:c r="A4552" s="142"/>
    </x:row>
    <x:row r="4553">
      <x:c r="A4553" s="142"/>
    </x:row>
    <x:row r="4554">
      <x:c r="A4554" s="142"/>
    </x:row>
    <x:row r="4555">
      <x:c r="A4555" s="142"/>
    </x:row>
    <x:row r="4556">
      <x:c r="A4556" s="142"/>
    </x:row>
    <x:row r="4557">
      <x:c r="A4557" s="142"/>
    </x:row>
    <x:row r="4558">
      <x:c r="A4558" s="142"/>
    </x:row>
    <x:row r="4559">
      <x:c r="A4559" s="142"/>
    </x:row>
    <x:row r="4560">
      <x:c r="A4560" s="142"/>
    </x:row>
    <x:row r="4561">
      <x:c r="A4561" s="142"/>
    </x:row>
    <x:row r="4562">
      <x:c r="A4562" s="142"/>
    </x:row>
    <x:row r="4563">
      <x:c r="A4563" s="142"/>
    </x:row>
    <x:row r="4564">
      <x:c r="A4564" s="142"/>
    </x:row>
    <x:row r="4565">
      <x:c r="A4565" s="142"/>
    </x:row>
    <x:row r="4566">
      <x:c r="A4566" s="142"/>
    </x:row>
    <x:row r="4567">
      <x:c r="A4567" s="142"/>
    </x:row>
    <x:row r="4568">
      <x:c r="A4568" s="142"/>
    </x:row>
    <x:row r="4569">
      <x:c r="A4569" s="142"/>
    </x:row>
    <x:row r="4570">
      <x:c r="A4570" s="142"/>
    </x:row>
    <x:row r="4571">
      <x:c r="A4571" s="142"/>
    </x:row>
    <x:row r="4572">
      <x:c r="A4572" s="142"/>
    </x:row>
    <x:row r="4573">
      <x:c r="A4573" s="142"/>
    </x:row>
    <x:row r="4574">
      <x:c r="A4574" s="142"/>
    </x:row>
    <x:row r="4575">
      <x:c r="A4575" s="142"/>
    </x:row>
    <x:row r="4576">
      <x:c r="A4576" s="142"/>
    </x:row>
    <x:row r="4577">
      <x:c r="A4577" s="142"/>
    </x:row>
    <x:row r="4578">
      <x:c r="A4578" s="142"/>
    </x:row>
    <x:row r="4579">
      <x:c r="A4579" s="142"/>
    </x:row>
    <x:row r="4580">
      <x:c r="A4580" s="142"/>
    </x:row>
    <x:row r="4581">
      <x:c r="A4581" s="142"/>
    </x:row>
    <x:row r="4582">
      <x:c r="A4582" s="142"/>
    </x:row>
    <x:row r="4583">
      <x:c r="A4583" s="142"/>
    </x:row>
    <x:row r="4584">
      <x:c r="A4584" s="142"/>
    </x:row>
    <x:row r="4585">
      <x:c r="A4585" s="142"/>
    </x:row>
    <x:row r="4586">
      <x:c r="A4586" s="142"/>
    </x:row>
    <x:row r="4587">
      <x:c r="A4587" s="142"/>
    </x:row>
    <x:row r="4588">
      <x:c r="A4588" s="142"/>
    </x:row>
    <x:row r="4589">
      <x:c r="A4589" s="142"/>
    </x:row>
    <x:row r="4590">
      <x:c r="A4590" s="142"/>
    </x:row>
    <x:row r="4591">
      <x:c r="A4591" s="142"/>
    </x:row>
    <x:row r="4592">
      <x:c r="A4592" s="142"/>
    </x:row>
    <x:row r="4593">
      <x:c r="A4593" s="142"/>
    </x:row>
    <x:row r="4594">
      <x:c r="A4594" s="142"/>
    </x:row>
    <x:row r="4595">
      <x:c r="A4595" s="142"/>
    </x:row>
    <x:row r="4596">
      <x:c r="A4596" s="142"/>
    </x:row>
    <x:row r="4597">
      <x:c r="A4597" s="142"/>
    </x:row>
    <x:row r="4598">
      <x:c r="A4598" s="142"/>
    </x:row>
    <x:row r="4599">
      <x:c r="A4599" s="142"/>
    </x:row>
    <x:row r="4600">
      <x:c r="A4600" s="142"/>
    </x:row>
    <x:row r="4601">
      <x:c r="A4601" s="142"/>
    </x:row>
    <x:row r="4602">
      <x:c r="A4602" s="142"/>
    </x:row>
    <x:row r="4603">
      <x:c r="A4603" s="142"/>
    </x:row>
    <x:row r="4604">
      <x:c r="A4604" s="142"/>
    </x:row>
    <x:row r="4605">
      <x:c r="A4605" s="142"/>
    </x:row>
    <x:row r="4606">
      <x:c r="A4606" s="142"/>
    </x:row>
    <x:row r="4607">
      <x:c r="A4607" s="142"/>
    </x:row>
    <x:row r="4608">
      <x:c r="A4608" s="142"/>
    </x:row>
    <x:row r="4609">
      <x:c r="A4609" s="142"/>
    </x:row>
    <x:row r="4610">
      <x:c r="A4610" s="142"/>
    </x:row>
    <x:row r="4611">
      <x:c r="A4611" s="142"/>
    </x:row>
    <x:row r="4612">
      <x:c r="A4612" s="142"/>
    </x:row>
    <x:row r="4613">
      <x:c r="A4613" s="142"/>
    </x:row>
    <x:row r="4614">
      <x:c r="A4614" s="142"/>
    </x:row>
    <x:row r="4615">
      <x:c r="A4615" s="142"/>
    </x:row>
    <x:row r="4616">
      <x:c r="A4616" s="142"/>
    </x:row>
    <x:row r="4617">
      <x:c r="A4617" s="142"/>
    </x:row>
    <x:row r="4618">
      <x:c r="A4618" s="142"/>
    </x:row>
    <x:row r="4619">
      <x:c r="A4619" s="142"/>
    </x:row>
    <x:row r="4620">
      <x:c r="A4620" s="142"/>
    </x:row>
    <x:row r="4621">
      <x:c r="A4621" s="142"/>
    </x:row>
    <x:row r="4622">
      <x:c r="A4622" s="142"/>
    </x:row>
    <x:row r="4623">
      <x:c r="A4623" s="142"/>
    </x:row>
    <x:row r="4624">
      <x:c r="A4624" s="142"/>
    </x:row>
    <x:row r="4625">
      <x:c r="A4625" s="142"/>
    </x:row>
    <x:row r="4626">
      <x:c r="A4626" s="142"/>
    </x:row>
    <x:row r="4627">
      <x:c r="A4627" s="142"/>
    </x:row>
    <x:row r="4628">
      <x:c r="A4628" s="142"/>
    </x:row>
    <x:row r="4629">
      <x:c r="A4629" s="142"/>
    </x:row>
    <x:row r="4630">
      <x:c r="A4630" s="142"/>
    </x:row>
    <x:row r="4631">
      <x:c r="A4631" s="142"/>
    </x:row>
    <x:row r="4632">
      <x:c r="A4632" s="142"/>
    </x:row>
    <x:row r="4633">
      <x:c r="A4633" s="142"/>
    </x:row>
    <x:row r="4634">
      <x:c r="A4634" s="142"/>
    </x:row>
    <x:row r="4635">
      <x:c r="A4635" s="142"/>
    </x:row>
    <x:row r="4636">
      <x:c r="A4636" s="142"/>
    </x:row>
    <x:row r="4637">
      <x:c r="A4637" s="142"/>
    </x:row>
    <x:row r="4638">
      <x:c r="A4638" s="142"/>
    </x:row>
    <x:row r="4639">
      <x:c r="A4639" s="142"/>
    </x:row>
    <x:row r="4640">
      <x:c r="A4640" s="142"/>
    </x:row>
    <x:row r="4641">
      <x:c r="A4641" s="142"/>
    </x:row>
    <x:row r="4642">
      <x:c r="A4642" s="142"/>
    </x:row>
    <x:row r="4643">
      <x:c r="A4643" s="142"/>
    </x:row>
    <x:row r="4644">
      <x:c r="A4644" s="142"/>
    </x:row>
    <x:row r="4645">
      <x:c r="A4645" s="142"/>
    </x:row>
    <x:row r="4646">
      <x:c r="A4646" s="142"/>
    </x:row>
    <x:row r="4647">
      <x:c r="A4647" s="142"/>
    </x:row>
    <x:row r="4648">
      <x:c r="A4648" s="142"/>
    </x:row>
    <x:row r="4649">
      <x:c r="A4649" s="142"/>
    </x:row>
    <x:row r="4650">
      <x:c r="A4650" s="142"/>
    </x:row>
    <x:row r="4651">
      <x:c r="A4651" s="142"/>
    </x:row>
    <x:row r="4652">
      <x:c r="A4652" s="142"/>
    </x:row>
    <x:row r="4653">
      <x:c r="A4653" s="142"/>
    </x:row>
    <x:row r="4654">
      <x:c r="A4654" s="142"/>
    </x:row>
    <x:row r="4655">
      <x:c r="A4655" s="142"/>
    </x:row>
    <x:row r="4656">
      <x:c r="A4656" s="142"/>
    </x:row>
    <x:row r="4657">
      <x:c r="A4657" s="142"/>
    </x:row>
    <x:row r="4658">
      <x:c r="A4658" s="142"/>
    </x:row>
    <x:row r="4659">
      <x:c r="A4659" s="142"/>
    </x:row>
    <x:row r="4660">
      <x:c r="A4660" s="142"/>
    </x:row>
    <x:row r="4661">
      <x:c r="A4661" s="142"/>
    </x:row>
    <x:row r="4662">
      <x:c r="A4662" s="142"/>
    </x:row>
    <x:row r="4663">
      <x:c r="A4663" s="142"/>
    </x:row>
    <x:row r="4664">
      <x:c r="A4664" s="142"/>
    </x:row>
    <x:row r="4665">
      <x:c r="A4665" s="142"/>
    </x:row>
    <x:row r="4666">
      <x:c r="A4666" s="142"/>
    </x:row>
    <x:row r="4667">
      <x:c r="A4667" s="142"/>
    </x:row>
    <x:row r="4668">
      <x:c r="A4668" s="142"/>
    </x:row>
    <x:row r="4669">
      <x:c r="A4669" s="142"/>
    </x:row>
    <x:row r="4670">
      <x:c r="A4670" s="142"/>
    </x:row>
    <x:row r="4671">
      <x:c r="A4671" s="142"/>
    </x:row>
    <x:row r="4672">
      <x:c r="A4672" s="142"/>
    </x:row>
    <x:row r="4673">
      <x:c r="A4673" s="142"/>
    </x:row>
    <x:row r="4674">
      <x:c r="A4674" s="142"/>
    </x:row>
    <x:row r="4675">
      <x:c r="A4675" s="142"/>
    </x:row>
    <x:row r="4676">
      <x:c r="A4676" s="142"/>
    </x:row>
    <x:row r="4677">
      <x:c r="A4677" s="142"/>
    </x:row>
    <x:row r="4678">
      <x:c r="A4678" s="142"/>
    </x:row>
    <x:row r="4679">
      <x:c r="A4679" s="142"/>
    </x:row>
    <x:row r="4680">
      <x:c r="A4680" s="142"/>
    </x:row>
    <x:row r="4681">
      <x:c r="A4681" s="142"/>
    </x:row>
    <x:row r="4682">
      <x:c r="A4682" s="142"/>
    </x:row>
    <x:row r="4683">
      <x:c r="A4683" s="142"/>
    </x:row>
    <x:row r="4684">
      <x:c r="A4684" s="142"/>
    </x:row>
    <x:row r="4685">
      <x:c r="A4685" s="142"/>
    </x:row>
    <x:row r="4686">
      <x:c r="A4686" s="142"/>
    </x:row>
    <x:row r="4687">
      <x:c r="A4687" s="142"/>
    </x:row>
    <x:row r="4688">
      <x:c r="A4688" s="142"/>
    </x:row>
    <x:row r="4689">
      <x:c r="A4689" s="142"/>
    </x:row>
    <x:row r="4690">
      <x:c r="A4690" s="142"/>
    </x:row>
    <x:row r="4691">
      <x:c r="A4691" s="142"/>
    </x:row>
    <x:row r="4692">
      <x:c r="A4692" s="142"/>
    </x:row>
    <x:row r="4693">
      <x:c r="A4693" s="142"/>
    </x:row>
    <x:row r="4694">
      <x:c r="A4694" s="142"/>
    </x:row>
    <x:row r="4695">
      <x:c r="A4695" s="142"/>
    </x:row>
    <x:row r="4696">
      <x:c r="A4696" s="142"/>
    </x:row>
    <x:row r="4697">
      <x:c r="A4697" s="142"/>
    </x:row>
    <x:row r="4698">
      <x:c r="A4698" s="142"/>
    </x:row>
    <x:row r="4699">
      <x:c r="A4699" s="142"/>
    </x:row>
    <x:row r="4700">
      <x:c r="A4700" s="142"/>
    </x:row>
    <x:row r="4701">
      <x:c r="A4701" s="142"/>
    </x:row>
    <x:row r="4702">
      <x:c r="A4702" s="142"/>
    </x:row>
    <x:row r="4703">
      <x:c r="A4703" s="142"/>
    </x:row>
    <x:row r="4704">
      <x:c r="A4704" s="142"/>
    </x:row>
    <x:row r="4705">
      <x:c r="A4705" s="142"/>
    </x:row>
    <x:row r="4706">
      <x:c r="A4706" s="142"/>
    </x:row>
    <x:row r="4707">
      <x:c r="A4707" s="142"/>
    </x:row>
    <x:row r="4708">
      <x:c r="A4708" s="142"/>
    </x:row>
    <x:row r="4709">
      <x:c r="A4709" s="142"/>
    </x:row>
    <x:row r="4710">
      <x:c r="A4710" s="142"/>
    </x:row>
    <x:row r="4711">
      <x:c r="A4711" s="142"/>
    </x:row>
    <x:row r="4712">
      <x:c r="A4712" s="142"/>
    </x:row>
    <x:row r="4713">
      <x:c r="A4713" s="142"/>
    </x:row>
    <x:row r="4714">
      <x:c r="A4714" s="142"/>
    </x:row>
    <x:row r="4715">
      <x:c r="A4715" s="142"/>
    </x:row>
    <x:row r="4716">
      <x:c r="A4716" s="142"/>
    </x:row>
    <x:row r="4717">
      <x:c r="A4717" s="142"/>
    </x:row>
    <x:row r="4718">
      <x:c r="A4718" s="142"/>
    </x:row>
    <x:row r="4719">
      <x:c r="A4719" s="142"/>
    </x:row>
    <x:row r="4720">
      <x:c r="A4720" s="142"/>
    </x:row>
    <x:row r="4721">
      <x:c r="A4721" s="142"/>
    </x:row>
    <x:row r="4722">
      <x:c r="A4722" s="142"/>
    </x:row>
    <x:row r="4723">
      <x:c r="A4723" s="142"/>
    </x:row>
    <x:row r="4724">
      <x:c r="A4724" s="142"/>
    </x:row>
    <x:row r="4725">
      <x:c r="A4725" s="142"/>
    </x:row>
    <x:row r="4726">
      <x:c r="A4726" s="142"/>
    </x:row>
    <x:row r="4727">
      <x:c r="A4727" s="142"/>
    </x:row>
    <x:row r="4728">
      <x:c r="A4728" s="142"/>
    </x:row>
    <x:row r="4729">
      <x:c r="A4729" s="142"/>
    </x:row>
    <x:row r="4730">
      <x:c r="A4730" s="142"/>
    </x:row>
    <x:row r="4731">
      <x:c r="A4731" s="142"/>
    </x:row>
    <x:row r="4732">
      <x:c r="A4732" s="142"/>
    </x:row>
    <x:row r="4733">
      <x:c r="A4733" s="142"/>
    </x:row>
    <x:row r="4734">
      <x:c r="A4734" s="142"/>
    </x:row>
    <x:row r="4735">
      <x:c r="A4735" s="142"/>
    </x:row>
    <x:row r="4736">
      <x:c r="A4736" s="142"/>
    </x:row>
    <x:row r="4737">
      <x:c r="A4737" s="142"/>
    </x:row>
    <x:row r="4738">
      <x:c r="A4738" s="142"/>
    </x:row>
    <x:row r="4739">
      <x:c r="A4739" s="142"/>
    </x:row>
    <x:row r="4740">
      <x:c r="A4740" s="142"/>
    </x:row>
    <x:row r="4741">
      <x:c r="A4741" s="142"/>
    </x:row>
    <x:row r="4742">
      <x:c r="A4742" s="142"/>
    </x:row>
    <x:row r="4743">
      <x:c r="A4743" s="142"/>
    </x:row>
    <x:row r="4744">
      <x:c r="A4744" s="142"/>
    </x:row>
    <x:row r="4745">
      <x:c r="A4745" s="142"/>
    </x:row>
    <x:row r="4746">
      <x:c r="A4746" s="142"/>
    </x:row>
    <x:row r="4747">
      <x:c r="A4747" s="142"/>
    </x:row>
    <x:row r="4748">
      <x:c r="A4748" s="142"/>
    </x:row>
    <x:row r="4749">
      <x:c r="A4749" s="142"/>
    </x:row>
    <x:row r="4750">
      <x:c r="A4750" s="142"/>
    </x:row>
    <x:row r="4751">
      <x:c r="A4751" s="142"/>
    </x:row>
    <x:row r="4752">
      <x:c r="A4752" s="142"/>
    </x:row>
    <x:row r="4753">
      <x:c r="A4753" s="142"/>
    </x:row>
    <x:row r="4754">
      <x:c r="A4754" s="142"/>
    </x:row>
    <x:row r="4755">
      <x:c r="A4755" s="142"/>
    </x:row>
    <x:row r="4756">
      <x:c r="A4756" s="142"/>
    </x:row>
    <x:row r="4757">
      <x:c r="A4757" s="142"/>
    </x:row>
    <x:row r="4758">
      <x:c r="A4758" s="142"/>
    </x:row>
    <x:row r="4759">
      <x:c r="A4759" s="142"/>
    </x:row>
    <x:row r="4760">
      <x:c r="A4760" s="142"/>
    </x:row>
    <x:row r="4761">
      <x:c r="A4761" s="142"/>
    </x:row>
    <x:row r="4762">
      <x:c r="A4762" s="142"/>
    </x:row>
    <x:row r="4763">
      <x:c r="A4763" s="142"/>
    </x:row>
    <x:row r="4764">
      <x:c r="A4764" s="142"/>
    </x:row>
    <x:row r="4765">
      <x:c r="A4765" s="142"/>
    </x:row>
    <x:row r="4766">
      <x:c r="A4766" s="142"/>
    </x:row>
    <x:row r="4767">
      <x:c r="A4767" s="142"/>
    </x:row>
    <x:row r="4768">
      <x:c r="A4768" s="142"/>
    </x:row>
    <x:row r="4769">
      <x:c r="A4769" s="142"/>
    </x:row>
    <x:row r="4770">
      <x:c r="A4770" s="142"/>
    </x:row>
    <x:row r="4771">
      <x:c r="A4771" s="142"/>
    </x:row>
    <x:row r="4772">
      <x:c r="A4772" s="142"/>
    </x:row>
    <x:row r="4773">
      <x:c r="A4773" s="142"/>
    </x:row>
    <x:row r="4774">
      <x:c r="A4774" s="142"/>
    </x:row>
    <x:row r="4775">
      <x:c r="A4775" s="142"/>
    </x:row>
    <x:row r="4776">
      <x:c r="A4776" s="142"/>
    </x:row>
    <x:row r="4777">
      <x:c r="A4777" s="142"/>
    </x:row>
    <x:row r="4778">
      <x:c r="A4778" s="142"/>
    </x:row>
    <x:row r="4779">
      <x:c r="A4779" s="142"/>
    </x:row>
    <x:row r="4780">
      <x:c r="A4780" s="142"/>
    </x:row>
    <x:row r="4781">
      <x:c r="A4781" s="142"/>
    </x:row>
    <x:row r="4782">
      <x:c r="A4782" s="142"/>
    </x:row>
    <x:row r="4783">
      <x:c r="A4783" s="142"/>
    </x:row>
    <x:row r="4784">
      <x:c r="A4784" s="142"/>
    </x:row>
    <x:row r="4785">
      <x:c r="A4785" s="142"/>
    </x:row>
    <x:row r="4786">
      <x:c r="A4786" s="142"/>
    </x:row>
    <x:row r="4787">
      <x:c r="A4787" s="142"/>
    </x:row>
    <x:row r="4788">
      <x:c r="A4788" s="142"/>
    </x:row>
    <x:row r="4789">
      <x:c r="A4789" s="142"/>
    </x:row>
    <x:row r="4790">
      <x:c r="A4790" s="142"/>
    </x:row>
    <x:row r="4791">
      <x:c r="A4791" s="142"/>
    </x:row>
    <x:row r="4792">
      <x:c r="A4792" s="142"/>
    </x:row>
    <x:row r="4793">
      <x:c r="A4793" s="142"/>
    </x:row>
    <x:row r="4794">
      <x:c r="A4794" s="142"/>
    </x:row>
    <x:row r="4795">
      <x:c r="A4795" s="142"/>
    </x:row>
    <x:row r="4796">
      <x:c r="A4796" s="142"/>
    </x:row>
    <x:row r="4797">
      <x:c r="A4797" s="142"/>
    </x:row>
    <x:row r="4798">
      <x:c r="A4798" s="142"/>
    </x:row>
    <x:row r="4799">
      <x:c r="A4799" s="142"/>
    </x:row>
    <x:row r="4800">
      <x:c r="A4800" s="142"/>
    </x:row>
    <x:row r="4801">
      <x:c r="A4801" s="142"/>
    </x:row>
    <x:row r="4802">
      <x:c r="A4802" s="142"/>
    </x:row>
    <x:row r="4803">
      <x:c r="A4803" s="142"/>
    </x:row>
    <x:row r="4804">
      <x:c r="A4804" s="142"/>
    </x:row>
    <x:row r="4805">
      <x:c r="A4805" s="142"/>
    </x:row>
    <x:row r="4806">
      <x:c r="A4806" s="142"/>
    </x:row>
    <x:row r="4807">
      <x:c r="A4807" s="142"/>
    </x:row>
    <x:row r="4808">
      <x:c r="A4808" s="142"/>
    </x:row>
    <x:row r="4809">
      <x:c r="A4809" s="142"/>
    </x:row>
    <x:row r="4810">
      <x:c r="A4810" s="142"/>
    </x:row>
    <x:row r="4811">
      <x:c r="A4811" s="142"/>
    </x:row>
    <x:row r="4812">
      <x:c r="A4812" s="142"/>
    </x:row>
    <x:row r="4813">
      <x:c r="A4813" s="142"/>
    </x:row>
    <x:row r="4814">
      <x:c r="A4814" s="142"/>
    </x:row>
    <x:row r="4815">
      <x:c r="A4815" s="142"/>
    </x:row>
    <x:row r="4816">
      <x:c r="A4816" s="142"/>
    </x:row>
    <x:row r="4817">
      <x:c r="A4817" s="142"/>
    </x:row>
    <x:row r="4818">
      <x:c r="A4818" s="142"/>
    </x:row>
    <x:row r="4819">
      <x:c r="A4819" s="142"/>
    </x:row>
    <x:row r="4820">
      <x:c r="A4820" s="142"/>
    </x:row>
    <x:row r="4821">
      <x:c r="A4821" s="142"/>
    </x:row>
    <x:row r="4822">
      <x:c r="A4822" s="142"/>
    </x:row>
    <x:row r="4823">
      <x:c r="A4823" s="142"/>
    </x:row>
    <x:row r="4824">
      <x:c r="A4824" s="142"/>
    </x:row>
    <x:row r="4825">
      <x:c r="A4825" s="142"/>
    </x:row>
    <x:row r="4826">
      <x:c r="A4826" s="142"/>
    </x:row>
    <x:row r="4827">
      <x:c r="A4827" s="142"/>
    </x:row>
    <x:row r="4828">
      <x:c r="A4828" s="142"/>
    </x:row>
    <x:row r="4829">
      <x:c r="A4829" s="142"/>
    </x:row>
    <x:row r="4830">
      <x:c r="A4830" s="142"/>
    </x:row>
    <x:row r="4831">
      <x:c r="A4831" s="142"/>
    </x:row>
    <x:row r="4832">
      <x:c r="A4832" s="142"/>
    </x:row>
    <x:row r="4833">
      <x:c r="A4833" s="142"/>
    </x:row>
    <x:row r="4834">
      <x:c r="A4834" s="142"/>
    </x:row>
    <x:row r="4835">
      <x:c r="A4835" s="142"/>
    </x:row>
    <x:row r="4836">
      <x:c r="A4836" s="142"/>
    </x:row>
    <x:row r="4837">
      <x:c r="A4837" s="142"/>
    </x:row>
    <x:row r="4838">
      <x:c r="A4838" s="142"/>
    </x:row>
    <x:row r="4839">
      <x:c r="A4839" s="142"/>
    </x:row>
    <x:row r="4840">
      <x:c r="A4840" s="142"/>
    </x:row>
    <x:row r="4841">
      <x:c r="A4841" s="142"/>
    </x:row>
    <x:row r="4842">
      <x:c r="A4842" s="142"/>
    </x:row>
    <x:row r="4843">
      <x:c r="A4843" s="142"/>
    </x:row>
    <x:row r="4844">
      <x:c r="A4844" s="142"/>
    </x:row>
    <x:row r="4845">
      <x:c r="A4845" s="142"/>
    </x:row>
    <x:row r="4846">
      <x:c r="A4846" s="142"/>
    </x:row>
    <x:row r="4847">
      <x:c r="A4847" s="142"/>
    </x:row>
    <x:row r="4848">
      <x:c r="A4848" s="142"/>
    </x:row>
    <x:row r="4849">
      <x:c r="A4849" s="142"/>
    </x:row>
    <x:row r="4850">
      <x:c r="A4850" s="142"/>
    </x:row>
    <x:row r="4851">
      <x:c r="A4851" s="142"/>
    </x:row>
    <x:row r="4852">
      <x:c r="A4852" s="142"/>
    </x:row>
    <x:row r="4853">
      <x:c r="A4853" s="142"/>
    </x:row>
    <x:row r="4854">
      <x:c r="A4854" s="142"/>
    </x:row>
    <x:row r="4855">
      <x:c r="A4855" s="142"/>
    </x:row>
    <x:row r="4856">
      <x:c r="A4856" s="142"/>
    </x:row>
    <x:row r="4857">
      <x:c r="A4857" s="142"/>
    </x:row>
    <x:row r="4858">
      <x:c r="A4858" s="142"/>
    </x:row>
    <x:row r="4859">
      <x:c r="A4859" s="142"/>
    </x:row>
    <x:row r="4860">
      <x:c r="A4860" s="142"/>
    </x:row>
    <x:row r="4861">
      <x:c r="A4861" s="142"/>
    </x:row>
    <x:row r="4862">
      <x:c r="A4862" s="142"/>
    </x:row>
    <x:row r="4863">
      <x:c r="A4863" s="142"/>
    </x:row>
    <x:row r="4864">
      <x:c r="A4864" s="142"/>
    </x:row>
    <x:row r="4865">
      <x:c r="A4865" s="142"/>
    </x:row>
    <x:row r="4866">
      <x:c r="A4866" s="142"/>
    </x:row>
    <x:row r="4867">
      <x:c r="A4867" s="142"/>
    </x:row>
    <x:row r="4868">
      <x:c r="A4868" s="142"/>
    </x:row>
    <x:row r="4869">
      <x:c r="A4869" s="142"/>
    </x:row>
    <x:row r="4870">
      <x:c r="A4870" s="142"/>
    </x:row>
    <x:row r="4871">
      <x:c r="A4871" s="142"/>
    </x:row>
    <x:row r="4872">
      <x:c r="A4872" s="142"/>
    </x:row>
    <x:row r="4873">
      <x:c r="A4873" s="142"/>
    </x:row>
    <x:row r="4874">
      <x:c r="A4874" s="142"/>
    </x:row>
    <x:row r="4875">
      <x:c r="A4875" s="142"/>
    </x:row>
    <x:row r="4876">
      <x:c r="A4876" s="142"/>
    </x:row>
    <x:row r="4877">
      <x:c r="A4877" s="142"/>
    </x:row>
    <x:row r="4878">
      <x:c r="A4878" s="142"/>
    </x:row>
    <x:row r="4879">
      <x:c r="A4879" s="142"/>
    </x:row>
    <x:row r="4880">
      <x:c r="A4880" s="142"/>
    </x:row>
    <x:row r="4881">
      <x:c r="A4881" s="142"/>
    </x:row>
    <x:row r="4882">
      <x:c r="A4882" s="142"/>
    </x:row>
    <x:row r="4883">
      <x:c r="A4883" s="142"/>
    </x:row>
    <x:row r="4884">
      <x:c r="A4884" s="142"/>
    </x:row>
    <x:row r="4885">
      <x:c r="A4885" s="142"/>
    </x:row>
    <x:row r="4886">
      <x:c r="A4886" s="142"/>
    </x:row>
    <x:row r="4887">
      <x:c r="A4887" s="142"/>
    </x:row>
    <x:row r="4888">
      <x:c r="A4888" s="142"/>
    </x:row>
    <x:row r="4889">
      <x:c r="A4889" s="142"/>
    </x:row>
    <x:row r="4890">
      <x:c r="A4890" s="142"/>
    </x:row>
    <x:row r="4891">
      <x:c r="A4891" s="142"/>
    </x:row>
    <x:row r="4892">
      <x:c r="A4892" s="142"/>
    </x:row>
    <x:row r="4893">
      <x:c r="A4893" s="142"/>
    </x:row>
    <x:row r="4894">
      <x:c r="A4894" s="142"/>
    </x:row>
    <x:row r="4895">
      <x:c r="A4895" s="142"/>
    </x:row>
    <x:row r="4896">
      <x:c r="A4896" s="142"/>
    </x:row>
    <x:row r="4897">
      <x:c r="A4897" s="142"/>
    </x:row>
    <x:row r="4898">
      <x:c r="A4898" s="142"/>
    </x:row>
    <x:row r="4899">
      <x:c r="A4899" s="142"/>
    </x:row>
    <x:row r="4900">
      <x:c r="A4900" s="142"/>
    </x:row>
    <x:row r="4901">
      <x:c r="A4901" s="142"/>
    </x:row>
    <x:row r="4902">
      <x:c r="A4902" s="142"/>
    </x:row>
    <x:row r="4903">
      <x:c r="A4903" s="142"/>
    </x:row>
    <x:row r="4904">
      <x:c r="A4904" s="142"/>
    </x:row>
    <x:row r="4905">
      <x:c r="A4905" s="142"/>
    </x:row>
    <x:row r="4906">
      <x:c r="A4906" s="142"/>
    </x:row>
    <x:row r="4907">
      <x:c r="A4907" s="142"/>
    </x:row>
    <x:row r="4908">
      <x:c r="A4908" s="142"/>
    </x:row>
    <x:row r="4909">
      <x:c r="A4909" s="142"/>
    </x:row>
    <x:row r="4910">
      <x:c r="A4910" s="142"/>
    </x:row>
    <x:row r="4911">
      <x:c r="A4911" s="142"/>
    </x:row>
    <x:row r="4912">
      <x:c r="A4912" s="142"/>
    </x:row>
    <x:row r="4913">
      <x:c r="A4913" s="142"/>
    </x:row>
    <x:row r="4914">
      <x:c r="A4914" s="142"/>
    </x:row>
    <x:row r="4915">
      <x:c r="A4915" s="142"/>
    </x:row>
    <x:row r="4916">
      <x:c r="A4916" s="142"/>
    </x:row>
    <x:row r="4917">
      <x:c r="A4917" s="142"/>
    </x:row>
    <x:row r="4918">
      <x:c r="A4918" s="142"/>
    </x:row>
    <x:row r="4919">
      <x:c r="A4919" s="142"/>
    </x:row>
    <x:row r="4920">
      <x:c r="A4920" s="142"/>
    </x:row>
    <x:row r="4921">
      <x:c r="A4921" s="142"/>
    </x:row>
    <x:row r="4922">
      <x:c r="A4922" s="142"/>
    </x:row>
    <x:row r="4923">
      <x:c r="A4923" s="142"/>
    </x:row>
    <x:row r="4924">
      <x:c r="A4924" s="142"/>
    </x:row>
    <x:row r="4925">
      <x:c r="A4925" s="142"/>
    </x:row>
    <x:row r="4926">
      <x:c r="A4926" s="142"/>
    </x:row>
    <x:row r="4927">
      <x:c r="A4927" s="142"/>
    </x:row>
    <x:row r="4928">
      <x:c r="A4928" s="142"/>
    </x:row>
    <x:row r="4929">
      <x:c r="A4929" s="142"/>
    </x:row>
    <x:row r="4930">
      <x:c r="A4930" s="142"/>
    </x:row>
    <x:row r="4931">
      <x:c r="A4931" s="142"/>
    </x:row>
    <x:row r="4932">
      <x:c r="A4932" s="142"/>
    </x:row>
    <x:row r="4933">
      <x:c r="A4933" s="142"/>
    </x:row>
    <x:row r="4934">
      <x:c r="A4934" s="142"/>
    </x:row>
    <x:row r="4935">
      <x:c r="A4935" s="142"/>
    </x:row>
    <x:row r="4936">
      <x:c r="A4936" s="142"/>
    </x:row>
    <x:row r="4937">
      <x:c r="A4937" s="142"/>
    </x:row>
    <x:row r="4938">
      <x:c r="A4938" s="142"/>
    </x:row>
    <x:row r="4939">
      <x:c r="A4939" s="142"/>
    </x:row>
    <x:row r="4940">
      <x:c r="A4940" s="142"/>
    </x:row>
    <x:row r="4941">
      <x:c r="A4941" s="142"/>
    </x:row>
    <x:row r="4942">
      <x:c r="A4942" s="142"/>
    </x:row>
    <x:row r="4943">
      <x:c r="A4943" s="142"/>
    </x:row>
    <x:row r="4944">
      <x:c r="A4944" s="142"/>
    </x:row>
    <x:row r="4945">
      <x:c r="A4945" s="142"/>
    </x:row>
    <x:row r="4946">
      <x:c r="A4946" s="142"/>
    </x:row>
    <x:row r="4947">
      <x:c r="A4947" s="142"/>
    </x:row>
    <x:row r="4948">
      <x:c r="A4948" s="142"/>
    </x:row>
    <x:row r="4949">
      <x:c r="A4949" s="142"/>
    </x:row>
    <x:row r="4950">
      <x:c r="A4950" s="142"/>
    </x:row>
    <x:row r="4951">
      <x:c r="A4951" s="142"/>
    </x:row>
    <x:row r="4952">
      <x:c r="A4952" s="142"/>
    </x:row>
    <x:row r="4953">
      <x:c r="A4953" s="142"/>
    </x:row>
    <x:row r="4954">
      <x:c r="A4954" s="142"/>
    </x:row>
    <x:row r="4955">
      <x:c r="A4955" s="142"/>
    </x:row>
    <x:row r="4956">
      <x:c r="A4956" s="142"/>
    </x:row>
    <x:row r="4957">
      <x:c r="A4957" s="142"/>
    </x:row>
    <x:row r="4958">
      <x:c r="A4958" s="142"/>
    </x:row>
    <x:row r="4959">
      <x:c r="A4959" s="142"/>
    </x:row>
    <x:row r="4960">
      <x:c r="A4960" s="142"/>
    </x:row>
    <x:row r="4961">
      <x:c r="A4961" s="142"/>
    </x:row>
    <x:row r="4962">
      <x:c r="A4962" s="142"/>
    </x:row>
    <x:row r="4963">
      <x:c r="A4963" s="142"/>
    </x:row>
    <x:row r="4964">
      <x:c r="A4964" s="142"/>
    </x:row>
    <x:row r="4965">
      <x:c r="A4965" s="142"/>
    </x:row>
    <x:row r="4966">
      <x:c r="A4966" s="142"/>
    </x:row>
    <x:row r="4967">
      <x:c r="A4967" s="142"/>
    </x:row>
    <x:row r="4968">
      <x:c r="A4968" s="142"/>
    </x:row>
    <x:row r="4969">
      <x:c r="A4969" s="142"/>
    </x:row>
    <x:row r="4970">
      <x:c r="A4970" s="142"/>
    </x:row>
    <x:row r="4971">
      <x:c r="A4971" s="142"/>
    </x:row>
    <x:row r="4972">
      <x:c r="A4972" s="142"/>
    </x:row>
    <x:row r="4973">
      <x:c r="A4973" s="142"/>
    </x:row>
    <x:row r="4974">
      <x:c r="A4974" s="142"/>
    </x:row>
    <x:row r="4975">
      <x:c r="A4975" s="142"/>
    </x:row>
    <x:row r="4976">
      <x:c r="A4976" s="142"/>
    </x:row>
    <x:row r="4977">
      <x:c r="A4977" s="142"/>
    </x:row>
    <x:row r="4978">
      <x:c r="A4978" s="142"/>
    </x:row>
    <x:row r="4979">
      <x:c r="A4979" s="142"/>
    </x:row>
    <x:row r="4980">
      <x:c r="A4980" s="142"/>
    </x:row>
    <x:row r="4981">
      <x:c r="A4981" s="142"/>
    </x:row>
    <x:row r="4982">
      <x:c r="A4982" s="142"/>
    </x:row>
    <x:row r="4983">
      <x:c r="A4983" s="142"/>
    </x:row>
    <x:row r="4984">
      <x:c r="A4984" s="142"/>
    </x:row>
    <x:row r="4985">
      <x:c r="A4985" s="142"/>
    </x:row>
    <x:row r="4986">
      <x:c r="A4986" s="142"/>
    </x:row>
    <x:row r="4987">
      <x:c r="A4987" s="142"/>
    </x:row>
    <x:row r="4988">
      <x:c r="A4988" s="142"/>
    </x:row>
    <x:row r="4989">
      <x:c r="A4989" s="142"/>
    </x:row>
    <x:row r="4990">
      <x:c r="A4990" s="142"/>
    </x:row>
    <x:row r="4991">
      <x:c r="A4991" s="142"/>
    </x:row>
    <x:row r="4992">
      <x:c r="A4992" s="142"/>
    </x:row>
    <x:row r="4993">
      <x:c r="A4993" s="142"/>
    </x:row>
    <x:row r="4994">
      <x:c r="A4994" s="142"/>
    </x:row>
    <x:row r="4995">
      <x:c r="A4995" s="142"/>
    </x:row>
    <x:row r="4996">
      <x:c r="A4996" s="142"/>
    </x:row>
    <x:row r="4997">
      <x:c r="A4997" s="142"/>
    </x:row>
    <x:row r="4998">
      <x:c r="A4998" s="142"/>
    </x:row>
    <x:row r="4999">
      <x:c r="A4999" s="142"/>
    </x:row>
    <x:row r="5000">
      <x:c r="A5000" s="142"/>
    </x:row>
    <x:row r="5001">
      <x:c r="A5001" s="142"/>
    </x:row>
    <x:row r="5002">
      <x:c r="A5002" s="142"/>
    </x:row>
    <x:row r="5003">
      <x:c r="A5003" s="142"/>
    </x:row>
    <x:row r="5004">
      <x:c r="A5004" s="142"/>
    </x:row>
    <x:row r="5005">
      <x:c r="A5005" s="142"/>
    </x:row>
    <x:row r="5006">
      <x:c r="A5006" s="142"/>
    </x:row>
    <x:row r="5007">
      <x:c r="A5007" s="142"/>
    </x:row>
    <x:row r="5008">
      <x:c r="A5008" s="142"/>
    </x:row>
    <x:row r="5009">
      <x:c r="A5009" s="142"/>
    </x:row>
    <x:row r="5010">
      <x:c r="A5010" s="142"/>
    </x:row>
    <x:row r="5011">
      <x:c r="A5011" s="142"/>
    </x:row>
    <x:row r="5012">
      <x:c r="A5012" s="142"/>
    </x:row>
    <x:row r="5013">
      <x:c r="A5013" s="142"/>
    </x:row>
    <x:row r="5014">
      <x:c r="A5014" s="142"/>
    </x:row>
    <x:row r="5015">
      <x:c r="A5015" s="142"/>
    </x:row>
    <x:row r="5016">
      <x:c r="A5016" s="142"/>
    </x:row>
    <x:row r="5017">
      <x:c r="A5017" s="142"/>
    </x:row>
    <x:row r="5018">
      <x:c r="A5018" s="142"/>
    </x:row>
    <x:row r="5019">
      <x:c r="A5019" s="142"/>
    </x:row>
    <x:row r="5020">
      <x:c r="A5020" s="142"/>
    </x:row>
    <x:row r="5021">
      <x:c r="A5021" s="142"/>
    </x:row>
    <x:row r="5022">
      <x:c r="A5022" s="142"/>
    </x:row>
    <x:row r="5023">
      <x:c r="A5023" s="142"/>
    </x:row>
    <x:row r="5024">
      <x:c r="A5024" s="142"/>
    </x:row>
    <x:row r="5025">
      <x:c r="A5025" s="142"/>
    </x:row>
    <x:row r="5026">
      <x:c r="A5026" s="142"/>
    </x:row>
    <x:row r="5027">
      <x:c r="A5027" s="142"/>
    </x:row>
    <x:row r="5028">
      <x:c r="A5028" s="142"/>
    </x:row>
    <x:row r="5029">
      <x:c r="A5029" s="142"/>
    </x:row>
    <x:row r="5030">
      <x:c r="A5030" s="142"/>
    </x:row>
    <x:row r="5031">
      <x:c r="A5031" s="142"/>
    </x:row>
    <x:row r="5032">
      <x:c r="A5032" s="142"/>
    </x:row>
    <x:row r="5033">
      <x:c r="A5033" s="142"/>
    </x:row>
    <x:row r="5034">
      <x:c r="A5034" s="142"/>
    </x:row>
    <x:row r="5035">
      <x:c r="A5035" s="142"/>
    </x:row>
    <x:row r="5036">
      <x:c r="A5036" s="142"/>
    </x:row>
    <x:row r="5037">
      <x:c r="A5037" s="142"/>
    </x:row>
    <x:row r="5038">
      <x:c r="A5038" s="142"/>
    </x:row>
    <x:row r="5039">
      <x:c r="A5039" s="142"/>
    </x:row>
    <x:row r="5040">
      <x:c r="A5040" s="142"/>
    </x:row>
    <x:row r="5041">
      <x:c r="A5041" s="142"/>
    </x:row>
    <x:row r="5042">
      <x:c r="A5042" s="142"/>
    </x:row>
    <x:row r="5043">
      <x:c r="A5043" s="142"/>
    </x:row>
    <x:row r="5044">
      <x:c r="A5044" s="142"/>
    </x:row>
    <x:row r="5045">
      <x:c r="A5045" s="142"/>
    </x:row>
    <x:row r="5046">
      <x:c r="A5046" s="142"/>
    </x:row>
    <x:row r="5047">
      <x:c r="A5047" s="142"/>
    </x:row>
    <x:row r="5048">
      <x:c r="A5048" s="142"/>
    </x:row>
    <x:row r="5049">
      <x:c r="A5049" s="142"/>
    </x:row>
    <x:row r="5050">
      <x:c r="A5050" s="142"/>
    </x:row>
    <x:row r="5051">
      <x:c r="A5051" s="142"/>
    </x:row>
    <x:row r="5052">
      <x:c r="A5052" s="142"/>
    </x:row>
    <x:row r="5053">
      <x:c r="A5053" s="142"/>
    </x:row>
    <x:row r="5054">
      <x:c r="A5054" s="142"/>
    </x:row>
    <x:row r="5055">
      <x:c r="A5055" s="142"/>
    </x:row>
    <x:row r="5056">
      <x:c r="A5056" s="142"/>
    </x:row>
    <x:row r="5057">
      <x:c r="A5057" s="142"/>
    </x:row>
    <x:row r="5058">
      <x:c r="A5058" s="142"/>
    </x:row>
    <x:row r="5059">
      <x:c r="A5059" s="142"/>
    </x:row>
    <x:row r="5060">
      <x:c r="A5060" s="142"/>
    </x:row>
    <x:row r="5061">
      <x:c r="A5061" s="142"/>
    </x:row>
    <x:row r="5062">
      <x:c r="A5062" s="142"/>
    </x:row>
    <x:row r="5063">
      <x:c r="A5063" s="142"/>
    </x:row>
    <x:row r="5064">
      <x:c r="A5064" s="142"/>
    </x:row>
    <x:row r="5065">
      <x:c r="A5065" s="142"/>
    </x:row>
    <x:row r="5066">
      <x:c r="A5066" s="142"/>
    </x:row>
    <x:row r="5067">
      <x:c r="A5067" s="142"/>
    </x:row>
    <x:row r="5068">
      <x:c r="A5068" s="142"/>
    </x:row>
    <x:row r="5069">
      <x:c r="A5069" s="142"/>
    </x:row>
    <x:row r="5070">
      <x:c r="A5070" s="142"/>
    </x:row>
    <x:row r="5071">
      <x:c r="A5071" s="142"/>
    </x:row>
    <x:row r="5072">
      <x:c r="A5072" s="142"/>
    </x:row>
    <x:row r="5073">
      <x:c r="A5073" s="142"/>
    </x:row>
    <x:row r="5074">
      <x:c r="A5074" s="142"/>
    </x:row>
    <x:row r="5075">
      <x:c r="A5075" s="142"/>
    </x:row>
    <x:row r="5076">
      <x:c r="A5076" s="142"/>
    </x:row>
    <x:row r="5077">
      <x:c r="A5077" s="142"/>
    </x:row>
    <x:row r="5078">
      <x:c r="A5078" s="142"/>
    </x:row>
    <x:row r="5079">
      <x:c r="A5079" s="142"/>
    </x:row>
    <x:row r="5080">
      <x:c r="A5080" s="142"/>
    </x:row>
    <x:row r="5081">
      <x:c r="A5081" s="142"/>
    </x:row>
    <x:row r="5082">
      <x:c r="A5082" s="142"/>
    </x:row>
    <x:row r="5083">
      <x:c r="A5083" s="142"/>
    </x:row>
    <x:row r="5084">
      <x:c r="A5084" s="142"/>
    </x:row>
    <x:row r="5085">
      <x:c r="A5085" s="142"/>
    </x:row>
    <x:row r="5086">
      <x:c r="A5086" s="142"/>
    </x:row>
    <x:row r="5087">
      <x:c r="A5087" s="142"/>
    </x:row>
    <x:row r="5088">
      <x:c r="A5088" s="142"/>
    </x:row>
    <x:row r="5089">
      <x:c r="A5089" s="142"/>
    </x:row>
    <x:row r="5090">
      <x:c r="A5090" s="142"/>
    </x:row>
    <x:row r="5091">
      <x:c r="A5091" s="142"/>
    </x:row>
    <x:row r="5092">
      <x:c r="A5092" s="142"/>
    </x:row>
    <x:row r="5093">
      <x:c r="A5093" s="142"/>
    </x:row>
    <x:row r="5094">
      <x:c r="A5094" s="142"/>
    </x:row>
    <x:row r="5095">
      <x:c r="A5095" s="142"/>
    </x:row>
    <x:row r="5096">
      <x:c r="A5096" s="142"/>
    </x:row>
    <x:row r="5097">
      <x:c r="A5097" s="142"/>
    </x:row>
    <x:row r="5098">
      <x:c r="A5098" s="142"/>
    </x:row>
    <x:row r="5099">
      <x:c r="A5099" s="142"/>
    </x:row>
    <x:row r="5100">
      <x:c r="A5100" s="142"/>
    </x:row>
    <x:row r="5101">
      <x:c r="A5101" s="142"/>
    </x:row>
    <x:row r="5102">
      <x:c r="A5102" s="142"/>
    </x:row>
    <x:row r="5103">
      <x:c r="A5103" s="142"/>
    </x:row>
    <x:row r="5104">
      <x:c r="A5104" s="142"/>
    </x:row>
    <x:row r="5105">
      <x:c r="A5105" s="142"/>
    </x:row>
    <x:row r="5106">
      <x:c r="A5106" s="142"/>
    </x:row>
    <x:row r="5107">
      <x:c r="A5107" s="142"/>
    </x:row>
    <x:row r="5108">
      <x:c r="A5108" s="142"/>
    </x:row>
    <x:row r="5109">
      <x:c r="A5109" s="142"/>
    </x:row>
    <x:row r="5110">
      <x:c r="A5110" s="142"/>
    </x:row>
    <x:row r="5111">
      <x:c r="A5111" s="142"/>
    </x:row>
    <x:row r="5112">
      <x:c r="A5112" s="142"/>
    </x:row>
    <x:row r="5113">
      <x:c r="A5113" s="142"/>
    </x:row>
    <x:row r="5114">
      <x:c r="A5114" s="142"/>
    </x:row>
    <x:row r="5115">
      <x:c r="A5115" s="142"/>
    </x:row>
    <x:row r="5116">
      <x:c r="A5116" s="142"/>
    </x:row>
    <x:row r="5117">
      <x:c r="A5117" s="142"/>
    </x:row>
    <x:row r="5118">
      <x:c r="A5118" s="142"/>
    </x:row>
    <x:row r="5119">
      <x:c r="A5119" s="142"/>
    </x:row>
    <x:row r="5120">
      <x:c r="A5120" s="142"/>
    </x:row>
    <x:row r="5121">
      <x:c r="A5121" s="142"/>
    </x:row>
    <x:row r="5122">
      <x:c r="A5122" s="142"/>
    </x:row>
    <x:row r="5123">
      <x:c r="A5123" s="142"/>
    </x:row>
    <x:row r="5124">
      <x:c r="A5124" s="142"/>
    </x:row>
    <x:row r="5125">
      <x:c r="A5125" s="142"/>
    </x:row>
    <x:row r="5126">
      <x:c r="A5126" s="142"/>
    </x:row>
    <x:row r="5127">
      <x:c r="A5127" s="142"/>
    </x:row>
    <x:row r="5128">
      <x:c r="A5128" s="142"/>
    </x:row>
    <x:row r="5129">
      <x:c r="A5129" s="142"/>
    </x:row>
    <x:row r="5130">
      <x:c r="A5130" s="142"/>
    </x:row>
    <x:row r="5131">
      <x:c r="A5131" s="142"/>
    </x:row>
    <x:row r="5132">
      <x:c r="A5132" s="142"/>
    </x:row>
    <x:row r="5133">
      <x:c r="A5133" s="142"/>
    </x:row>
    <x:row r="5134">
      <x:c r="A5134" s="142"/>
    </x:row>
    <x:row r="5135">
      <x:c r="A5135" s="142"/>
    </x:row>
    <x:row r="5136">
      <x:c r="A5136" s="142"/>
    </x:row>
    <x:row r="5137">
      <x:c r="A5137" s="142"/>
    </x:row>
    <x:row r="5138">
      <x:c r="A5138" s="142"/>
    </x:row>
    <x:row r="5139">
      <x:c r="A5139" s="142"/>
    </x:row>
    <x:row r="5140">
      <x:c r="A5140" s="142"/>
    </x:row>
    <x:row r="5141">
      <x:c r="A5141" s="142"/>
    </x:row>
    <x:row r="5142">
      <x:c r="A5142" s="142"/>
    </x:row>
    <x:row r="5143">
      <x:c r="A5143" s="142"/>
    </x:row>
    <x:row r="5144">
      <x:c r="A5144" s="142"/>
    </x:row>
    <x:row r="5145">
      <x:c r="A5145" s="142"/>
    </x:row>
    <x:row r="5146">
      <x:c r="A5146" s="142"/>
    </x:row>
    <x:row r="5147">
      <x:c r="A5147" s="142"/>
    </x:row>
    <x:row r="5148">
      <x:c r="A5148" s="142"/>
    </x:row>
    <x:row r="5149">
      <x:c r="A5149" s="142"/>
    </x:row>
    <x:row r="5150">
      <x:c r="A5150" s="142"/>
    </x:row>
    <x:row r="5151">
      <x:c r="A5151" s="142"/>
    </x:row>
    <x:row r="5152">
      <x:c r="A5152" s="142"/>
    </x:row>
    <x:row r="5153">
      <x:c r="A5153" s="142"/>
    </x:row>
    <x:row r="5154">
      <x:c r="A5154" s="142"/>
    </x:row>
    <x:row r="5155">
      <x:c r="A5155" s="142"/>
    </x:row>
    <x:row r="5156">
      <x:c r="A5156" s="142"/>
    </x:row>
    <x:row r="5157">
      <x:c r="A5157" s="142"/>
    </x:row>
    <x:row r="5158">
      <x:c r="A5158" s="142"/>
    </x:row>
    <x:row r="5159">
      <x:c r="A5159" s="142"/>
    </x:row>
    <x:row r="5160">
      <x:c r="A5160" s="142"/>
    </x:row>
    <x:row r="5161">
      <x:c r="A5161" s="142"/>
    </x:row>
    <x:row r="5162">
      <x:c r="A5162" s="142"/>
    </x:row>
    <x:row r="5163">
      <x:c r="A5163" s="142"/>
    </x:row>
    <x:row r="5164">
      <x:c r="A5164" s="142"/>
    </x:row>
    <x:row r="5165">
      <x:c r="A5165" s="142"/>
    </x:row>
    <x:row r="5166">
      <x:c r="A5166" s="142"/>
    </x:row>
    <x:row r="5167">
      <x:c r="A5167" s="142"/>
    </x:row>
    <x:row r="5168">
      <x:c r="A5168" s="142"/>
    </x:row>
    <x:row r="5169">
      <x:c r="A5169" s="142"/>
    </x:row>
    <x:row r="5170">
      <x:c r="A5170" s="142"/>
    </x:row>
    <x:row r="5171">
      <x:c r="A5171" s="142"/>
    </x:row>
    <x:row r="5172">
      <x:c r="A5172" s="142"/>
    </x:row>
    <x:row r="5173">
      <x:c r="A5173" s="142"/>
    </x:row>
    <x:row r="5174">
      <x:c r="A5174" s="142"/>
    </x:row>
    <x:row r="5175">
      <x:c r="A5175" s="142"/>
    </x:row>
    <x:row r="5176">
      <x:c r="A5176" s="142"/>
    </x:row>
    <x:row r="5177">
      <x:c r="A5177" s="142"/>
    </x:row>
    <x:row r="5178">
      <x:c r="A5178" s="142"/>
    </x:row>
    <x:row r="5179">
      <x:c r="A5179" s="142"/>
    </x:row>
    <x:row r="5180">
      <x:c r="A5180" s="142"/>
    </x:row>
    <x:row r="5181">
      <x:c r="A5181" s="142"/>
    </x:row>
    <x:row r="5182">
      <x:c r="A5182" s="142"/>
    </x:row>
    <x:row r="5183">
      <x:c r="A5183" s="142"/>
    </x:row>
    <x:row r="5184">
      <x:c r="A5184" s="142"/>
    </x:row>
    <x:row r="5185">
      <x:c r="A5185" s="142"/>
    </x:row>
    <x:row r="5186">
      <x:c r="A5186" s="142"/>
    </x:row>
    <x:row r="5187">
      <x:c r="A5187" s="142"/>
    </x:row>
    <x:row r="5188">
      <x:c r="A5188" s="142"/>
    </x:row>
    <x:row r="5189">
      <x:c r="A5189" s="142"/>
    </x:row>
    <x:row r="5190">
      <x:c r="A5190" s="142"/>
    </x:row>
    <x:row r="5191">
      <x:c r="A5191" s="142"/>
    </x:row>
    <x:row r="5192">
      <x:c r="A5192" s="142"/>
    </x:row>
    <x:row r="5193">
      <x:c r="A5193" s="142"/>
    </x:row>
    <x:row r="5194">
      <x:c r="A5194" s="142"/>
    </x:row>
    <x:row r="5195">
      <x:c r="A5195" s="142"/>
    </x:row>
    <x:row r="5196">
      <x:c r="A5196" s="142"/>
    </x:row>
    <x:row r="5197">
      <x:c r="A5197" s="142"/>
    </x:row>
    <x:row r="5198">
      <x:c r="A5198" s="142"/>
    </x:row>
    <x:row r="5199">
      <x:c r="A5199" s="142"/>
    </x:row>
    <x:row r="5200">
      <x:c r="A5200" s="142"/>
    </x:row>
    <x:row r="5201">
      <x:c r="A5201" s="142"/>
    </x:row>
    <x:row r="5202">
      <x:c r="A5202" s="142"/>
    </x:row>
    <x:row r="5203">
      <x:c r="A5203" s="142"/>
    </x:row>
    <x:row r="5204">
      <x:c r="A5204" s="142"/>
    </x:row>
    <x:row r="5205">
      <x:c r="A5205" s="142"/>
    </x:row>
    <x:row r="5206">
      <x:c r="A5206" s="142"/>
    </x:row>
    <x:row r="5207">
      <x:c r="A5207" s="142"/>
    </x:row>
    <x:row r="5208">
      <x:c r="A5208" s="142"/>
    </x:row>
    <x:row r="5209">
      <x:c r="A5209" s="142"/>
    </x:row>
    <x:row r="5210">
      <x:c r="A5210" s="142"/>
    </x:row>
    <x:row r="5211">
      <x:c r="A5211" s="142"/>
    </x:row>
    <x:row r="5212">
      <x:c r="A5212" s="142"/>
    </x:row>
    <x:row r="5213">
      <x:c r="A5213" s="142"/>
    </x:row>
    <x:row r="5214">
      <x:c r="A5214" s="142"/>
    </x:row>
    <x:row r="5215">
      <x:c r="A5215" s="142"/>
    </x:row>
    <x:row r="5216">
      <x:c r="A5216" s="142"/>
    </x:row>
    <x:row r="5217">
      <x:c r="A5217" s="142"/>
    </x:row>
    <x:row r="5218">
      <x:c r="A5218" s="142"/>
    </x:row>
    <x:row r="5219">
      <x:c r="A5219" s="142"/>
    </x:row>
    <x:row r="5220">
      <x:c r="A5220" s="142"/>
    </x:row>
    <x:row r="5221">
      <x:c r="A5221" s="142"/>
    </x:row>
    <x:row r="5222">
      <x:c r="A5222" s="142"/>
    </x:row>
    <x:row r="5223">
      <x:c r="A5223" s="142"/>
    </x:row>
    <x:row r="5224">
      <x:c r="A5224" s="142"/>
    </x:row>
    <x:row r="5225">
      <x:c r="A5225" s="142"/>
    </x:row>
    <x:row r="5226">
      <x:c r="A5226" s="142"/>
    </x:row>
    <x:row r="5227">
      <x:c r="A5227" s="142"/>
    </x:row>
    <x:row r="5228">
      <x:c r="A5228" s="142"/>
    </x:row>
    <x:row r="5229">
      <x:c r="A5229" s="142"/>
    </x:row>
    <x:row r="5230">
      <x:c r="A5230" s="142"/>
    </x:row>
    <x:row r="5231">
      <x:c r="A5231" s="142"/>
    </x:row>
    <x:row r="5232">
      <x:c r="A5232" s="142"/>
    </x:row>
    <x:row r="5233">
      <x:c r="A5233" s="142"/>
    </x:row>
    <x:row r="5234">
      <x:c r="A5234" s="142"/>
    </x:row>
    <x:row r="5235">
      <x:c r="A5235" s="142"/>
    </x:row>
    <x:row r="5236">
      <x:c r="A5236" s="142"/>
    </x:row>
    <x:row r="5237">
      <x:c r="A5237" s="142"/>
    </x:row>
    <x:row r="5238">
      <x:c r="A5238" s="142"/>
    </x:row>
    <x:row r="5239">
      <x:c r="A5239" s="142"/>
    </x:row>
    <x:row r="5240">
      <x:c r="A5240" s="142"/>
    </x:row>
    <x:row r="5241">
      <x:c r="A5241" s="142"/>
    </x:row>
    <x:row r="5242">
      <x:c r="A5242" s="142"/>
    </x:row>
    <x:row r="5243">
      <x:c r="A5243" s="142"/>
    </x:row>
    <x:row r="5244">
      <x:c r="A5244" s="142"/>
    </x:row>
    <x:row r="5245">
      <x:c r="A5245" s="142"/>
    </x:row>
    <x:row r="5246">
      <x:c r="A5246" s="142"/>
    </x:row>
    <x:row r="5247">
      <x:c r="A5247" s="142"/>
    </x:row>
    <x:row r="5248">
      <x:c r="A5248" s="142"/>
    </x:row>
    <x:row r="5249">
      <x:c r="A5249" s="142"/>
    </x:row>
    <x:row r="5250">
      <x:c r="A5250" s="142"/>
    </x:row>
    <x:row r="5251">
      <x:c r="A5251" s="142"/>
    </x:row>
    <x:row r="5252">
      <x:c r="A5252" s="142"/>
    </x:row>
    <x:row r="5253">
      <x:c r="A5253" s="142"/>
    </x:row>
    <x:row r="5254">
      <x:c r="A5254" s="142"/>
    </x:row>
    <x:row r="5255">
      <x:c r="A5255" s="142"/>
    </x:row>
    <x:row r="5256">
      <x:c r="A5256" s="142"/>
    </x:row>
    <x:row r="5257">
      <x:c r="A5257" s="142"/>
    </x:row>
    <x:row r="5258">
      <x:c r="A5258" s="142"/>
    </x:row>
    <x:row r="5259">
      <x:c r="A5259" s="142"/>
    </x:row>
    <x:row r="5260">
      <x:c r="A5260" s="142"/>
    </x:row>
    <x:row r="5261">
      <x:c r="A5261" s="142"/>
    </x:row>
    <x:row r="5262">
      <x:c r="A5262" s="142"/>
    </x:row>
    <x:row r="5263">
      <x:c r="A5263" s="142"/>
    </x:row>
    <x:row r="5264">
      <x:c r="A5264" s="142"/>
    </x:row>
    <x:row r="5265">
      <x:c r="A5265" s="142"/>
    </x:row>
    <x:row r="5266">
      <x:c r="A5266" s="142"/>
    </x:row>
    <x:row r="5267">
      <x:c r="A5267" s="142"/>
    </x:row>
    <x:row r="5268">
      <x:c r="A5268" s="142"/>
    </x:row>
    <x:row r="5269">
      <x:c r="A5269" s="142"/>
    </x:row>
    <x:row r="5270">
      <x:c r="A5270" s="142"/>
    </x:row>
    <x:row r="5271">
      <x:c r="A5271" s="142"/>
    </x:row>
    <x:row r="5272">
      <x:c r="A5272" s="142"/>
    </x:row>
    <x:row r="5273">
      <x:c r="A5273" s="142"/>
    </x:row>
    <x:row r="5274">
      <x:c r="A5274" s="142"/>
    </x:row>
    <x:row r="5275">
      <x:c r="A5275" s="142"/>
    </x:row>
    <x:row r="5276">
      <x:c r="A5276" s="142"/>
    </x:row>
    <x:row r="5277">
      <x:c r="A5277" s="142"/>
    </x:row>
    <x:row r="5278">
      <x:c r="A5278" s="142"/>
    </x:row>
    <x:row r="5279">
      <x:c r="A5279" s="142"/>
    </x:row>
    <x:row r="5280">
      <x:c r="A5280" s="142"/>
    </x:row>
    <x:row r="5281">
      <x:c r="A5281" s="142"/>
    </x:row>
    <x:row r="5282">
      <x:c r="A5282" s="142"/>
    </x:row>
    <x:row r="5283">
      <x:c r="A5283" s="142"/>
    </x:row>
    <x:row r="5284">
      <x:c r="A5284" s="142"/>
    </x:row>
    <x:row r="5285">
      <x:c r="A5285" s="142"/>
    </x:row>
    <x:row r="5286">
      <x:c r="A5286" s="142"/>
    </x:row>
    <x:row r="5287">
      <x:c r="A5287" s="142"/>
    </x:row>
    <x:row r="5288">
      <x:c r="A5288" s="142"/>
    </x:row>
    <x:row r="5289">
      <x:c r="A5289" s="142"/>
    </x:row>
    <x:row r="5290">
      <x:c r="A5290" s="142"/>
    </x:row>
    <x:row r="5291">
      <x:c r="A5291" s="142"/>
    </x:row>
    <x:row r="5292">
      <x:c r="A5292" s="142"/>
    </x:row>
    <x:row r="5293">
      <x:c r="A5293" s="142"/>
    </x:row>
    <x:row r="5294">
      <x:c r="A5294" s="142"/>
    </x:row>
    <x:row r="5295">
      <x:c r="A5295" s="142"/>
    </x:row>
    <x:row r="5296">
      <x:c r="A5296" s="142"/>
    </x:row>
    <x:row r="5297">
      <x:c r="A5297" s="142"/>
    </x:row>
    <x:row r="5298">
      <x:c r="A5298" s="142"/>
    </x:row>
    <x:row r="5299">
      <x:c r="A5299" s="142"/>
    </x:row>
    <x:row r="5300">
      <x:c r="A5300" s="142"/>
    </x:row>
    <x:row r="5301">
      <x:c r="A5301" s="142"/>
    </x:row>
    <x:row r="5302">
      <x:c r="A5302" s="142"/>
    </x:row>
    <x:row r="5303">
      <x:c r="A5303" s="142"/>
    </x:row>
    <x:row r="5304">
      <x:c r="A5304" s="142"/>
    </x:row>
    <x:row r="5305">
      <x:c r="A5305" s="142"/>
    </x:row>
    <x:row r="5306">
      <x:c r="A5306" s="142"/>
    </x:row>
    <x:row r="5307">
      <x:c r="A5307" s="142"/>
    </x:row>
    <x:row r="5308">
      <x:c r="A5308" s="142"/>
    </x:row>
    <x:row r="5309">
      <x:c r="A5309" s="142"/>
    </x:row>
    <x:row r="5310">
      <x:c r="A5310" s="142"/>
    </x:row>
    <x:row r="5311">
      <x:c r="A5311" s="142"/>
    </x:row>
    <x:row r="5312">
      <x:c r="A5312" s="142"/>
    </x:row>
    <x:row r="5313">
      <x:c r="A5313" s="142"/>
    </x:row>
    <x:row r="5314">
      <x:c r="A5314" s="142"/>
    </x:row>
    <x:row r="5315">
      <x:c r="A5315" s="142"/>
    </x:row>
    <x:row r="5316">
      <x:c r="A5316" s="142"/>
    </x:row>
    <x:row r="5317">
      <x:c r="A5317" s="142"/>
    </x:row>
    <x:row r="5318">
      <x:c r="A5318" s="142"/>
    </x:row>
    <x:row r="5319">
      <x:c r="A5319" s="142"/>
    </x:row>
    <x:row r="5320">
      <x:c r="A5320" s="142"/>
    </x:row>
    <x:row r="5321">
      <x:c r="A5321" s="142"/>
    </x:row>
    <x:row r="5322">
      <x:c r="A5322" s="142"/>
    </x:row>
    <x:row r="5323">
      <x:c r="A5323" s="142"/>
    </x:row>
    <x:row r="5324">
      <x:c r="A5324" s="142"/>
    </x:row>
    <x:row r="5325">
      <x:c r="A5325" s="142"/>
    </x:row>
    <x:row r="5326">
      <x:c r="A5326" s="142"/>
    </x:row>
    <x:row r="5327">
      <x:c r="A5327" s="142"/>
    </x:row>
    <x:row r="5328">
      <x:c r="A5328" s="142"/>
    </x:row>
    <x:row r="5329">
      <x:c r="A5329" s="142"/>
    </x:row>
    <x:row r="5330">
      <x:c r="A5330" s="142"/>
    </x:row>
    <x:row r="5331">
      <x:c r="A5331" s="142"/>
    </x:row>
    <x:row r="5332">
      <x:c r="A5332" s="142"/>
    </x:row>
    <x:row r="5333">
      <x:c r="A5333" s="142"/>
    </x:row>
    <x:row r="5334">
      <x:c r="A5334" s="142"/>
    </x:row>
    <x:row r="5335">
      <x:c r="A5335" s="142"/>
    </x:row>
    <x:row r="5336">
      <x:c r="A5336" s="142"/>
    </x:row>
    <x:row r="5337">
      <x:c r="A5337" s="142"/>
    </x:row>
    <x:row r="5338">
      <x:c r="A5338" s="142"/>
    </x:row>
    <x:row r="5339">
      <x:c r="A5339" s="142"/>
    </x:row>
    <x:row r="5340">
      <x:c r="A5340" s="142"/>
    </x:row>
    <x:row r="5341">
      <x:c r="A5341" s="142"/>
    </x:row>
    <x:row r="5342">
      <x:c r="A5342" s="142"/>
    </x:row>
    <x:row r="5343">
      <x:c r="A5343" s="142"/>
    </x:row>
    <x:row r="5344">
      <x:c r="A5344" s="142"/>
    </x:row>
    <x:row r="5345">
      <x:c r="A5345" s="142"/>
    </x:row>
    <x:row r="5346">
      <x:c r="A5346" s="142"/>
    </x:row>
    <x:row r="5347">
      <x:c r="A5347" s="142"/>
    </x:row>
    <x:row r="5348">
      <x:c r="A5348" s="142"/>
    </x:row>
    <x:row r="5349">
      <x:c r="A5349" s="142"/>
    </x:row>
    <x:row r="5350">
      <x:c r="A5350" s="142"/>
    </x:row>
    <x:row r="5351">
      <x:c r="A5351" s="142"/>
    </x:row>
    <x:row r="5352">
      <x:c r="A5352" s="142"/>
    </x:row>
    <x:row r="5353">
      <x:c r="A5353" s="142"/>
    </x:row>
    <x:row r="5354">
      <x:c r="A5354" s="142"/>
    </x:row>
    <x:row r="5355">
      <x:c r="A5355" s="142"/>
    </x:row>
    <x:row r="5356">
      <x:c r="A5356" s="142"/>
    </x:row>
    <x:row r="5357">
      <x:c r="A5357" s="142"/>
    </x:row>
    <x:row r="5358">
      <x:c r="A5358" s="142"/>
    </x:row>
    <x:row r="5359">
      <x:c r="A5359" s="142"/>
    </x:row>
    <x:row r="5360">
      <x:c r="A5360" s="142"/>
    </x:row>
    <x:row r="5361">
      <x:c r="A5361" s="142"/>
    </x:row>
    <x:row r="5362">
      <x:c r="A5362" s="142"/>
    </x:row>
    <x:row r="5363">
      <x:c r="A5363" s="142"/>
    </x:row>
    <x:row r="5364">
      <x:c r="A5364" s="142"/>
    </x:row>
    <x:row r="5365">
      <x:c r="A5365" s="142"/>
    </x:row>
    <x:row r="5366">
      <x:c r="A5366" s="142"/>
    </x:row>
    <x:row r="5367">
      <x:c r="A5367" s="142"/>
    </x:row>
    <x:row r="5368">
      <x:c r="A5368" s="142"/>
    </x:row>
    <x:row r="5369">
      <x:c r="A5369" s="142"/>
    </x:row>
    <x:row r="5370">
      <x:c r="A5370" s="142"/>
    </x:row>
    <x:row r="5371">
      <x:c r="A5371" s="142"/>
    </x:row>
    <x:row r="5372">
      <x:c r="A5372" s="142"/>
    </x:row>
    <x:row r="5373">
      <x:c r="A5373" s="142"/>
    </x:row>
    <x:row r="5374">
      <x:c r="A5374" s="142"/>
    </x:row>
    <x:row r="5375">
      <x:c r="A5375" s="142"/>
    </x:row>
    <x:row r="5376">
      <x:c r="A5376" s="142"/>
    </x:row>
    <x:row r="5377">
      <x:c r="A5377" s="142"/>
    </x:row>
    <x:row r="5378">
      <x:c r="A5378" s="142"/>
    </x:row>
    <x:row r="5379">
      <x:c r="A5379" s="142"/>
    </x:row>
    <x:row r="5380">
      <x:c r="A5380" s="142"/>
    </x:row>
    <x:row r="5381">
      <x:c r="A5381" s="142"/>
    </x:row>
    <x:row r="5382">
      <x:c r="A5382" s="142"/>
    </x:row>
    <x:row r="5383">
      <x:c r="A5383" s="142"/>
    </x:row>
    <x:row r="5384">
      <x:c r="A5384" s="142"/>
    </x:row>
    <x:row r="5385">
      <x:c r="A5385" s="142"/>
    </x:row>
    <x:row r="5386">
      <x:c r="A5386" s="142"/>
    </x:row>
    <x:row r="5387">
      <x:c r="A5387" s="142"/>
    </x:row>
    <x:row r="5388">
      <x:c r="A5388" s="142"/>
    </x:row>
    <x:row r="5389">
      <x:c r="A5389" s="142"/>
    </x:row>
    <x:row r="5390">
      <x:c r="A5390" s="142"/>
    </x:row>
    <x:row r="5391">
      <x:c r="A5391" s="142"/>
    </x:row>
    <x:row r="5392">
      <x:c r="A5392" s="142"/>
    </x:row>
    <x:row r="5393">
      <x:c r="A5393" s="142"/>
    </x:row>
    <x:row r="5394">
      <x:c r="A5394" s="142"/>
    </x:row>
    <x:row r="5395">
      <x:c r="A5395" s="142"/>
    </x:row>
    <x:row r="5396">
      <x:c r="A5396" s="142"/>
    </x:row>
    <x:row r="5397">
      <x:c r="A5397" s="142"/>
    </x:row>
    <x:row r="5398">
      <x:c r="A5398" s="142"/>
    </x:row>
    <x:row r="5399">
      <x:c r="A5399" s="142"/>
    </x:row>
    <x:row r="5400">
      <x:c r="A5400" s="142"/>
    </x:row>
    <x:row r="5401">
      <x:c r="A5401" s="142"/>
    </x:row>
    <x:row r="5402">
      <x:c r="A5402" s="142"/>
    </x:row>
    <x:row r="5403">
      <x:c r="A5403" s="142"/>
    </x:row>
    <x:row r="5404">
      <x:c r="A5404" s="142"/>
    </x:row>
    <x:row r="5405">
      <x:c r="A5405" s="142"/>
    </x:row>
    <x:row r="5406">
      <x:c r="A5406" s="142"/>
    </x:row>
    <x:row r="5407">
      <x:c r="A5407" s="142"/>
    </x:row>
    <x:row r="5408">
      <x:c r="A5408" s="142"/>
    </x:row>
    <x:row r="5409">
      <x:c r="A5409" s="142"/>
    </x:row>
    <x:row r="5410">
      <x:c r="A5410" s="142"/>
    </x:row>
    <x:row r="5411">
      <x:c r="A5411" s="142"/>
    </x:row>
    <x:row r="5412">
      <x:c r="A5412" s="142"/>
    </x:row>
    <x:row r="5413">
      <x:c r="A5413" s="142"/>
    </x:row>
    <x:row r="5414">
      <x:c r="A5414" s="142"/>
    </x:row>
    <x:row r="5415">
      <x:c r="A5415" s="142"/>
    </x:row>
    <x:row r="5416">
      <x:c r="A5416" s="142"/>
    </x:row>
    <x:row r="5417">
      <x:c r="A5417" s="142"/>
    </x:row>
    <x:row r="5418">
      <x:c r="A5418" s="142"/>
    </x:row>
    <x:row r="5419">
      <x:c r="A5419" s="142"/>
    </x:row>
    <x:row r="5420">
      <x:c r="A5420" s="142"/>
    </x:row>
    <x:row r="5421">
      <x:c r="A5421" s="142"/>
    </x:row>
    <x:row r="5422">
      <x:c r="A5422" s="142"/>
    </x:row>
    <x:row r="5423">
      <x:c r="A5423" s="142"/>
    </x:row>
    <x:row r="5424">
      <x:c r="A5424" s="142"/>
    </x:row>
    <x:row r="5425">
      <x:c r="A5425" s="142"/>
    </x:row>
    <x:row r="5426">
      <x:c r="A5426" s="142"/>
    </x:row>
    <x:row r="5427">
      <x:c r="A5427" s="142"/>
    </x:row>
    <x:row r="5428">
      <x:c r="A5428" s="142"/>
    </x:row>
    <x:row r="5429">
      <x:c r="A5429" s="142"/>
    </x:row>
    <x:row r="5430">
      <x:c r="A5430" s="142"/>
    </x:row>
    <x:row r="5431">
      <x:c r="A5431" s="142"/>
    </x:row>
    <x:row r="5432">
      <x:c r="A5432" s="142"/>
    </x:row>
    <x:row r="5433">
      <x:c r="A5433" s="142"/>
    </x:row>
    <x:row r="5434">
      <x:c r="A5434" s="142"/>
    </x:row>
    <x:row r="5435">
      <x:c r="A5435" s="142"/>
    </x:row>
    <x:row r="5436">
      <x:c r="A5436" s="142"/>
    </x:row>
    <x:row r="5437">
      <x:c r="A5437" s="142"/>
    </x:row>
    <x:row r="5438">
      <x:c r="A5438" s="142"/>
    </x:row>
    <x:row r="5439">
      <x:c r="A5439" s="142"/>
    </x:row>
    <x:row r="5440">
      <x:c r="A5440" s="142"/>
    </x:row>
    <x:row r="5441">
      <x:c r="A5441" s="142"/>
    </x:row>
    <x:row r="5442">
      <x:c r="A5442" s="142"/>
    </x:row>
    <x:row r="5443">
      <x:c r="A5443" s="142"/>
    </x:row>
    <x:row r="5444">
      <x:c r="A5444" s="142"/>
    </x:row>
    <x:row r="5445">
      <x:c r="A5445" s="142"/>
    </x:row>
    <x:row r="5446">
      <x:c r="A5446" s="142"/>
    </x:row>
    <x:row r="5447">
      <x:c r="A5447" s="142"/>
    </x:row>
    <x:row r="5448">
      <x:c r="A5448" s="142"/>
    </x:row>
    <x:row r="5449">
      <x:c r="A5449" s="142"/>
    </x:row>
    <x:row r="5450">
      <x:c r="A5450" s="142"/>
    </x:row>
    <x:row r="5451">
      <x:c r="A5451" s="142"/>
    </x:row>
    <x:row r="5452">
      <x:c r="A5452" s="142"/>
    </x:row>
    <x:row r="5453">
      <x:c r="A5453" s="142"/>
    </x:row>
    <x:row r="5454">
      <x:c r="A5454" s="142"/>
    </x:row>
    <x:row r="5455">
      <x:c r="A5455" s="142"/>
    </x:row>
    <x:row r="5456">
      <x:c r="A5456" s="142"/>
    </x:row>
    <x:row r="5457">
      <x:c r="A5457" s="142"/>
    </x:row>
    <x:row r="5458">
      <x:c r="A5458" s="142"/>
    </x:row>
    <x:row r="5459">
      <x:c r="A5459" s="142"/>
    </x:row>
    <x:row r="5460">
      <x:c r="A5460" s="142"/>
    </x:row>
    <x:row r="5461">
      <x:c r="A5461" s="142"/>
    </x:row>
    <x:row r="5462">
      <x:c r="A5462" s="142"/>
    </x:row>
    <x:row r="5463">
      <x:c r="A5463" s="142"/>
    </x:row>
    <x:row r="5464">
      <x:c r="A5464" s="142"/>
    </x:row>
    <x:row r="5465">
      <x:c r="A5465" s="142"/>
    </x:row>
    <x:row r="5466">
      <x:c r="A5466" s="142"/>
    </x:row>
    <x:row r="5467">
      <x:c r="A5467" s="142"/>
    </x:row>
    <x:row r="5468">
      <x:c r="A5468" s="142"/>
    </x:row>
    <x:row r="5469">
      <x:c r="A5469" s="142"/>
    </x:row>
    <x:row r="5470">
      <x:c r="A5470" s="142"/>
    </x:row>
    <x:row r="5471">
      <x:c r="A5471" s="142"/>
    </x:row>
    <x:row r="5472">
      <x:c r="A5472" s="142"/>
    </x:row>
    <x:row r="5473">
      <x:c r="A5473" s="142"/>
    </x:row>
    <x:row r="5474">
      <x:c r="A5474" s="142"/>
    </x:row>
    <x:row r="5475">
      <x:c r="A5475" s="142"/>
    </x:row>
    <x:row r="5476">
      <x:c r="A5476" s="142"/>
    </x:row>
    <x:row r="5477">
      <x:c r="A5477" s="142"/>
    </x:row>
    <x:row r="5478">
      <x:c r="A5478" s="142"/>
    </x:row>
    <x:row r="5479">
      <x:c r="A5479" s="142"/>
    </x:row>
    <x:row r="5480">
      <x:c r="A5480" s="142"/>
    </x:row>
    <x:row r="5481">
      <x:c r="A5481" s="142"/>
    </x:row>
    <x:row r="5482">
      <x:c r="A5482" s="142"/>
    </x:row>
    <x:row r="5483">
      <x:c r="A5483" s="142"/>
    </x:row>
    <x:row r="5484">
      <x:c r="A5484" s="142"/>
    </x:row>
    <x:row r="5485">
      <x:c r="A5485" s="142"/>
    </x:row>
    <x:row r="5486">
      <x:c r="A5486" s="142"/>
    </x:row>
    <x:row r="5487">
      <x:c r="A5487" s="142"/>
    </x:row>
    <x:row r="5488">
      <x:c r="A5488" s="142"/>
    </x:row>
    <x:row r="5489">
      <x:c r="A5489" s="142"/>
    </x:row>
    <x:row r="5490">
      <x:c r="A5490" s="142"/>
    </x:row>
    <x:row r="5491">
      <x:c r="A5491" s="142"/>
    </x:row>
    <x:row r="5492">
      <x:c r="A5492" s="142"/>
    </x:row>
    <x:row r="5493">
      <x:c r="A5493" s="142"/>
    </x:row>
    <x:row r="5494">
      <x:c r="A5494" s="142"/>
    </x:row>
    <x:row r="5495">
      <x:c r="A5495" s="142"/>
    </x:row>
    <x:row r="5496">
      <x:c r="A5496" s="142"/>
    </x:row>
    <x:row r="5497">
      <x:c r="A5497" s="142"/>
    </x:row>
    <x:row r="5498">
      <x:c r="A5498" s="142"/>
    </x:row>
    <x:row r="5499">
      <x:c r="A5499" s="142"/>
    </x:row>
    <x:row r="5500">
      <x:c r="A5500" s="142"/>
    </x:row>
    <x:row r="5501">
      <x:c r="A5501" s="142"/>
    </x:row>
    <x:row r="5502">
      <x:c r="A5502" s="142"/>
    </x:row>
    <x:row r="5503">
      <x:c r="A5503" s="142"/>
    </x:row>
    <x:row r="5504">
      <x:c r="A5504" s="142"/>
    </x:row>
    <x:row r="5505">
      <x:c r="A5505" s="142"/>
    </x:row>
    <x:row r="5506">
      <x:c r="A5506" s="142"/>
    </x:row>
    <x:row r="5507">
      <x:c r="A5507" s="142"/>
    </x:row>
    <x:row r="5508">
      <x:c r="A5508" s="142"/>
    </x:row>
    <x:row r="5509">
      <x:c r="A5509" s="142"/>
    </x:row>
    <x:row r="5510">
      <x:c r="A5510" s="142"/>
    </x:row>
    <x:row r="5511">
      <x:c r="A5511" s="142"/>
    </x:row>
    <x:row r="5512">
      <x:c r="A5512" s="142"/>
    </x:row>
    <x:row r="5513">
      <x:c r="A5513" s="142"/>
    </x:row>
    <x:row r="5514">
      <x:c r="A5514" s="142"/>
    </x:row>
    <x:row r="5515">
      <x:c r="A5515" s="142"/>
    </x:row>
    <x:row r="5516">
      <x:c r="A5516" s="142"/>
    </x:row>
    <x:row r="5517">
      <x:c r="A5517" s="142"/>
    </x:row>
    <x:row r="5518">
      <x:c r="A5518" s="142"/>
    </x:row>
    <x:row r="5519">
      <x:c r="A5519" s="142"/>
    </x:row>
    <x:row r="5520">
      <x:c r="A5520" s="142"/>
    </x:row>
    <x:row r="5521">
      <x:c r="A5521" s="142"/>
    </x:row>
    <x:row r="5522">
      <x:c r="A5522" s="142"/>
    </x:row>
    <x:row r="5523">
      <x:c r="A5523" s="142"/>
    </x:row>
    <x:row r="5524">
      <x:c r="A5524" s="142"/>
    </x:row>
    <x:row r="5525">
      <x:c r="A5525" s="142"/>
    </x:row>
    <x:row r="5526">
      <x:c r="A5526" s="142"/>
    </x:row>
    <x:row r="5527">
      <x:c r="A5527" s="142"/>
    </x:row>
    <x:row r="5528">
      <x:c r="A5528" s="142"/>
    </x:row>
    <x:row r="5529">
      <x:c r="A5529" s="142"/>
    </x:row>
    <x:row r="5530">
      <x:c r="A5530" s="142"/>
    </x:row>
    <x:row r="5531">
      <x:c r="A5531" s="142"/>
    </x:row>
    <x:row r="5532">
      <x:c r="A5532" s="142"/>
    </x:row>
    <x:row r="5533">
      <x:c r="A5533" s="142"/>
    </x:row>
    <x:row r="5534">
      <x:c r="A5534" s="142"/>
    </x:row>
    <x:row r="5535">
      <x:c r="A5535" s="142"/>
    </x:row>
    <x:row r="5536">
      <x:c r="A5536" s="142"/>
    </x:row>
    <x:row r="5537">
      <x:c r="A5537" s="142"/>
    </x:row>
    <x:row r="5538">
      <x:c r="A5538" s="142"/>
    </x:row>
    <x:row r="5539">
      <x:c r="A5539" s="142"/>
    </x:row>
    <x:row r="5540">
      <x:c r="A5540" s="142"/>
    </x:row>
    <x:row r="5541">
      <x:c r="A5541" s="142"/>
    </x:row>
    <x:row r="5542">
      <x:c r="A5542" s="142"/>
    </x:row>
    <x:row r="5543">
      <x:c r="A5543" s="142"/>
    </x:row>
    <x:row r="5544">
      <x:c r="A5544" s="142"/>
    </x:row>
    <x:row r="5545">
      <x:c r="A5545" s="142"/>
    </x:row>
    <x:row r="5546">
      <x:c r="A5546" s="142"/>
    </x:row>
    <x:row r="5547">
      <x:c r="A5547" s="142"/>
    </x:row>
    <x:row r="5548">
      <x:c r="A5548" s="142"/>
    </x:row>
    <x:row r="5549">
      <x:c r="A5549" s="142"/>
    </x:row>
    <x:row r="5550">
      <x:c r="A5550" s="142"/>
    </x:row>
    <x:row r="5551">
      <x:c r="A5551" s="142"/>
    </x:row>
    <x:row r="5552">
      <x:c r="A5552" s="142"/>
    </x:row>
    <x:row r="5553">
      <x:c r="A5553" s="142"/>
    </x:row>
    <x:row r="5554">
      <x:c r="A5554" s="142"/>
    </x:row>
    <x:row r="5555">
      <x:c r="A5555" s="142"/>
    </x:row>
    <x:row r="5556">
      <x:c r="A5556" s="142"/>
    </x:row>
    <x:row r="5557">
      <x:c r="A5557" s="142"/>
    </x:row>
    <x:row r="5558">
      <x:c r="A5558" s="142"/>
    </x:row>
    <x:row r="5559">
      <x:c r="A5559" s="142"/>
    </x:row>
    <x:row r="5560">
      <x:c r="A5560" s="142"/>
    </x:row>
    <x:row r="5561">
      <x:c r="A5561" s="142"/>
    </x:row>
    <x:row r="5562">
      <x:c r="A5562" s="142"/>
    </x:row>
    <x:row r="5563">
      <x:c r="A5563" s="142"/>
    </x:row>
    <x:row r="5564">
      <x:c r="A5564" s="142"/>
    </x:row>
    <x:row r="5565">
      <x:c r="A5565" s="142"/>
    </x:row>
    <x:row r="5566">
      <x:c r="A5566" s="142"/>
    </x:row>
    <x:row r="5567">
      <x:c r="A5567" s="142"/>
    </x:row>
    <x:row r="5568">
      <x:c r="A5568" s="142"/>
    </x:row>
    <x:row r="5569">
      <x:c r="A5569" s="142"/>
    </x:row>
    <x:row r="5570">
      <x:c r="A5570" s="142"/>
    </x:row>
    <x:row r="5571">
      <x:c r="A5571" s="142"/>
    </x:row>
    <x:row r="5572">
      <x:c r="A5572" s="142"/>
    </x:row>
    <x:row r="5573">
      <x:c r="A5573" s="142"/>
    </x:row>
    <x:row r="5574">
      <x:c r="A5574" s="142"/>
    </x:row>
    <x:row r="5575">
      <x:c r="A5575" s="142"/>
    </x:row>
    <x:row r="5576">
      <x:c r="A5576" s="142"/>
    </x:row>
    <x:row r="5577">
      <x:c r="A5577" s="142"/>
    </x:row>
    <x:row r="5578">
      <x:c r="A5578" s="142"/>
    </x:row>
    <x:row r="5579">
      <x:c r="A5579" s="142"/>
    </x:row>
    <x:row r="5580">
      <x:c r="A5580" s="142"/>
    </x:row>
    <x:row r="5581">
      <x:c r="A5581" s="142"/>
    </x:row>
    <x:row r="5582">
      <x:c r="A5582" s="142"/>
    </x:row>
    <x:row r="5583">
      <x:c r="A5583" s="142"/>
    </x:row>
    <x:row r="5584">
      <x:c r="A5584" s="142"/>
    </x:row>
    <x:row r="5585">
      <x:c r="A5585" s="142"/>
    </x:row>
    <x:row r="5586">
      <x:c r="A5586" s="142"/>
    </x:row>
    <x:row r="5587">
      <x:c r="A5587" s="142"/>
    </x:row>
    <x:row r="5588">
      <x:c r="A5588" s="142"/>
    </x:row>
    <x:row r="5589">
      <x:c r="A5589" s="142"/>
    </x:row>
    <x:row r="5590">
      <x:c r="A5590" s="142"/>
    </x:row>
    <x:row r="5591">
      <x:c r="A5591" s="142"/>
    </x:row>
    <x:row r="5592">
      <x:c r="A5592" s="142"/>
    </x:row>
    <x:row r="5593">
      <x:c r="A5593" s="142"/>
    </x:row>
    <x:row r="5594">
      <x:c r="A5594" s="142"/>
    </x:row>
    <x:row r="5595">
      <x:c r="A5595" s="142"/>
    </x:row>
    <x:row r="5596">
      <x:c r="A5596" s="142"/>
    </x:row>
    <x:row r="5597">
      <x:c r="A5597" s="142"/>
    </x:row>
    <x:row r="5598">
      <x:c r="A5598" s="142"/>
    </x:row>
    <x:row r="5599">
      <x:c r="A5599" s="142"/>
    </x:row>
    <x:row r="5600">
      <x:c r="A5600" s="142"/>
    </x:row>
    <x:row r="5601">
      <x:c r="A5601" s="142"/>
    </x:row>
    <x:row r="5602">
      <x:c r="A5602" s="142"/>
    </x:row>
    <x:row r="5603">
      <x:c r="A5603" s="142"/>
    </x:row>
    <x:row r="5604">
      <x:c r="A5604" s="142"/>
    </x:row>
    <x:row r="5605">
      <x:c r="A5605" s="142"/>
    </x:row>
    <x:row r="5606">
      <x:c r="A5606" s="142"/>
    </x:row>
    <x:row r="5607">
      <x:c r="A5607" s="142"/>
    </x:row>
    <x:row r="5608">
      <x:c r="A5608" s="142"/>
    </x:row>
    <x:row r="5609">
      <x:c r="A5609" s="142"/>
    </x:row>
    <x:row r="5610">
      <x:c r="A5610" s="142"/>
    </x:row>
    <x:row r="5611">
      <x:c r="A5611" s="142"/>
    </x:row>
    <x:row r="5612">
      <x:c r="A5612" s="142"/>
    </x:row>
    <x:row r="5613">
      <x:c r="A5613" s="142"/>
    </x:row>
    <x:row r="5614">
      <x:c r="A5614" s="142"/>
    </x:row>
    <x:row r="5615">
      <x:c r="A5615" s="142"/>
    </x:row>
    <x:row r="5616">
      <x:c r="A5616" s="142"/>
    </x:row>
    <x:row r="5617">
      <x:c r="A5617" s="142"/>
    </x:row>
    <x:row r="5618">
      <x:c r="A5618" s="142"/>
    </x:row>
    <x:row r="5619">
      <x:c r="A5619" s="142"/>
    </x:row>
    <x:row r="5620">
      <x:c r="A5620" s="142"/>
    </x:row>
    <x:row r="5621">
      <x:c r="A5621" s="142"/>
    </x:row>
    <x:row r="5622">
      <x:c r="A5622" s="142"/>
    </x:row>
    <x:row r="5623">
      <x:c r="A5623" s="142"/>
    </x:row>
    <x:row r="5624">
      <x:c r="A5624" s="142"/>
    </x:row>
    <x:row r="5625">
      <x:c r="A5625" s="142"/>
    </x:row>
    <x:row r="5626">
      <x:c r="A5626" s="142"/>
    </x:row>
    <x:row r="5627">
      <x:c r="A5627" s="142"/>
    </x:row>
    <x:row r="5628">
      <x:c r="A5628" s="142"/>
    </x:row>
    <x:row r="5629">
      <x:c r="A5629" s="142"/>
    </x:row>
    <x:row r="5630">
      <x:c r="A5630" s="142"/>
    </x:row>
    <x:row r="5631">
      <x:c r="A5631" s="142"/>
    </x:row>
    <x:row r="5632">
      <x:c r="A5632" s="142"/>
    </x:row>
    <x:row r="5633">
      <x:c r="A5633" s="142"/>
    </x:row>
    <x:row r="5634">
      <x:c r="A5634" s="142"/>
    </x:row>
    <x:row r="5635">
      <x:c r="A5635" s="142"/>
    </x:row>
    <x:row r="5636">
      <x:c r="A5636" s="142"/>
    </x:row>
    <x:row r="5637">
      <x:c r="A5637" s="142"/>
    </x:row>
    <x:row r="5638">
      <x:c r="A5638" s="142"/>
    </x:row>
    <x:row r="5639">
      <x:c r="A5639" s="142"/>
    </x:row>
    <x:row r="5640">
      <x:c r="A5640" s="142"/>
    </x:row>
    <x:row r="5641">
      <x:c r="A5641" s="142"/>
    </x:row>
    <x:row r="5642">
      <x:c r="A5642" s="142"/>
    </x:row>
    <x:row r="5643">
      <x:c r="A5643" s="142"/>
    </x:row>
    <x:row r="5644">
      <x:c r="A5644" s="142"/>
    </x:row>
    <x:row r="5645">
      <x:c r="A5645" s="142"/>
    </x:row>
    <x:row r="5646">
      <x:c r="A5646" s="142"/>
    </x:row>
    <x:row r="5647">
      <x:c r="A5647" s="142"/>
    </x:row>
    <x:row r="5648">
      <x:c r="A5648" s="142"/>
    </x:row>
    <x:row r="5649">
      <x:c r="A5649" s="142"/>
    </x:row>
    <x:row r="5650">
      <x:c r="A5650" s="142"/>
    </x:row>
    <x:row r="5651">
      <x:c r="A5651" s="142"/>
    </x:row>
    <x:row r="5652">
      <x:c r="A5652" s="142"/>
    </x:row>
    <x:row r="5653">
      <x:c r="A5653" s="142"/>
    </x:row>
    <x:row r="5654">
      <x:c r="A5654" s="142"/>
    </x:row>
    <x:row r="5655">
      <x:c r="A5655" s="142"/>
    </x:row>
    <x:row r="5656">
      <x:c r="A5656" s="142"/>
    </x:row>
    <x:row r="5657">
      <x:c r="A5657" s="142"/>
    </x:row>
    <x:row r="5658">
      <x:c r="A5658" s="142"/>
    </x:row>
    <x:row r="5659">
      <x:c r="A5659" s="142"/>
    </x:row>
    <x:row r="5660">
      <x:c r="A5660" s="142"/>
    </x:row>
    <x:row r="5661">
      <x:c r="A5661" s="142"/>
    </x:row>
    <x:row r="5662">
      <x:c r="A5662" s="142"/>
    </x:row>
    <x:row r="5663">
      <x:c r="A5663" s="142"/>
    </x:row>
    <x:row r="5664">
      <x:c r="A5664" s="142"/>
    </x:row>
    <x:row r="5665">
      <x:c r="A5665" s="142"/>
    </x:row>
    <x:row r="5666">
      <x:c r="A5666" s="142"/>
    </x:row>
    <x:row r="5667">
      <x:c r="A5667" s="142"/>
    </x:row>
    <x:row r="5668">
      <x:c r="A5668" s="142"/>
    </x:row>
    <x:row r="5669">
      <x:c r="A5669" s="142"/>
    </x:row>
    <x:row r="5670">
      <x:c r="A5670" s="142"/>
    </x:row>
    <x:row r="5671">
      <x:c r="A5671" s="142"/>
    </x:row>
    <x:row r="5672">
      <x:c r="A5672" s="142"/>
    </x:row>
    <x:row r="5673">
      <x:c r="A5673" s="142"/>
    </x:row>
    <x:row r="5674">
      <x:c r="A5674" s="142"/>
    </x:row>
    <x:row r="5675">
      <x:c r="A5675" s="142"/>
    </x:row>
    <x:row r="5676">
      <x:c r="A5676" s="142"/>
    </x:row>
    <x:row r="5677">
      <x:c r="A5677" s="142"/>
    </x:row>
    <x:row r="5678">
      <x:c r="A5678" s="142"/>
    </x:row>
    <x:row r="5679">
      <x:c r="A5679" s="142"/>
    </x:row>
    <x:row r="5680">
      <x:c r="A5680" s="142"/>
    </x:row>
    <x:row r="5681">
      <x:c r="A5681" s="142"/>
    </x:row>
    <x:row r="5682">
      <x:c r="A5682" s="142"/>
    </x:row>
    <x:row r="5683">
      <x:c r="A5683" s="142"/>
    </x:row>
    <x:row r="5684">
      <x:c r="A5684" s="142"/>
    </x:row>
    <x:row r="5685">
      <x:c r="A5685" s="142"/>
    </x:row>
    <x:row r="5686">
      <x:c r="A5686" s="142"/>
    </x:row>
    <x:row r="5687">
      <x:c r="A5687" s="142"/>
    </x:row>
    <x:row r="5688">
      <x:c r="A5688" s="142"/>
    </x:row>
    <x:row r="5689">
      <x:c r="A5689" s="142"/>
    </x:row>
    <x:row r="5690">
      <x:c r="A5690" s="142"/>
    </x:row>
    <x:row r="5691">
      <x:c r="A5691" s="142"/>
    </x:row>
    <x:row r="5692">
      <x:c r="A5692" s="142"/>
    </x:row>
    <x:row r="5693">
      <x:c r="A5693" s="142"/>
    </x:row>
    <x:row r="5694">
      <x:c r="A5694" s="142"/>
    </x:row>
    <x:row r="5695">
      <x:c r="A5695" s="142"/>
    </x:row>
    <x:row r="5696">
      <x:c r="A5696" s="142"/>
    </x:row>
    <x:row r="5697">
      <x:c r="A5697" s="142"/>
    </x:row>
    <x:row r="5698">
      <x:c r="A5698" s="142"/>
    </x:row>
    <x:row r="5699">
      <x:c r="A5699" s="142"/>
    </x:row>
    <x:row r="5700">
      <x:c r="A5700" s="142"/>
    </x:row>
    <x:row r="5701">
      <x:c r="A5701" s="142"/>
    </x:row>
    <x:row r="5702">
      <x:c r="A5702" s="142"/>
    </x:row>
    <x:row r="5703">
      <x:c r="A5703" s="142"/>
    </x:row>
    <x:row r="5704">
      <x:c r="A5704" s="142"/>
    </x:row>
    <x:row r="5705">
      <x:c r="A5705" s="142"/>
    </x:row>
    <x:row r="5706">
      <x:c r="A5706" s="142"/>
    </x:row>
    <x:row r="5707">
      <x:c r="A5707" s="142"/>
    </x:row>
    <x:row r="5708">
      <x:c r="A5708" s="142"/>
    </x:row>
    <x:row r="5709">
      <x:c r="A5709" s="142"/>
    </x:row>
    <x:row r="5710">
      <x:c r="A5710" s="142"/>
    </x:row>
    <x:row r="5711">
      <x:c r="A5711" s="142"/>
    </x:row>
    <x:row r="5712">
      <x:c r="A5712" s="142"/>
    </x:row>
    <x:row r="5713">
      <x:c r="A5713" s="142"/>
    </x:row>
    <x:row r="5714">
      <x:c r="A5714" s="142"/>
    </x:row>
    <x:row r="5715">
      <x:c r="A5715" s="142"/>
    </x:row>
    <x:row r="5716">
      <x:c r="A5716" s="142"/>
    </x:row>
    <x:row r="5717">
      <x:c r="A5717" s="142"/>
    </x:row>
    <x:row r="5718">
      <x:c r="A5718" s="142"/>
    </x:row>
    <x:row r="5719">
      <x:c r="A5719" s="142"/>
    </x:row>
    <x:row r="5720">
      <x:c r="A5720" s="142"/>
    </x:row>
    <x:row r="5721">
      <x:c r="A5721" s="142"/>
    </x:row>
    <x:row r="5722">
      <x:c r="A5722" s="142"/>
    </x:row>
    <x:row r="5723">
      <x:c r="A5723" s="142"/>
    </x:row>
    <x:row r="5724">
      <x:c r="A5724" s="142"/>
    </x:row>
    <x:row r="5725">
      <x:c r="A5725" s="142"/>
    </x:row>
    <x:row r="5726">
      <x:c r="A5726" s="142"/>
    </x:row>
    <x:row r="5727">
      <x:c r="A5727" s="142"/>
    </x:row>
    <x:row r="5728">
      <x:c r="A5728" s="142"/>
    </x:row>
    <x:row r="5729">
      <x:c r="A5729" s="142"/>
    </x:row>
    <x:row r="5730">
      <x:c r="A5730" s="142"/>
    </x:row>
    <x:row r="5731">
      <x:c r="A5731" s="142"/>
    </x:row>
    <x:row r="5732">
      <x:c r="A5732" s="142"/>
    </x:row>
    <x:row r="5733">
      <x:c r="A5733" s="142"/>
    </x:row>
    <x:row r="5734">
      <x:c r="A5734" s="142"/>
    </x:row>
    <x:row r="5735">
      <x:c r="A5735" s="142"/>
    </x:row>
    <x:row r="5736">
      <x:c r="A5736" s="142"/>
    </x:row>
    <x:row r="5737">
      <x:c r="A5737" s="142"/>
    </x:row>
    <x:row r="5738">
      <x:c r="A5738" s="142"/>
    </x:row>
    <x:row r="5739">
      <x:c r="A5739" s="142"/>
    </x:row>
    <x:row r="5740">
      <x:c r="A5740" s="142"/>
    </x:row>
    <x:row r="5741">
      <x:c r="A5741" s="142"/>
    </x:row>
    <x:row r="5742">
      <x:c r="A5742" s="142"/>
    </x:row>
    <x:row r="5743">
      <x:c r="A5743" s="142"/>
    </x:row>
    <x:row r="5744">
      <x:c r="A5744" s="142"/>
    </x:row>
    <x:row r="5745">
      <x:c r="A5745" s="142"/>
    </x:row>
    <x:row r="5746">
      <x:c r="A5746" s="142"/>
    </x:row>
    <x:row r="5747">
      <x:c r="A5747" s="142"/>
    </x:row>
    <x:row r="5748">
      <x:c r="A5748" s="142"/>
    </x:row>
    <x:row r="5749">
      <x:c r="A5749" s="142"/>
    </x:row>
    <x:row r="5750">
      <x:c r="A5750" s="142"/>
    </x:row>
    <x:row r="5751">
      <x:c r="A5751" s="142"/>
    </x:row>
    <x:row r="5752">
      <x:c r="A5752" s="142"/>
    </x:row>
    <x:row r="5753">
      <x:c r="A5753" s="142"/>
    </x:row>
    <x:row r="5754">
      <x:c r="A5754" s="142"/>
    </x:row>
    <x:row r="5755">
      <x:c r="A5755" s="142"/>
    </x:row>
    <x:row r="5756">
      <x:c r="A5756" s="142"/>
    </x:row>
    <x:row r="5757">
      <x:c r="A5757" s="142"/>
    </x:row>
    <x:row r="5758">
      <x:c r="A5758" s="142"/>
    </x:row>
    <x:row r="5759">
      <x:c r="A5759" s="142"/>
    </x:row>
    <x:row r="5760">
      <x:c r="A5760" s="142"/>
    </x:row>
    <x:row r="5761">
      <x:c r="A5761" s="142"/>
    </x:row>
    <x:row r="5762">
      <x:c r="A5762" s="142"/>
    </x:row>
    <x:row r="5763">
      <x:c r="A5763" s="142"/>
    </x:row>
    <x:row r="5764">
      <x:c r="A5764" s="142"/>
    </x:row>
    <x:row r="5765">
      <x:c r="A5765" s="142"/>
    </x:row>
    <x:row r="5766">
      <x:c r="A5766" s="142"/>
    </x:row>
    <x:row r="5767">
      <x:c r="A5767" s="142"/>
    </x:row>
    <x:row r="5768">
      <x:c r="A5768" s="142"/>
    </x:row>
    <x:row r="5769">
      <x:c r="A5769" s="142"/>
    </x:row>
    <x:row r="5770">
      <x:c r="A5770" s="142"/>
    </x:row>
    <x:row r="5771">
      <x:c r="A5771" s="142"/>
    </x:row>
    <x:row r="5772">
      <x:c r="A5772" s="142"/>
    </x:row>
    <x:row r="5773">
      <x:c r="A5773" s="142"/>
    </x:row>
    <x:row r="5774">
      <x:c r="A5774" s="142"/>
    </x:row>
    <x:row r="5775">
      <x:c r="A5775" s="142"/>
    </x:row>
    <x:row r="5776">
      <x:c r="A5776" s="142"/>
    </x:row>
    <x:row r="5777">
      <x:c r="A5777" s="142"/>
    </x:row>
    <x:row r="5778">
      <x:c r="A5778" s="142"/>
    </x:row>
    <x:row r="5779">
      <x:c r="A5779" s="142"/>
    </x:row>
    <x:row r="5780">
      <x:c r="A5780" s="142"/>
    </x:row>
    <x:row r="5781">
      <x:c r="A5781" s="142"/>
    </x:row>
    <x:row r="5782">
      <x:c r="A5782" s="142"/>
    </x:row>
    <x:row r="5783">
      <x:c r="A5783" s="142"/>
    </x:row>
    <x:row r="5784">
      <x:c r="A5784" s="142"/>
    </x:row>
    <x:row r="5785">
      <x:c r="A5785" s="142"/>
    </x:row>
    <x:row r="5786">
      <x:c r="A5786" s="142"/>
    </x:row>
    <x:row r="5787">
      <x:c r="A5787" s="142"/>
    </x:row>
    <x:row r="5788">
      <x:c r="A5788" s="142"/>
    </x:row>
    <x:row r="5789">
      <x:c r="A5789" s="142"/>
    </x:row>
    <x:row r="5790">
      <x:c r="A5790" s="142"/>
    </x:row>
    <x:row r="5791">
      <x:c r="A5791" s="142"/>
    </x:row>
    <x:row r="5792">
      <x:c r="A5792" s="142"/>
    </x:row>
    <x:row r="5793">
      <x:c r="A5793" s="142"/>
    </x:row>
    <x:row r="5794">
      <x:c r="A5794" s="142"/>
    </x:row>
    <x:row r="5795">
      <x:c r="A5795" s="142"/>
    </x:row>
    <x:row r="5796">
      <x:c r="A5796" s="142"/>
    </x:row>
    <x:row r="5797">
      <x:c r="A5797" s="142"/>
    </x:row>
    <x:row r="5798">
      <x:c r="A5798" s="142"/>
    </x:row>
    <x:row r="5799">
      <x:c r="A5799" s="142"/>
    </x:row>
    <x:row r="5800">
      <x:c r="A5800" s="142"/>
    </x:row>
    <x:row r="5801">
      <x:c r="A5801" s="142"/>
    </x:row>
    <x:row r="5802">
      <x:c r="A5802" s="142"/>
    </x:row>
    <x:row r="5803">
      <x:c r="A5803" s="142"/>
    </x:row>
    <x:row r="5804">
      <x:c r="A5804" s="142"/>
    </x:row>
    <x:row r="5805">
      <x:c r="A5805" s="142"/>
    </x:row>
    <x:row r="5806">
      <x:c r="A5806" s="142"/>
    </x:row>
    <x:row r="5807">
      <x:c r="A5807" s="142"/>
    </x:row>
    <x:row r="5808">
      <x:c r="A5808" s="142"/>
    </x:row>
    <x:row r="5809">
      <x:c r="A5809" s="142"/>
    </x:row>
    <x:row r="5810">
      <x:c r="A5810" s="142"/>
    </x:row>
    <x:row r="5811">
      <x:c r="A5811" s="142"/>
    </x:row>
    <x:row r="5812">
      <x:c r="A5812" s="142"/>
    </x:row>
    <x:row r="5813">
      <x:c r="A5813" s="142"/>
    </x:row>
    <x:row r="5814">
      <x:c r="A5814" s="142"/>
    </x:row>
    <x:row r="5815">
      <x:c r="A5815" s="142"/>
    </x:row>
    <x:row r="5816">
      <x:c r="A5816" s="142"/>
    </x:row>
    <x:row r="5817">
      <x:c r="A5817" s="142"/>
    </x:row>
    <x:row r="5818">
      <x:c r="A5818" s="142"/>
    </x:row>
    <x:row r="5819">
      <x:c r="A5819" s="142"/>
    </x:row>
    <x:row r="5820">
      <x:c r="A5820" s="142"/>
    </x:row>
    <x:row r="5821">
      <x:c r="A5821" s="142"/>
    </x:row>
    <x:row r="5822">
      <x:c r="A5822" s="142"/>
    </x:row>
    <x:row r="5823">
      <x:c r="A5823" s="142"/>
    </x:row>
    <x:row r="5824">
      <x:c r="A5824" s="142"/>
    </x:row>
    <x:row r="5825">
      <x:c r="A5825" s="142"/>
    </x:row>
    <x:row r="5826">
      <x:c r="A5826" s="142"/>
    </x:row>
    <x:row r="5827">
      <x:c r="A5827" s="142"/>
    </x:row>
    <x:row r="5828">
      <x:c r="A5828" s="142"/>
    </x:row>
    <x:row r="5829">
      <x:c r="A5829" s="142"/>
    </x:row>
    <x:row r="5830">
      <x:c r="A5830" s="142"/>
    </x:row>
    <x:row r="5831">
      <x:c r="A5831" s="142"/>
    </x:row>
    <x:row r="5832">
      <x:c r="A5832" s="142"/>
    </x:row>
    <x:row r="5833">
      <x:c r="A5833" s="142"/>
    </x:row>
    <x:row r="5834">
      <x:c r="A5834" s="142"/>
    </x:row>
    <x:row r="5835">
      <x:c r="A5835" s="142"/>
    </x:row>
    <x:row r="5836">
      <x:c r="A5836" s="142"/>
    </x:row>
    <x:row r="5837">
      <x:c r="A5837" s="142"/>
    </x:row>
    <x:row r="5838">
      <x:c r="A5838" s="142"/>
    </x:row>
    <x:row r="5839">
      <x:c r="A5839" s="142"/>
    </x:row>
    <x:row r="5840">
      <x:c r="A5840" s="142"/>
    </x:row>
    <x:row r="5841">
      <x:c r="A5841" s="142"/>
    </x:row>
    <x:row r="5842">
      <x:c r="A5842" s="142"/>
    </x:row>
    <x:row r="5843">
      <x:c r="A5843" s="142"/>
    </x:row>
    <x:row r="5844">
      <x:c r="A5844" s="142"/>
    </x:row>
    <x:row r="5845">
      <x:c r="A5845" s="142"/>
    </x:row>
    <x:row r="5846">
      <x:c r="A5846" s="142"/>
    </x:row>
    <x:row r="5847">
      <x:c r="A5847" s="142"/>
    </x:row>
    <x:row r="5848">
      <x:c r="A5848" s="142"/>
    </x:row>
    <x:row r="5849">
      <x:c r="A5849" s="142"/>
    </x:row>
    <x:row r="5850">
      <x:c r="A5850" s="142"/>
    </x:row>
    <x:row r="5851">
      <x:c r="A5851" s="142"/>
    </x:row>
    <x:row r="5852">
      <x:c r="A5852" s="142"/>
    </x:row>
    <x:row r="5853">
      <x:c r="A5853" s="142"/>
    </x:row>
    <x:row r="5854">
      <x:c r="A5854" s="142"/>
    </x:row>
    <x:row r="5855">
      <x:c r="A5855" s="142"/>
    </x:row>
    <x:row r="5856">
      <x:c r="A5856" s="142"/>
    </x:row>
    <x:row r="5857">
      <x:c r="A5857" s="142"/>
    </x:row>
    <x:row r="5858">
      <x:c r="A5858" s="142"/>
    </x:row>
    <x:row r="5859">
      <x:c r="A5859" s="142"/>
    </x:row>
    <x:row r="5860">
      <x:c r="A5860" s="142"/>
    </x:row>
    <x:row r="5861">
      <x:c r="A5861" s="142"/>
    </x:row>
    <x:row r="5862">
      <x:c r="A5862" s="142"/>
    </x:row>
    <x:row r="5863">
      <x:c r="A5863" s="142"/>
    </x:row>
    <x:row r="5864">
      <x:c r="A5864" s="142"/>
    </x:row>
    <x:row r="5865">
      <x:c r="A5865" s="142"/>
    </x:row>
    <x:row r="5866">
      <x:c r="A5866" s="142"/>
    </x:row>
    <x:row r="5867">
      <x:c r="A5867" s="142"/>
    </x:row>
    <x:row r="5868">
      <x:c r="A5868" s="142"/>
    </x:row>
    <x:row r="5869">
      <x:c r="A5869" s="142"/>
    </x:row>
    <x:row r="5870">
      <x:c r="A5870" s="142"/>
    </x:row>
    <x:row r="5871">
      <x:c r="A5871" s="142"/>
    </x:row>
    <x:row r="5872">
      <x:c r="A5872" s="142"/>
    </x:row>
    <x:row r="5873">
      <x:c r="A5873" s="142"/>
    </x:row>
    <x:row r="5874">
      <x:c r="A5874" s="142"/>
    </x:row>
    <x:row r="5875">
      <x:c r="A5875" s="142"/>
    </x:row>
    <x:row r="5876">
      <x:c r="A5876" s="142"/>
    </x:row>
    <x:row r="5877">
      <x:c r="A5877" s="142"/>
    </x:row>
    <x:row r="5878">
      <x:c r="A5878" s="142"/>
    </x:row>
    <x:row r="5879">
      <x:c r="A5879" s="142"/>
    </x:row>
    <x:row r="5880">
      <x:c r="A5880" s="142"/>
    </x:row>
    <x:row r="5881">
      <x:c r="A5881" s="142"/>
    </x:row>
    <x:row r="5882">
      <x:c r="A5882" s="142"/>
    </x:row>
    <x:row r="5883">
      <x:c r="A5883" s="142"/>
    </x:row>
    <x:row r="5884">
      <x:c r="A5884" s="142"/>
    </x:row>
    <x:row r="5885">
      <x:c r="A5885" s="142"/>
    </x:row>
    <x:row r="5886">
      <x:c r="A5886" s="142"/>
    </x:row>
    <x:row r="5887">
      <x:c r="A5887" s="142"/>
    </x:row>
    <x:row r="5888">
      <x:c r="A5888" s="142"/>
    </x:row>
    <x:row r="5889">
      <x:c r="A5889" s="142"/>
    </x:row>
    <x:row r="5890">
      <x:c r="A5890" s="142"/>
    </x:row>
    <x:row r="5891">
      <x:c r="A5891" s="142"/>
    </x:row>
    <x:row r="5892">
      <x:c r="A5892" s="142"/>
    </x:row>
    <x:row r="5893">
      <x:c r="A5893" s="142"/>
    </x:row>
    <x:row r="5894">
      <x:c r="A5894" s="142"/>
    </x:row>
    <x:row r="5895">
      <x:c r="A5895" s="142"/>
    </x:row>
    <x:row r="5896">
      <x:c r="A5896" s="142"/>
    </x:row>
    <x:row r="5897">
      <x:c r="A5897" s="142"/>
    </x:row>
    <x:row r="5898">
      <x:c r="A5898" s="142"/>
    </x:row>
    <x:row r="5899">
      <x:c r="A5899" s="142"/>
    </x:row>
    <x:row r="5900">
      <x:c r="A5900" s="142"/>
    </x:row>
    <x:row r="5901">
      <x:c r="A5901" s="142"/>
    </x:row>
    <x:row r="5902">
      <x:c r="A5902" s="142"/>
    </x:row>
    <x:row r="5903">
      <x:c r="A5903" s="142"/>
    </x:row>
    <x:row r="5904">
      <x:c r="A5904" s="142"/>
    </x:row>
    <x:row r="5905">
      <x:c r="A5905" s="142"/>
    </x:row>
    <x:row r="5906">
      <x:c r="A5906" s="142"/>
    </x:row>
    <x:row r="5907">
      <x:c r="A5907" s="142"/>
    </x:row>
    <x:row r="5908">
      <x:c r="A5908" s="142"/>
    </x:row>
    <x:row r="5909">
      <x:c r="A5909" s="142"/>
    </x:row>
    <x:row r="5910">
      <x:c r="A5910" s="142"/>
    </x:row>
    <x:row r="5911">
      <x:c r="A5911" s="142"/>
    </x:row>
    <x:row r="5912">
      <x:c r="A5912" s="142"/>
    </x:row>
    <x:row r="5913">
      <x:c r="A5913" s="142"/>
    </x:row>
    <x:row r="5914">
      <x:c r="A5914" s="142"/>
    </x:row>
    <x:row r="5915">
      <x:c r="A5915" s="142"/>
    </x:row>
    <x:row r="5916">
      <x:c r="A5916" s="142"/>
    </x:row>
    <x:row r="5917">
      <x:c r="A5917" s="142"/>
    </x:row>
    <x:row r="5918">
      <x:c r="A5918" s="142"/>
    </x:row>
    <x:row r="5919">
      <x:c r="A5919" s="142"/>
    </x:row>
    <x:row r="5920">
      <x:c r="A5920" s="142"/>
    </x:row>
    <x:row r="5921">
      <x:c r="A5921" s="142"/>
    </x:row>
    <x:row r="5922">
      <x:c r="A5922" s="142"/>
    </x:row>
    <x:row r="5923">
      <x:c r="A5923" s="142"/>
    </x:row>
    <x:row r="5924">
      <x:c r="A5924" s="142"/>
    </x:row>
    <x:row r="5925">
      <x:c r="A5925" s="142"/>
    </x:row>
    <x:row r="5926">
      <x:c r="A5926" s="142"/>
    </x:row>
    <x:row r="5927">
      <x:c r="A5927" s="142"/>
    </x:row>
    <x:row r="5928">
      <x:c r="A5928" s="142"/>
    </x:row>
    <x:row r="5929">
      <x:c r="A5929" s="142"/>
    </x:row>
    <x:row r="5930">
      <x:c r="A5930" s="142"/>
    </x:row>
    <x:row r="5931">
      <x:c r="A5931" s="142"/>
    </x:row>
    <x:row r="5932">
      <x:c r="A5932" s="142"/>
    </x:row>
    <x:row r="5933">
      <x:c r="A5933" s="142"/>
    </x:row>
    <x:row r="5934">
      <x:c r="A5934" s="142"/>
    </x:row>
    <x:row r="5935">
      <x:c r="A5935" s="142"/>
    </x:row>
    <x:row r="5936">
      <x:c r="A5936" s="142"/>
    </x:row>
    <x:row r="5937">
      <x:c r="A5937" s="142"/>
    </x:row>
    <x:row r="5938">
      <x:c r="A5938" s="142"/>
    </x:row>
    <x:row r="5939">
      <x:c r="A5939" s="142"/>
    </x:row>
    <x:row r="5940">
      <x:c r="A5940" s="142"/>
    </x:row>
    <x:row r="5941">
      <x:c r="A5941" s="142"/>
    </x:row>
    <x:row r="5942">
      <x:c r="A5942" s="142"/>
    </x:row>
    <x:row r="5943">
      <x:c r="A5943" s="142"/>
    </x:row>
    <x:row r="5944">
      <x:c r="A5944" s="142"/>
    </x:row>
    <x:row r="5945">
      <x:c r="A5945" s="142"/>
    </x:row>
    <x:row r="5946">
      <x:c r="A5946" s="142"/>
    </x:row>
    <x:row r="5947">
      <x:c r="A5947" s="142"/>
    </x:row>
    <x:row r="5948">
      <x:c r="A5948" s="142"/>
    </x:row>
    <x:row r="5949">
      <x:c r="A5949" s="142"/>
    </x:row>
    <x:row r="5950">
      <x:c r="A5950" s="142"/>
    </x:row>
    <x:row r="5951">
      <x:c r="A5951" s="142"/>
    </x:row>
    <x:row r="5952">
      <x:c r="A5952" s="142"/>
    </x:row>
    <x:row r="5953">
      <x:c r="A5953" s="142"/>
    </x:row>
    <x:row r="5954">
      <x:c r="A5954" s="142"/>
    </x:row>
    <x:row r="5955">
      <x:c r="A5955" s="142"/>
    </x:row>
    <x:row r="5956">
      <x:c r="A5956" s="142"/>
    </x:row>
    <x:row r="5957">
      <x:c r="A5957" s="142"/>
    </x:row>
    <x:row r="5958">
      <x:c r="A5958" s="142"/>
    </x:row>
    <x:row r="5959">
      <x:c r="A5959" s="142"/>
    </x:row>
    <x:row r="5960">
      <x:c r="A5960" s="142"/>
    </x:row>
    <x:row r="5961">
      <x:c r="A5961" s="142"/>
    </x:row>
    <x:row r="5962">
      <x:c r="A5962" s="142"/>
    </x:row>
    <x:row r="5963">
      <x:c r="A5963" s="142"/>
    </x:row>
    <x:row r="5964">
      <x:c r="A5964" s="142"/>
    </x:row>
    <x:row r="5965">
      <x:c r="A5965" s="142"/>
    </x:row>
    <x:row r="5966">
      <x:c r="A5966" s="142"/>
    </x:row>
    <x:row r="5967">
      <x:c r="A5967" s="142"/>
    </x:row>
    <x:row r="5968">
      <x:c r="A5968" s="142"/>
    </x:row>
    <x:row r="5969">
      <x:c r="A5969" s="142"/>
    </x:row>
    <x:row r="5970">
      <x:c r="A5970" s="142"/>
    </x:row>
    <x:row r="5971">
      <x:c r="A5971" s="142"/>
    </x:row>
    <x:row r="5972">
      <x:c r="A5972" s="142"/>
    </x:row>
    <x:row r="5973">
      <x:c r="A5973" s="142"/>
    </x:row>
    <x:row r="5974">
      <x:c r="A5974" s="142"/>
    </x:row>
    <x:row r="5975">
      <x:c r="A5975" s="142"/>
    </x:row>
    <x:row r="5976">
      <x:c r="A5976" s="142"/>
    </x:row>
    <x:row r="5977">
      <x:c r="A5977" s="142"/>
    </x:row>
    <x:row r="5978">
      <x:c r="A5978" s="142"/>
    </x:row>
    <x:row r="5979">
      <x:c r="A5979" s="142"/>
    </x:row>
    <x:row r="5980">
      <x:c r="A5980" s="142"/>
    </x:row>
    <x:row r="5981">
      <x:c r="A5981" s="142"/>
    </x:row>
    <x:row r="5982">
      <x:c r="A5982" s="142"/>
    </x:row>
    <x:row r="5983">
      <x:c r="A5983" s="142"/>
    </x:row>
    <x:row r="5984">
      <x:c r="A5984" s="142"/>
    </x:row>
    <x:row r="5985">
      <x:c r="A5985" s="142"/>
    </x:row>
    <x:row r="5986">
      <x:c r="A5986" s="142"/>
    </x:row>
    <x:row r="5987">
      <x:c r="A5987" s="142"/>
    </x:row>
    <x:row r="5988">
      <x:c r="A5988" s="142"/>
    </x:row>
    <x:row r="5989">
      <x:c r="A5989" s="142"/>
    </x:row>
    <x:row r="5990">
      <x:c r="A5990" s="142"/>
    </x:row>
    <x:row r="5991">
      <x:c r="A5991" s="142"/>
    </x:row>
    <x:row r="5992">
      <x:c r="A5992" s="142"/>
    </x:row>
    <x:row r="5993">
      <x:c r="A5993" s="142"/>
    </x:row>
    <x:row r="5994">
      <x:c r="A5994" s="142"/>
    </x:row>
    <x:row r="5995">
      <x:c r="A5995" s="142"/>
    </x:row>
    <x:row r="5996">
      <x:c r="A5996" s="142"/>
    </x:row>
    <x:row r="5997">
      <x:c r="A5997" s="142"/>
    </x:row>
    <x:row r="5998">
      <x:c r="A5998" s="142"/>
    </x:row>
    <x:row r="5999">
      <x:c r="A5999" s="142"/>
    </x:row>
    <x:row r="6000">
      <x:c r="A6000" s="142"/>
    </x:row>
    <x:row r="6001">
      <x:c r="A6001" s="142"/>
    </x:row>
    <x:row r="6002">
      <x:c r="A6002" s="142"/>
    </x:row>
    <x:row r="6003">
      <x:c r="A6003" s="142"/>
    </x:row>
    <x:row r="6004">
      <x:c r="A6004" s="142"/>
    </x:row>
    <x:row r="6005">
      <x:c r="A6005" s="142"/>
    </x:row>
    <x:row r="6006">
      <x:c r="A6006" s="142"/>
    </x:row>
    <x:row r="6007">
      <x:c r="A6007" s="142"/>
    </x:row>
    <x:row r="6008">
      <x:c r="A6008" s="142"/>
    </x:row>
    <x:row r="6009">
      <x:c r="A6009" s="142"/>
    </x:row>
    <x:row r="6010">
      <x:c r="A6010" s="142"/>
    </x:row>
    <x:row r="6011">
      <x:c r="A6011" s="142"/>
    </x:row>
    <x:row r="6012">
      <x:c r="A6012" s="142"/>
    </x:row>
    <x:row r="6013">
      <x:c r="A6013" s="142"/>
    </x:row>
    <x:row r="6014">
      <x:c r="A6014" s="142"/>
    </x:row>
    <x:row r="6015">
      <x:c r="A6015" s="142"/>
    </x:row>
    <x:row r="6016">
      <x:c r="A6016" s="142"/>
    </x:row>
    <x:row r="6017">
      <x:c r="A6017" s="142"/>
    </x:row>
    <x:row r="6018">
      <x:c r="A6018" s="142"/>
    </x:row>
    <x:row r="6019">
      <x:c r="A6019" s="142"/>
    </x:row>
    <x:row r="6020">
      <x:c r="A6020" s="142"/>
    </x:row>
    <x:row r="6021">
      <x:c r="A6021" s="142"/>
    </x:row>
    <x:row r="6022">
      <x:c r="A6022" s="142"/>
    </x:row>
    <x:row r="6023">
      <x:c r="A6023" s="142"/>
    </x:row>
    <x:row r="6024">
      <x:c r="A6024" s="142"/>
    </x:row>
    <x:row r="6025">
      <x:c r="A6025" s="142"/>
    </x:row>
    <x:row r="6026">
      <x:c r="A6026" s="142"/>
    </x:row>
    <x:row r="6027">
      <x:c r="A6027" s="142"/>
    </x:row>
    <x:row r="6028">
      <x:c r="A6028" s="142"/>
    </x:row>
    <x:row r="6029">
      <x:c r="A6029" s="142"/>
    </x:row>
    <x:row r="6030">
      <x:c r="A6030" s="142"/>
    </x:row>
    <x:row r="6031">
      <x:c r="A6031" s="142"/>
    </x:row>
    <x:row r="6032">
      <x:c r="A6032" s="142"/>
    </x:row>
    <x:row r="6033">
      <x:c r="A6033" s="142"/>
    </x:row>
    <x:row r="6034">
      <x:c r="A6034" s="142"/>
    </x:row>
    <x:row r="6035">
      <x:c r="A6035" s="142"/>
    </x:row>
    <x:row r="6036">
      <x:c r="A6036" s="142"/>
    </x:row>
    <x:row r="6037">
      <x:c r="A6037" s="142"/>
    </x:row>
    <x:row r="6038">
      <x:c r="A6038" s="142"/>
    </x:row>
    <x:row r="6039">
      <x:c r="A6039" s="142"/>
    </x:row>
    <x:row r="6040">
      <x:c r="A6040" s="142"/>
    </x:row>
    <x:row r="6041">
      <x:c r="A6041" s="142"/>
    </x:row>
    <x:row r="6042">
      <x:c r="A6042" s="142"/>
    </x:row>
    <x:row r="6043">
      <x:c r="A6043" s="142"/>
    </x:row>
    <x:row r="6044">
      <x:c r="A6044" s="142"/>
    </x:row>
    <x:row r="6045">
      <x:c r="A6045" s="142"/>
    </x:row>
    <x:row r="6046">
      <x:c r="A6046" s="142"/>
    </x:row>
    <x:row r="6047">
      <x:c r="A6047" s="142"/>
    </x:row>
    <x:row r="6048">
      <x:c r="A6048" s="142"/>
    </x:row>
    <x:row r="6049">
      <x:c r="A6049" s="142"/>
    </x:row>
    <x:row r="6050">
      <x:c r="A6050" s="142"/>
    </x:row>
    <x:row r="6051">
      <x:c r="A6051" s="142"/>
    </x:row>
    <x:row r="6052">
      <x:c r="A6052" s="142"/>
    </x:row>
    <x:row r="6053">
      <x:c r="A6053" s="142"/>
    </x:row>
    <x:row r="6054">
      <x:c r="A6054" s="142"/>
    </x:row>
    <x:row r="6055">
      <x:c r="A6055" s="142"/>
    </x:row>
    <x:row r="6056">
      <x:c r="A6056" s="142"/>
    </x:row>
    <x:row r="6057">
      <x:c r="A6057" s="142"/>
    </x:row>
    <x:row r="6058">
      <x:c r="A6058" s="142"/>
    </x:row>
    <x:row r="6059">
      <x:c r="A6059" s="142"/>
    </x:row>
    <x:row r="6060">
      <x:c r="A6060" s="142"/>
    </x:row>
    <x:row r="6061">
      <x:c r="A6061" s="142"/>
    </x:row>
    <x:row r="6062">
      <x:c r="A6062" s="142"/>
    </x:row>
    <x:row r="6063">
      <x:c r="A6063" s="142"/>
    </x:row>
    <x:row r="6064">
      <x:c r="A6064" s="142"/>
    </x:row>
    <x:row r="6065">
      <x:c r="A6065" s="142"/>
    </x:row>
    <x:row r="6066">
      <x:c r="A6066" s="142"/>
    </x:row>
    <x:row r="6067">
      <x:c r="A6067" s="142"/>
    </x:row>
    <x:row r="6068">
      <x:c r="A6068" s="142"/>
    </x:row>
    <x:row r="6069">
      <x:c r="A6069" s="142"/>
    </x:row>
    <x:row r="6070">
      <x:c r="A6070" s="142"/>
    </x:row>
    <x:row r="6071">
      <x:c r="A6071" s="142"/>
    </x:row>
    <x:row r="6072">
      <x:c r="A6072" s="142"/>
    </x:row>
    <x:row r="6073">
      <x:c r="A6073" s="142"/>
    </x:row>
    <x:row r="6074">
      <x:c r="A6074" s="142"/>
    </x:row>
    <x:row r="6075">
      <x:c r="A6075" s="142"/>
    </x:row>
    <x:row r="6076">
      <x:c r="A6076" s="142"/>
    </x:row>
    <x:row r="6077">
      <x:c r="A6077" s="142"/>
    </x:row>
    <x:row r="6078">
      <x:c r="A6078" s="142"/>
    </x:row>
    <x:row r="6079">
      <x:c r="A6079" s="142"/>
    </x:row>
    <x:row r="6080">
      <x:c r="A6080" s="142"/>
    </x:row>
    <x:row r="6081">
      <x:c r="A6081" s="142"/>
    </x:row>
    <x:row r="6082">
      <x:c r="A6082" s="142"/>
    </x:row>
    <x:row r="6083">
      <x:c r="A6083" s="142"/>
    </x:row>
    <x:row r="6084">
      <x:c r="A6084" s="142"/>
    </x:row>
    <x:row r="6085">
      <x:c r="A6085" s="142"/>
    </x:row>
    <x:row r="6086">
      <x:c r="A6086" s="142"/>
    </x:row>
    <x:row r="6087">
      <x:c r="A6087" s="142"/>
    </x:row>
    <x:row r="6088">
      <x:c r="A6088" s="142"/>
    </x:row>
    <x:row r="6089">
      <x:c r="A6089" s="142"/>
    </x:row>
    <x:row r="6090">
      <x:c r="A6090" s="142"/>
    </x:row>
    <x:row r="6091">
      <x:c r="A6091" s="142"/>
    </x:row>
    <x:row r="6092">
      <x:c r="A6092" s="142"/>
    </x:row>
    <x:row r="6093">
      <x:c r="A6093" s="142"/>
    </x:row>
    <x:row r="6094">
      <x:c r="A6094" s="142"/>
    </x:row>
    <x:row r="6095">
      <x:c r="A6095" s="142"/>
    </x:row>
    <x:row r="6096">
      <x:c r="A6096" s="142"/>
    </x:row>
    <x:row r="6097">
      <x:c r="A6097" s="142"/>
    </x:row>
    <x:row r="6098">
      <x:c r="A6098" s="142"/>
    </x:row>
    <x:row r="6099">
      <x:c r="A6099" s="142"/>
    </x:row>
    <x:row r="6100">
      <x:c r="A6100" s="142"/>
    </x:row>
    <x:row r="6101">
      <x:c r="A6101" s="142"/>
    </x:row>
    <x:row r="6102">
      <x:c r="A6102" s="142"/>
    </x:row>
    <x:row r="6103">
      <x:c r="A6103" s="142"/>
    </x:row>
    <x:row r="6104">
      <x:c r="A6104" s="142"/>
    </x:row>
    <x:row r="6105">
      <x:c r="A6105" s="142"/>
    </x:row>
    <x:row r="6106">
      <x:c r="A6106" s="142"/>
    </x:row>
    <x:row r="6107">
      <x:c r="A6107" s="142"/>
    </x:row>
    <x:row r="6108">
      <x:c r="A6108" s="142"/>
    </x:row>
    <x:row r="6109">
      <x:c r="A6109" s="142"/>
    </x:row>
    <x:row r="6110">
      <x:c r="A6110" s="142"/>
    </x:row>
    <x:row r="6111">
      <x:c r="A6111" s="142"/>
    </x:row>
    <x:row r="6112">
      <x:c r="A6112" s="142"/>
    </x:row>
    <x:row r="6113">
      <x:c r="A6113" s="142"/>
    </x:row>
    <x:row r="6114">
      <x:c r="A6114" s="142"/>
    </x:row>
    <x:row r="6115">
      <x:c r="A6115" s="142"/>
    </x:row>
    <x:row r="6116">
      <x:c r="A6116" s="142"/>
    </x:row>
    <x:row r="6117">
      <x:c r="A6117" s="142"/>
    </x:row>
    <x:row r="6118">
      <x:c r="A6118" s="142"/>
    </x:row>
    <x:row r="6119">
      <x:c r="A6119" s="142"/>
    </x:row>
    <x:row r="6120">
      <x:c r="A6120" s="142"/>
    </x:row>
    <x:row r="6121">
      <x:c r="A6121" s="142"/>
    </x:row>
    <x:row r="6122">
      <x:c r="A6122" s="142"/>
    </x:row>
    <x:row r="6123">
      <x:c r="A6123" s="142"/>
    </x:row>
    <x:row r="6124">
      <x:c r="A6124" s="142"/>
    </x:row>
    <x:row r="6125">
      <x:c r="A6125" s="142"/>
    </x:row>
    <x:row r="6126">
      <x:c r="A6126" s="142"/>
    </x:row>
    <x:row r="6127">
      <x:c r="A6127" s="142"/>
    </x:row>
    <x:row r="6128">
      <x:c r="A6128" s="142"/>
    </x:row>
    <x:row r="6129">
      <x:c r="A6129" s="142"/>
    </x:row>
    <x:row r="6130">
      <x:c r="A6130" s="142"/>
    </x:row>
    <x:row r="6131">
      <x:c r="A6131" s="142"/>
    </x:row>
    <x:row r="6132">
      <x:c r="A6132" s="142"/>
    </x:row>
    <x:row r="6133">
      <x:c r="A6133" s="142"/>
    </x:row>
    <x:row r="6134">
      <x:c r="A6134" s="142"/>
    </x:row>
    <x:row r="6135">
      <x:c r="A6135" s="142"/>
    </x:row>
    <x:row r="6136">
      <x:c r="A6136" s="142"/>
    </x:row>
    <x:row r="6137">
      <x:c r="A6137" s="142"/>
    </x:row>
    <x:row r="6138">
      <x:c r="A6138" s="142"/>
    </x:row>
    <x:row r="6139">
      <x:c r="A6139" s="142"/>
    </x:row>
    <x:row r="6140">
      <x:c r="A6140" s="142"/>
    </x:row>
    <x:row r="6141">
      <x:c r="A6141" s="142"/>
    </x:row>
    <x:row r="6142">
      <x:c r="A6142" s="142"/>
    </x:row>
    <x:row r="6143">
      <x:c r="A6143" s="142"/>
    </x:row>
    <x:row r="6144">
      <x:c r="A6144" s="142"/>
    </x:row>
    <x:row r="6145">
      <x:c r="A6145" s="142"/>
    </x:row>
    <x:row r="6146">
      <x:c r="A6146" s="142"/>
    </x:row>
    <x:row r="6147">
      <x:c r="A6147" s="142"/>
    </x:row>
    <x:row r="6148">
      <x:c r="A6148" s="142"/>
    </x:row>
    <x:row r="6149">
      <x:c r="A6149" s="142"/>
    </x:row>
    <x:row r="6150">
      <x:c r="A6150" s="142"/>
    </x:row>
    <x:row r="6151">
      <x:c r="A6151" s="142"/>
    </x:row>
    <x:row r="6152">
      <x:c r="A6152" s="142"/>
    </x:row>
    <x:row r="6153">
      <x:c r="A6153" s="142"/>
    </x:row>
    <x:row r="6154">
      <x:c r="A6154" s="142"/>
    </x:row>
    <x:row r="6155">
      <x:c r="A6155" s="142"/>
    </x:row>
    <x:row r="6156">
      <x:c r="A6156" s="142"/>
    </x:row>
    <x:row r="6157">
      <x:c r="A6157" s="142"/>
    </x:row>
    <x:row r="6158">
      <x:c r="A6158" s="142"/>
    </x:row>
    <x:row r="6159">
      <x:c r="A6159" s="142"/>
    </x:row>
    <x:row r="6160">
      <x:c r="A6160" s="142"/>
    </x:row>
    <x:row r="6161">
      <x:c r="A6161" s="142"/>
    </x:row>
    <x:row r="6162">
      <x:c r="A6162" s="142"/>
    </x:row>
    <x:row r="6163">
      <x:c r="A6163" s="142"/>
    </x:row>
    <x:row r="6164">
      <x:c r="A6164" s="142"/>
    </x:row>
    <x:row r="6165">
      <x:c r="A6165" s="142"/>
    </x:row>
    <x:row r="6166">
      <x:c r="A6166" s="142"/>
    </x:row>
    <x:row r="6167">
      <x:c r="A6167" s="142"/>
    </x:row>
    <x:row r="6168">
      <x:c r="A6168" s="142"/>
    </x:row>
    <x:row r="6169">
      <x:c r="A6169" s="142"/>
    </x:row>
    <x:row r="6170">
      <x:c r="A6170" s="142"/>
    </x:row>
    <x:row r="6171">
      <x:c r="A6171" s="142"/>
    </x:row>
    <x:row r="6172">
      <x:c r="A6172" s="142"/>
    </x:row>
    <x:row r="6173">
      <x:c r="A6173" s="142"/>
    </x:row>
    <x:row r="6174">
      <x:c r="A6174" s="142"/>
    </x:row>
    <x:row r="6175">
      <x:c r="A6175" s="142"/>
    </x:row>
    <x:row r="6176">
      <x:c r="A6176" s="142"/>
    </x:row>
    <x:row r="6177">
      <x:c r="A6177" s="142"/>
    </x:row>
    <x:row r="6178">
      <x:c r="A6178" s="142"/>
    </x:row>
    <x:row r="6179">
      <x:c r="A6179" s="142"/>
    </x:row>
    <x:row r="6180">
      <x:c r="A6180" s="142"/>
    </x:row>
    <x:row r="6181">
      <x:c r="A6181" s="142"/>
    </x:row>
    <x:row r="6182">
      <x:c r="A6182" s="142"/>
    </x:row>
    <x:row r="6183">
      <x:c r="A6183" s="142"/>
    </x:row>
    <x:row r="6184">
      <x:c r="A6184" s="142"/>
    </x:row>
    <x:row r="6185">
      <x:c r="A6185" s="142"/>
    </x:row>
    <x:row r="6186">
      <x:c r="A6186" s="142"/>
    </x:row>
    <x:row r="6187">
      <x:c r="A6187" s="142"/>
    </x:row>
    <x:row r="6188">
      <x:c r="A6188" s="142"/>
    </x:row>
    <x:row r="6189">
      <x:c r="A6189" s="142"/>
    </x:row>
    <x:row r="6190">
      <x:c r="A6190" s="142"/>
    </x:row>
    <x:row r="6191">
      <x:c r="A6191" s="142"/>
    </x:row>
    <x:row r="6192">
      <x:c r="A6192" s="142"/>
    </x:row>
    <x:row r="6193">
      <x:c r="A6193" s="142"/>
    </x:row>
    <x:row r="6194">
      <x:c r="A6194" s="142"/>
    </x:row>
    <x:row r="6195">
      <x:c r="A6195" s="142"/>
    </x:row>
    <x:row r="6196">
      <x:c r="A6196" s="142"/>
    </x:row>
    <x:row r="6197">
      <x:c r="A6197" s="142"/>
    </x:row>
    <x:row r="6198">
      <x:c r="A6198" s="142"/>
    </x:row>
    <x:row r="6199">
      <x:c r="A6199" s="142"/>
    </x:row>
    <x:row r="6200">
      <x:c r="A6200" s="142"/>
    </x:row>
    <x:row r="6201">
      <x:c r="A6201" s="142"/>
    </x:row>
    <x:row r="6202">
      <x:c r="A6202" s="142"/>
    </x:row>
    <x:row r="6203">
      <x:c r="A6203" s="142"/>
    </x:row>
    <x:row r="6204">
      <x:c r="A6204" s="142"/>
    </x:row>
    <x:row r="6205">
      <x:c r="A6205" s="142"/>
    </x:row>
    <x:row r="6206">
      <x:c r="A6206" s="142"/>
    </x:row>
    <x:row r="6207">
      <x:c r="A6207" s="142"/>
    </x:row>
    <x:row r="6208">
      <x:c r="A6208" s="142"/>
    </x:row>
    <x:row r="6209">
      <x:c r="A6209" s="142"/>
    </x:row>
    <x:row r="6210">
      <x:c r="A6210" s="142"/>
    </x:row>
    <x:row r="6211">
      <x:c r="A6211" s="142"/>
    </x:row>
    <x:row r="6212">
      <x:c r="A6212" s="142"/>
    </x:row>
    <x:row r="6213">
      <x:c r="A6213" s="142"/>
    </x:row>
    <x:row r="6214">
      <x:c r="A6214" s="142"/>
    </x:row>
    <x:row r="6215">
      <x:c r="A6215" s="142"/>
    </x:row>
    <x:row r="6216">
      <x:c r="A6216" s="142"/>
    </x:row>
    <x:row r="6217">
      <x:c r="A6217" s="142"/>
    </x:row>
    <x:row r="6218">
      <x:c r="A6218" s="142"/>
    </x:row>
    <x:row r="6219">
      <x:c r="A6219" s="142"/>
    </x:row>
    <x:row r="6220">
      <x:c r="A6220" s="142"/>
    </x:row>
    <x:row r="6221">
      <x:c r="A6221" s="142"/>
    </x:row>
    <x:row r="6222">
      <x:c r="A6222" s="142"/>
    </x:row>
    <x:row r="6223">
      <x:c r="A6223" s="142"/>
    </x:row>
    <x:row r="6224">
      <x:c r="A6224" s="142"/>
    </x:row>
    <x:row r="6225">
      <x:c r="A6225" s="142"/>
    </x:row>
    <x:row r="6226">
      <x:c r="A6226" s="142"/>
    </x:row>
    <x:row r="6227">
      <x:c r="A6227" s="142"/>
    </x:row>
    <x:row r="6228">
      <x:c r="A6228" s="142"/>
    </x:row>
    <x:row r="6229">
      <x:c r="A6229" s="142"/>
    </x:row>
    <x:row r="6230">
      <x:c r="A6230" s="142"/>
    </x:row>
    <x:row r="6231">
      <x:c r="A6231" s="142"/>
    </x:row>
    <x:row r="6232">
      <x:c r="A6232" s="142"/>
    </x:row>
    <x:row r="6233">
      <x:c r="A6233" s="142"/>
    </x:row>
    <x:row r="6234">
      <x:c r="A6234" s="142"/>
    </x:row>
    <x:row r="6235">
      <x:c r="A6235" s="142"/>
    </x:row>
    <x:row r="6236">
      <x:c r="A6236" s="142"/>
    </x:row>
    <x:row r="6237">
      <x:c r="A6237" s="142"/>
    </x:row>
    <x:row r="6238">
      <x:c r="A6238" s="142"/>
    </x:row>
    <x:row r="6239">
      <x:c r="A6239" s="142"/>
    </x:row>
    <x:row r="6240">
      <x:c r="A6240" s="142"/>
    </x:row>
    <x:row r="6241">
      <x:c r="A6241" s="142"/>
    </x:row>
    <x:row r="6242">
      <x:c r="A6242" s="142"/>
    </x:row>
    <x:row r="6243">
      <x:c r="A6243" s="142"/>
    </x:row>
    <x:row r="6244">
      <x:c r="A6244" s="142"/>
    </x:row>
    <x:row r="6245">
      <x:c r="A6245" s="142"/>
    </x:row>
    <x:row r="6246">
      <x:c r="A6246" s="142"/>
    </x:row>
    <x:row r="6247">
      <x:c r="A6247" s="142"/>
    </x:row>
    <x:row r="6248">
      <x:c r="A6248" s="142"/>
    </x:row>
    <x:row r="6249">
      <x:c r="A6249" s="142"/>
    </x:row>
    <x:row r="6250">
      <x:c r="A6250" s="142"/>
    </x:row>
    <x:row r="6251">
      <x:c r="A6251" s="142"/>
    </x:row>
    <x:row r="6252">
      <x:c r="A6252" s="142"/>
    </x:row>
    <x:row r="6253">
      <x:c r="A6253" s="142"/>
    </x:row>
    <x:row r="6254">
      <x:c r="A6254" s="142"/>
    </x:row>
    <x:row r="6255">
      <x:c r="A6255" s="142"/>
    </x:row>
    <x:row r="6256">
      <x:c r="A6256" s="142"/>
    </x:row>
    <x:row r="6257">
      <x:c r="A6257" s="142"/>
    </x:row>
    <x:row r="6258">
      <x:c r="A6258" s="142"/>
    </x:row>
    <x:row r="6259">
      <x:c r="A6259" s="142"/>
    </x:row>
    <x:row r="6260">
      <x:c r="A6260" s="142"/>
    </x:row>
    <x:row r="6261">
      <x:c r="A6261" s="142"/>
    </x:row>
    <x:row r="6262">
      <x:c r="A6262" s="142"/>
    </x:row>
    <x:row r="6263">
      <x:c r="A6263" s="142"/>
    </x:row>
    <x:row r="6264">
      <x:c r="A6264" s="142"/>
    </x:row>
    <x:row r="6265">
      <x:c r="A6265" s="142"/>
    </x:row>
    <x:row r="6266">
      <x:c r="A6266" s="142"/>
    </x:row>
    <x:row r="6267">
      <x:c r="A6267" s="142"/>
    </x:row>
    <x:row r="6268">
      <x:c r="A6268" s="142"/>
    </x:row>
    <x:row r="6269">
      <x:c r="A6269" s="142"/>
    </x:row>
    <x:row r="6270">
      <x:c r="A6270" s="142"/>
    </x:row>
    <x:row r="6271">
      <x:c r="A6271" s="142"/>
    </x:row>
    <x:row r="6272">
      <x:c r="A6272" s="142"/>
    </x:row>
    <x:row r="6273">
      <x:c r="A6273" s="142"/>
    </x:row>
    <x:row r="6274">
      <x:c r="A6274" s="142"/>
    </x:row>
    <x:row r="6275">
      <x:c r="A6275" s="142"/>
    </x:row>
    <x:row r="6276">
      <x:c r="A6276" s="142"/>
    </x:row>
    <x:row r="6277">
      <x:c r="A6277" s="142"/>
    </x:row>
    <x:row r="6278">
      <x:c r="A6278" s="142"/>
    </x:row>
    <x:row r="6279">
      <x:c r="A6279" s="142"/>
    </x:row>
    <x:row r="6280">
      <x:c r="A6280" s="142"/>
    </x:row>
    <x:row r="6281">
      <x:c r="A6281" s="142"/>
    </x:row>
    <x:row r="6282">
      <x:c r="A6282" s="142"/>
    </x:row>
    <x:row r="6283">
      <x:c r="A6283" s="142"/>
    </x:row>
    <x:row r="6284">
      <x:c r="A6284" s="142"/>
    </x:row>
    <x:row r="6285">
      <x:c r="A6285" s="142"/>
    </x:row>
    <x:row r="6286">
      <x:c r="A6286" s="142"/>
    </x:row>
    <x:row r="6287">
      <x:c r="A6287" s="142"/>
    </x:row>
    <x:row r="6288">
      <x:c r="A6288" s="142"/>
    </x:row>
    <x:row r="6289">
      <x:c r="A6289" s="142"/>
    </x:row>
    <x:row r="6290">
      <x:c r="A6290" s="142"/>
    </x:row>
    <x:row r="6291">
      <x:c r="A6291" s="142"/>
    </x:row>
    <x:row r="6292">
      <x:c r="A6292" s="142"/>
    </x:row>
    <x:row r="6293">
      <x:c r="A6293" s="142"/>
    </x:row>
    <x:row r="6294">
      <x:c r="A6294" s="142"/>
    </x:row>
    <x:row r="6295">
      <x:c r="A6295" s="142"/>
    </x:row>
    <x:row r="6296">
      <x:c r="A6296" s="142"/>
    </x:row>
    <x:row r="6297">
      <x:c r="A6297" s="142"/>
    </x:row>
    <x:row r="6298">
      <x:c r="A6298" s="142"/>
    </x:row>
    <x:row r="6299">
      <x:c r="A6299" s="142"/>
    </x:row>
    <x:row r="6300">
      <x:c r="A6300" s="142"/>
    </x:row>
    <x:row r="6301">
      <x:c r="A6301" s="142"/>
    </x:row>
    <x:row r="6302">
      <x:c r="A6302" s="142"/>
    </x:row>
    <x:row r="6303">
      <x:c r="A6303" s="142"/>
    </x:row>
    <x:row r="6304">
      <x:c r="A6304" s="142"/>
    </x:row>
    <x:row r="6305">
      <x:c r="A6305" s="142"/>
    </x:row>
    <x:row r="6306">
      <x:c r="A6306" s="142"/>
    </x:row>
    <x:row r="6307">
      <x:c r="A6307" s="142"/>
    </x:row>
    <x:row r="6308">
      <x:c r="A6308" s="142"/>
    </x:row>
    <x:row r="6309">
      <x:c r="A6309" s="142"/>
    </x:row>
    <x:row r="6310">
      <x:c r="A6310" s="142"/>
    </x:row>
    <x:row r="6311">
      <x:c r="A6311" s="142"/>
    </x:row>
    <x:row r="6312">
      <x:c r="A6312" s="142"/>
    </x:row>
    <x:row r="6313">
      <x:c r="A6313" s="142"/>
    </x:row>
    <x:row r="6314">
      <x:c r="A6314" s="142"/>
    </x:row>
    <x:row r="6315">
      <x:c r="A6315" s="142"/>
    </x:row>
    <x:row r="6316">
      <x:c r="A6316" s="142"/>
    </x:row>
    <x:row r="6317">
      <x:c r="A6317" s="142"/>
    </x:row>
    <x:row r="6318">
      <x:c r="A6318" s="142"/>
    </x:row>
    <x:row r="6319">
      <x:c r="A6319" s="142"/>
    </x:row>
    <x:row r="6320">
      <x:c r="A6320" s="142"/>
    </x:row>
    <x:row r="6321">
      <x:c r="A6321" s="142"/>
    </x:row>
    <x:row r="6322">
      <x:c r="A6322" s="142"/>
    </x:row>
    <x:row r="6323">
      <x:c r="A6323" s="142"/>
    </x:row>
    <x:row r="6324">
      <x:c r="A6324" s="142"/>
    </x:row>
    <x:row r="6325">
      <x:c r="A6325" s="142"/>
    </x:row>
    <x:row r="6326">
      <x:c r="A6326" s="142"/>
    </x:row>
    <x:row r="6327">
      <x:c r="A6327" s="142"/>
    </x:row>
    <x:row r="6328">
      <x:c r="A6328" s="142"/>
    </x:row>
    <x:row r="6329">
      <x:c r="A6329" s="142"/>
    </x:row>
    <x:row r="6330">
      <x:c r="A6330" s="142"/>
    </x:row>
    <x:row r="6331">
      <x:c r="A6331" s="142"/>
    </x:row>
    <x:row r="6332">
      <x:c r="A6332" s="142"/>
    </x:row>
    <x:row r="6333">
      <x:c r="A6333" s="142"/>
    </x:row>
    <x:row r="6334">
      <x:c r="A6334" s="142"/>
    </x:row>
    <x:row r="6335">
      <x:c r="A6335" s="142"/>
    </x:row>
    <x:row r="6336">
      <x:c r="A6336" s="142"/>
    </x:row>
    <x:row r="6337">
      <x:c r="A6337" s="142"/>
    </x:row>
    <x:row r="6338">
      <x:c r="A6338" s="142"/>
    </x:row>
    <x:row r="6339">
      <x:c r="A6339" s="142"/>
    </x:row>
    <x:row r="6340">
      <x:c r="A6340" s="142"/>
    </x:row>
    <x:row r="6341">
      <x:c r="A6341" s="142"/>
    </x:row>
    <x:row r="6342">
      <x:c r="A6342" s="142"/>
    </x:row>
    <x:row r="6343">
      <x:c r="A6343" s="142"/>
    </x:row>
    <x:row r="6344">
      <x:c r="A6344" s="142"/>
    </x:row>
    <x:row r="6345">
      <x:c r="A6345" s="142"/>
    </x:row>
    <x:row r="6346">
      <x:c r="A6346" s="142"/>
    </x:row>
    <x:row r="6347">
      <x:c r="A6347" s="142"/>
    </x:row>
    <x:row r="6348">
      <x:c r="A6348" s="142"/>
    </x:row>
    <x:row r="6349">
      <x:c r="A6349" s="142"/>
    </x:row>
    <x:row r="6350">
      <x:c r="A6350" s="142"/>
    </x:row>
    <x:row r="6351">
      <x:c r="A6351" s="142"/>
    </x:row>
    <x:row r="6352">
      <x:c r="A6352" s="142"/>
    </x:row>
    <x:row r="6353">
      <x:c r="A6353" s="142"/>
    </x:row>
    <x:row r="6354">
      <x:c r="A6354" s="142"/>
    </x:row>
    <x:row r="6355">
      <x:c r="A6355" s="142"/>
    </x:row>
    <x:row r="6356">
      <x:c r="A6356" s="142"/>
    </x:row>
    <x:row r="6357">
      <x:c r="A6357" s="142"/>
    </x:row>
    <x:row r="6358">
      <x:c r="A6358" s="142"/>
    </x:row>
    <x:row r="6359">
      <x:c r="A6359" s="142"/>
    </x:row>
    <x:row r="6360">
      <x:c r="A6360" s="142"/>
    </x:row>
    <x:row r="6361">
      <x:c r="A6361" s="142"/>
    </x:row>
    <x:row r="6362">
      <x:c r="A6362" s="142"/>
    </x:row>
    <x:row r="6363">
      <x:c r="A6363" s="142"/>
    </x:row>
    <x:row r="6364">
      <x:c r="A6364" s="142"/>
    </x:row>
    <x:row r="6365">
      <x:c r="A6365" s="142"/>
    </x:row>
    <x:row r="6366">
      <x:c r="A6366" s="142"/>
    </x:row>
    <x:row r="6367">
      <x:c r="A6367" s="142"/>
    </x:row>
    <x:row r="6368">
      <x:c r="A6368" s="142"/>
    </x:row>
    <x:row r="6369">
      <x:c r="A6369" s="142"/>
    </x:row>
    <x:row r="6370">
      <x:c r="A6370" s="142"/>
    </x:row>
    <x:row r="6371">
      <x:c r="A6371" s="142"/>
    </x:row>
    <x:row r="6372">
      <x:c r="A6372" s="142"/>
    </x:row>
    <x:row r="6373">
      <x:c r="A6373" s="142"/>
    </x:row>
    <x:row r="6374">
      <x:c r="A6374" s="142"/>
    </x:row>
    <x:row r="6375">
      <x:c r="A6375" s="142"/>
    </x:row>
    <x:row r="6376">
      <x:c r="A6376" s="142"/>
    </x:row>
    <x:row r="6377">
      <x:c r="A6377" s="142"/>
    </x:row>
    <x:row r="6378">
      <x:c r="A6378" s="142"/>
    </x:row>
    <x:row r="6379">
      <x:c r="A6379" s="142"/>
    </x:row>
    <x:row r="6380">
      <x:c r="A6380" s="142"/>
    </x:row>
    <x:row r="6381">
      <x:c r="A6381" s="142"/>
    </x:row>
    <x:row r="6382">
      <x:c r="A6382" s="142"/>
    </x:row>
    <x:row r="6383">
      <x:c r="A6383" s="142"/>
    </x:row>
    <x:row r="6384">
      <x:c r="A6384" s="142"/>
    </x:row>
    <x:row r="6385">
      <x:c r="A6385" s="142"/>
    </x:row>
    <x:row r="6386">
      <x:c r="A6386" s="142"/>
    </x:row>
    <x:row r="6387">
      <x:c r="A6387" s="142"/>
    </x:row>
    <x:row r="6388">
      <x:c r="A6388" s="142"/>
    </x:row>
    <x:row r="6389">
      <x:c r="A6389" s="142"/>
    </x:row>
    <x:row r="6390">
      <x:c r="A6390" s="142"/>
    </x:row>
    <x:row r="6391">
      <x:c r="A6391" s="142"/>
    </x:row>
    <x:row r="6392">
      <x:c r="A6392" s="142"/>
    </x:row>
    <x:row r="6393">
      <x:c r="A6393" s="142"/>
    </x:row>
    <x:row r="6394">
      <x:c r="A6394" s="142"/>
    </x:row>
    <x:row r="6395">
      <x:c r="A6395" s="142"/>
    </x:row>
    <x:row r="6396">
      <x:c r="A6396" s="142"/>
    </x:row>
    <x:row r="6397">
      <x:c r="A6397" s="142"/>
    </x:row>
    <x:row r="6398">
      <x:c r="A6398" s="142"/>
    </x:row>
    <x:row r="6399">
      <x:c r="A6399" s="142"/>
    </x:row>
    <x:row r="6400">
      <x:c r="A6400" s="142"/>
    </x:row>
    <x:row r="6401">
      <x:c r="A6401" s="142"/>
    </x:row>
    <x:row r="6402">
      <x:c r="A6402" s="142"/>
    </x:row>
    <x:row r="6403">
      <x:c r="A6403" s="142"/>
    </x:row>
    <x:row r="6404">
      <x:c r="A6404" s="142"/>
    </x:row>
    <x:row r="6405">
      <x:c r="A6405" s="142"/>
    </x:row>
    <x:row r="6406">
      <x:c r="A6406" s="142"/>
    </x:row>
    <x:row r="6407">
      <x:c r="A6407" s="142"/>
    </x:row>
    <x:row r="6408">
      <x:c r="A6408" s="142"/>
    </x:row>
    <x:row r="6409">
      <x:c r="A6409" s="142"/>
    </x:row>
    <x:row r="6410">
      <x:c r="A6410" s="142"/>
    </x:row>
    <x:row r="6411">
      <x:c r="A6411" s="142"/>
    </x:row>
    <x:row r="6412">
      <x:c r="A6412" s="142"/>
    </x:row>
    <x:row r="6413">
      <x:c r="A6413" s="142"/>
    </x:row>
    <x:row r="6414">
      <x:c r="A6414" s="142"/>
    </x:row>
    <x:row r="6415">
      <x:c r="A6415" s="142"/>
    </x:row>
    <x:row r="6416">
      <x:c r="A6416" s="142"/>
    </x:row>
    <x:row r="6417">
      <x:c r="A6417" s="142"/>
    </x:row>
    <x:row r="6418">
      <x:c r="A6418" s="142"/>
    </x:row>
    <x:row r="6419">
      <x:c r="A6419" s="142"/>
    </x:row>
    <x:row r="6420">
      <x:c r="A6420" s="142"/>
    </x:row>
    <x:row r="6421">
      <x:c r="A6421" s="142"/>
    </x:row>
    <x:row r="6422">
      <x:c r="A6422" s="142"/>
    </x:row>
    <x:row r="6423">
      <x:c r="A6423" s="142"/>
    </x:row>
    <x:row r="6424">
      <x:c r="A6424" s="142"/>
    </x:row>
    <x:row r="6425">
      <x:c r="A6425" s="142"/>
    </x:row>
    <x:row r="6426">
      <x:c r="A6426" s="142"/>
    </x:row>
    <x:row r="6427">
      <x:c r="A6427" s="142"/>
    </x:row>
    <x:row r="6428">
      <x:c r="A6428" s="142"/>
    </x:row>
    <x:row r="6429">
      <x:c r="A6429" s="142"/>
    </x:row>
    <x:row r="6430">
      <x:c r="A6430" s="142"/>
    </x:row>
    <x:row r="6431">
      <x:c r="A6431" s="142"/>
    </x:row>
    <x:row r="6432">
      <x:c r="A6432" s="142"/>
    </x:row>
    <x:row r="6433">
      <x:c r="A6433" s="142"/>
    </x:row>
    <x:row r="6434">
      <x:c r="A6434" s="142"/>
    </x:row>
    <x:row r="6435">
      <x:c r="A6435" s="142"/>
    </x:row>
    <x:row r="6436">
      <x:c r="A6436" s="142"/>
    </x:row>
    <x:row r="6437">
      <x:c r="A6437" s="142"/>
    </x:row>
    <x:row r="6438">
      <x:c r="A6438" s="142"/>
    </x:row>
    <x:row r="6439">
      <x:c r="A6439" s="142"/>
    </x:row>
    <x:row r="6440">
      <x:c r="A6440" s="142"/>
    </x:row>
    <x:row r="6441">
      <x:c r="A6441" s="142"/>
    </x:row>
    <x:row r="6442">
      <x:c r="A6442" s="142"/>
    </x:row>
    <x:row r="6443">
      <x:c r="A6443" s="142"/>
    </x:row>
    <x:row r="6444">
      <x:c r="A6444" s="142"/>
    </x:row>
    <x:row r="6445">
      <x:c r="A6445" s="142"/>
    </x:row>
    <x:row r="6446">
      <x:c r="A6446" s="142"/>
    </x:row>
    <x:row r="6447">
      <x:c r="A6447" s="142"/>
    </x:row>
    <x:row r="6448">
      <x:c r="A6448" s="142"/>
    </x:row>
    <x:row r="6449">
      <x:c r="A6449" s="142"/>
    </x:row>
    <x:row r="6450">
      <x:c r="A6450" s="142"/>
    </x:row>
    <x:row r="6451">
      <x:c r="A6451" s="142"/>
    </x:row>
    <x:row r="6452">
      <x:c r="A6452" s="142"/>
    </x:row>
    <x:row r="6453">
      <x:c r="A6453" s="142"/>
    </x:row>
    <x:row r="6454">
      <x:c r="A6454" s="142"/>
    </x:row>
    <x:row r="6455">
      <x:c r="A6455" s="142"/>
    </x:row>
    <x:row r="6456">
      <x:c r="A6456" s="142"/>
    </x:row>
    <x:row r="6457">
      <x:c r="A6457" s="142"/>
    </x:row>
    <x:row r="6458">
      <x:c r="A6458" s="142"/>
    </x:row>
    <x:row r="6459">
      <x:c r="A6459" s="142"/>
    </x:row>
    <x:row r="6460">
      <x:c r="A6460" s="142"/>
    </x:row>
    <x:row r="6461">
      <x:c r="A6461" s="142"/>
    </x:row>
    <x:row r="6462">
      <x:c r="A6462" s="142"/>
    </x:row>
    <x:row r="6463">
      <x:c r="A6463" s="142"/>
    </x:row>
    <x:row r="6464">
      <x:c r="A6464" s="142"/>
    </x:row>
    <x:row r="6465">
      <x:c r="A6465" s="142"/>
    </x:row>
    <x:row r="6466">
      <x:c r="A6466" s="142"/>
    </x:row>
    <x:row r="6467">
      <x:c r="A6467" s="142"/>
    </x:row>
    <x:row r="6468">
      <x:c r="A6468" s="142"/>
    </x:row>
    <x:row r="6469">
      <x:c r="A6469" s="142"/>
    </x:row>
    <x:row r="6470">
      <x:c r="A6470" s="142"/>
    </x:row>
    <x:row r="6471">
      <x:c r="A6471" s="142"/>
    </x:row>
    <x:row r="6472">
      <x:c r="A6472" s="142"/>
    </x:row>
    <x:row r="6473">
      <x:c r="A6473" s="142"/>
    </x:row>
    <x:row r="6474">
      <x:c r="A6474" s="142"/>
    </x:row>
    <x:row r="6475">
      <x:c r="A6475" s="142"/>
    </x:row>
    <x:row r="6476">
      <x:c r="A6476" s="142"/>
    </x:row>
    <x:row r="6477">
      <x:c r="A6477" s="142"/>
    </x:row>
    <x:row r="6478">
      <x:c r="A6478" s="142"/>
    </x:row>
    <x:row r="6479">
      <x:c r="A6479" s="142"/>
    </x:row>
    <x:row r="6480">
      <x:c r="A6480" s="142"/>
    </x:row>
    <x:row r="6481">
      <x:c r="A6481" s="142"/>
    </x:row>
    <x:row r="6482">
      <x:c r="A6482" s="142"/>
    </x:row>
    <x:row r="6483">
      <x:c r="A6483" s="142"/>
    </x:row>
    <x:row r="6484">
      <x:c r="A6484" s="142"/>
    </x:row>
    <x:row r="6485">
      <x:c r="A6485" s="142"/>
    </x:row>
    <x:row r="6486">
      <x:c r="A6486" s="142"/>
    </x:row>
    <x:row r="6487">
      <x:c r="A6487" s="142"/>
    </x:row>
    <x:row r="6488">
      <x:c r="A6488" s="142"/>
    </x:row>
    <x:row r="6489">
      <x:c r="A6489" s="142"/>
    </x:row>
    <x:row r="6490">
      <x:c r="A6490" s="142"/>
    </x:row>
    <x:row r="6491">
      <x:c r="A6491" s="142"/>
    </x:row>
    <x:row r="6492">
      <x:c r="A6492" s="142"/>
    </x:row>
    <x:row r="6493">
      <x:c r="A6493" s="142"/>
    </x:row>
    <x:row r="6494">
      <x:c r="A6494" s="142"/>
    </x:row>
    <x:row r="6495">
      <x:c r="A6495" s="142"/>
    </x:row>
    <x:row r="6496">
      <x:c r="A6496" s="142"/>
    </x:row>
    <x:row r="6497">
      <x:c r="A6497" s="142"/>
    </x:row>
    <x:row r="6498">
      <x:c r="A6498" s="142"/>
    </x:row>
    <x:row r="6499">
      <x:c r="A6499" s="142"/>
    </x:row>
    <x:row r="6500">
      <x:c r="A6500" s="142"/>
    </x:row>
    <x:row r="6501">
      <x:c r="A6501" s="142"/>
    </x:row>
    <x:row r="6502">
      <x:c r="A6502" s="142"/>
    </x:row>
    <x:row r="6503">
      <x:c r="A6503" s="142"/>
    </x:row>
    <x:row r="6504">
      <x:c r="A6504" s="142"/>
    </x:row>
    <x:row r="6505">
      <x:c r="A6505" s="142"/>
    </x:row>
    <x:row r="6506">
      <x:c r="A6506" s="142"/>
    </x:row>
    <x:row r="6507">
      <x:c r="A6507" s="142"/>
    </x:row>
    <x:row r="6508">
      <x:c r="A6508" s="142"/>
    </x:row>
    <x:row r="6509">
      <x:c r="A6509" s="142"/>
    </x:row>
    <x:row r="6510">
      <x:c r="A6510" s="142"/>
    </x:row>
    <x:row r="6511">
      <x:c r="A6511" s="142"/>
    </x:row>
    <x:row r="6512">
      <x:c r="A6512" s="142"/>
    </x:row>
    <x:row r="6513">
      <x:c r="A6513" s="142"/>
    </x:row>
    <x:row r="6514">
      <x:c r="A6514" s="142"/>
    </x:row>
    <x:row r="6515">
      <x:c r="A6515" s="142"/>
    </x:row>
    <x:row r="6516">
      <x:c r="A6516" s="142"/>
    </x:row>
    <x:row r="6517">
      <x:c r="A6517" s="142"/>
    </x:row>
    <x:row r="6518">
      <x:c r="A6518" s="142"/>
    </x:row>
    <x:row r="6519">
      <x:c r="A6519" s="142"/>
    </x:row>
    <x:row r="6520">
      <x:c r="A6520" s="142"/>
    </x:row>
    <x:row r="6521">
      <x:c r="A6521" s="142"/>
    </x:row>
    <x:row r="6522">
      <x:c r="A6522" s="142"/>
    </x:row>
    <x:row r="6523">
      <x:c r="A6523" s="142"/>
    </x:row>
    <x:row r="6524">
      <x:c r="A6524" s="142"/>
    </x:row>
    <x:row r="6525">
      <x:c r="A6525" s="142"/>
    </x:row>
    <x:row r="6526">
      <x:c r="A6526" s="142"/>
    </x:row>
    <x:row r="6527">
      <x:c r="A6527" s="142"/>
    </x:row>
    <x:row r="6528">
      <x:c r="A6528" s="142"/>
    </x:row>
    <x:row r="6529">
      <x:c r="A6529" s="142"/>
    </x:row>
    <x:row r="6530">
      <x:c r="A6530" s="142"/>
    </x:row>
    <x:row r="6531">
      <x:c r="A6531" s="142"/>
    </x:row>
    <x:row r="6532">
      <x:c r="A6532" s="142"/>
    </x:row>
    <x:row r="6533">
      <x:c r="A6533" s="142"/>
    </x:row>
    <x:row r="6534">
      <x:c r="A6534" s="142"/>
    </x:row>
    <x:row r="6535">
      <x:c r="A6535" s="142"/>
    </x:row>
    <x:row r="6536">
      <x:c r="A6536" s="142"/>
    </x:row>
    <x:row r="6537">
      <x:c r="A6537" s="142"/>
    </x:row>
    <x:row r="6538">
      <x:c r="A6538" s="142"/>
    </x:row>
    <x:row r="6539">
      <x:c r="A6539" s="142"/>
    </x:row>
    <x:row r="6540">
      <x:c r="A6540" s="142"/>
    </x:row>
    <x:row r="6541">
      <x:c r="A6541" s="142"/>
    </x:row>
    <x:row r="6542">
      <x:c r="A6542" s="142"/>
    </x:row>
    <x:row r="6543">
      <x:c r="A6543" s="142"/>
    </x:row>
    <x:row r="6544">
      <x:c r="A6544" s="142"/>
    </x:row>
    <x:row r="6545">
      <x:c r="A6545" s="142"/>
    </x:row>
    <x:row r="6546">
      <x:c r="A6546" s="142"/>
    </x:row>
    <x:row r="6547">
      <x:c r="A6547" s="142"/>
    </x:row>
    <x:row r="6548">
      <x:c r="A6548" s="142"/>
    </x:row>
    <x:row r="6549">
      <x:c r="A6549" s="142"/>
    </x:row>
    <x:row r="6550">
      <x:c r="A6550" s="142"/>
    </x:row>
    <x:row r="6551">
      <x:c r="A6551" s="142"/>
    </x:row>
    <x:row r="6552">
      <x:c r="A6552" s="142"/>
    </x:row>
    <x:row r="6553">
      <x:c r="A6553" s="142"/>
    </x:row>
    <x:row r="6554">
      <x:c r="A6554" s="142"/>
    </x:row>
    <x:row r="6555">
      <x:c r="A6555" s="142"/>
    </x:row>
    <x:row r="6556">
      <x:c r="A6556" s="142"/>
    </x:row>
    <x:row r="6557">
      <x:c r="A6557" s="142"/>
    </x:row>
    <x:row r="6558">
      <x:c r="A6558" s="142"/>
    </x:row>
    <x:row r="6559">
      <x:c r="A6559" s="142"/>
    </x:row>
    <x:row r="6560">
      <x:c r="A6560" s="142"/>
    </x:row>
    <x:row r="6561">
      <x:c r="A6561" s="142"/>
    </x:row>
    <x:row r="6562">
      <x:c r="A6562" s="142"/>
    </x:row>
    <x:row r="6563">
      <x:c r="A6563" s="142"/>
    </x:row>
    <x:row r="6564">
      <x:c r="A6564" s="142"/>
    </x:row>
    <x:row r="6565">
      <x:c r="A6565" s="142"/>
    </x:row>
    <x:row r="6566">
      <x:c r="A6566" s="142"/>
    </x:row>
    <x:row r="6567">
      <x:c r="A6567" s="142"/>
    </x:row>
    <x:row r="6568">
      <x:c r="A6568" s="142"/>
    </x:row>
    <x:row r="6569">
      <x:c r="A6569" s="142"/>
    </x:row>
    <x:row r="6570">
      <x:c r="A6570" s="142"/>
    </x:row>
    <x:row r="6571">
      <x:c r="A6571" s="142"/>
    </x:row>
    <x:row r="6572">
      <x:c r="A6572" s="142"/>
    </x:row>
    <x:row r="6573">
      <x:c r="A6573" s="142"/>
    </x:row>
    <x:row r="6574">
      <x:c r="A6574" s="142"/>
    </x:row>
    <x:row r="6575">
      <x:c r="A6575" s="142"/>
    </x:row>
    <x:row r="6576">
      <x:c r="A6576" s="142"/>
    </x:row>
    <x:row r="6577">
      <x:c r="A6577" s="142"/>
    </x:row>
    <x:row r="6578">
      <x:c r="A6578" s="142"/>
    </x:row>
    <x:row r="6579">
      <x:c r="A6579" s="142"/>
    </x:row>
    <x:row r="6580">
      <x:c r="A6580" s="142"/>
    </x:row>
    <x:row r="6581">
      <x:c r="A6581" s="142"/>
    </x:row>
    <x:row r="6582">
      <x:c r="A6582" s="142"/>
    </x:row>
    <x:row r="6583">
      <x:c r="A6583" s="142"/>
    </x:row>
    <x:row r="6584">
      <x:c r="A6584" s="142"/>
    </x:row>
    <x:row r="6585">
      <x:c r="A6585" s="142"/>
    </x:row>
    <x:row r="6586">
      <x:c r="A6586" s="142"/>
    </x:row>
    <x:row r="6587">
      <x:c r="A6587" s="142"/>
    </x:row>
    <x:row r="6588">
      <x:c r="A6588" s="142"/>
    </x:row>
    <x:row r="6589">
      <x:c r="A6589" s="142"/>
    </x:row>
    <x:row r="6590">
      <x:c r="A6590" s="142"/>
    </x:row>
    <x:row r="6591">
      <x:c r="A6591" s="142"/>
    </x:row>
    <x:row r="6592">
      <x:c r="A6592" s="142"/>
    </x:row>
    <x:row r="6593">
      <x:c r="A6593" s="142"/>
    </x:row>
    <x:row r="6594">
      <x:c r="A6594" s="142"/>
    </x:row>
    <x:row r="6595">
      <x:c r="A6595" s="142"/>
    </x:row>
    <x:row r="6596">
      <x:c r="A6596" s="142"/>
    </x:row>
    <x:row r="6597">
      <x:c r="A6597" s="142"/>
    </x:row>
    <x:row r="6598">
      <x:c r="A6598" s="142"/>
    </x:row>
    <x:row r="6599">
      <x:c r="A6599" s="142"/>
    </x:row>
    <x:row r="6600">
      <x:c r="A6600" s="142"/>
    </x:row>
    <x:row r="6601">
      <x:c r="A6601" s="142"/>
    </x:row>
    <x:row r="6602">
      <x:c r="A6602" s="142"/>
    </x:row>
    <x:row r="6603">
      <x:c r="A6603" s="142"/>
    </x:row>
    <x:row r="6604">
      <x:c r="A6604" s="142"/>
    </x:row>
    <x:row r="6605">
      <x:c r="A6605" s="142"/>
    </x:row>
    <x:row r="6606">
      <x:c r="A6606" s="142"/>
    </x:row>
    <x:row r="6607">
      <x:c r="A6607" s="142"/>
    </x:row>
    <x:row r="6608">
      <x:c r="A6608" s="142"/>
    </x:row>
    <x:row r="6609">
      <x:c r="A6609" s="142"/>
    </x:row>
    <x:row r="6610">
      <x:c r="A6610" s="142"/>
    </x:row>
    <x:row r="6611">
      <x:c r="A6611" s="142"/>
    </x:row>
    <x:row r="6612">
      <x:c r="A6612" s="142"/>
    </x:row>
    <x:row r="6613">
      <x:c r="A6613" s="142"/>
    </x:row>
    <x:row r="6614">
      <x:c r="A6614" s="142"/>
    </x:row>
    <x:row r="6615">
      <x:c r="A6615" s="142"/>
    </x:row>
    <x:row r="6616">
      <x:c r="A6616" s="142"/>
    </x:row>
    <x:row r="6617">
      <x:c r="A6617" s="142"/>
    </x:row>
    <x:row r="6618">
      <x:c r="A6618" s="142"/>
    </x:row>
    <x:row r="6619">
      <x:c r="A6619" s="142"/>
    </x:row>
    <x:row r="6620">
      <x:c r="A6620" s="142"/>
    </x:row>
    <x:row r="6621">
      <x:c r="A6621" s="142"/>
    </x:row>
    <x:row r="6622">
      <x:c r="A6622" s="142"/>
    </x:row>
    <x:row r="6623">
      <x:c r="A6623" s="142"/>
    </x:row>
    <x:row r="6624">
      <x:c r="A6624" s="142"/>
    </x:row>
    <x:row r="6625">
      <x:c r="A6625" s="142"/>
    </x:row>
    <x:row r="6626">
      <x:c r="A6626" s="142"/>
    </x:row>
    <x:row r="6627">
      <x:c r="A6627" s="142"/>
    </x:row>
    <x:row r="6628">
      <x:c r="A6628" s="142"/>
    </x:row>
    <x:row r="6629">
      <x:c r="A6629" s="142"/>
    </x:row>
    <x:row r="6630">
      <x:c r="A6630" s="142"/>
    </x:row>
    <x:row r="6631">
      <x:c r="A6631" s="142"/>
    </x:row>
    <x:row r="6632">
      <x:c r="A6632" s="142"/>
    </x:row>
    <x:row r="6633">
      <x:c r="A6633" s="142"/>
    </x:row>
    <x:row r="6634">
      <x:c r="A6634" s="142"/>
    </x:row>
    <x:row r="6635">
      <x:c r="A6635" s="142"/>
    </x:row>
    <x:row r="6636">
      <x:c r="A6636" s="142"/>
    </x:row>
    <x:row r="6637">
      <x:c r="A6637" s="142"/>
    </x:row>
    <x:row r="6638">
      <x:c r="A6638" s="142"/>
    </x:row>
    <x:row r="6639">
      <x:c r="A6639" s="142"/>
    </x:row>
    <x:row r="6640">
      <x:c r="A6640" s="142"/>
    </x:row>
    <x:row r="6641">
      <x:c r="A6641" s="142"/>
    </x:row>
    <x:row r="6642">
      <x:c r="A6642" s="142"/>
    </x:row>
    <x:row r="6643">
      <x:c r="A6643" s="142"/>
    </x:row>
    <x:row r="6644">
      <x:c r="A6644" s="142"/>
    </x:row>
    <x:row r="6645">
      <x:c r="A6645" s="142"/>
    </x:row>
    <x:row r="6646">
      <x:c r="A6646" s="142"/>
    </x:row>
    <x:row r="6647">
      <x:c r="A6647" s="142"/>
    </x:row>
    <x:row r="6648">
      <x:c r="A6648" s="142"/>
    </x:row>
    <x:row r="6649">
      <x:c r="A6649" s="142"/>
    </x:row>
    <x:row r="6650">
      <x:c r="A6650" s="142"/>
    </x:row>
    <x:row r="6651">
      <x:c r="A6651" s="142"/>
    </x:row>
    <x:row r="6652">
      <x:c r="A6652" s="142"/>
    </x:row>
    <x:row r="6653">
      <x:c r="A6653" s="142"/>
    </x:row>
    <x:row r="6654">
      <x:c r="A6654" s="142"/>
    </x:row>
    <x:row r="6655">
      <x:c r="A6655" s="142"/>
    </x:row>
    <x:row r="6656">
      <x:c r="A6656" s="142"/>
    </x:row>
    <x:row r="6657">
      <x:c r="A6657" s="142"/>
    </x:row>
    <x:row r="6658">
      <x:c r="A6658" s="142"/>
    </x:row>
    <x:row r="6659">
      <x:c r="A6659" s="142"/>
    </x:row>
    <x:row r="6660">
      <x:c r="A6660" s="142"/>
    </x:row>
    <x:row r="6661">
      <x:c r="A6661" s="142"/>
    </x:row>
    <x:row r="6662">
      <x:c r="A6662" s="142"/>
    </x:row>
    <x:row r="6663">
      <x:c r="A6663" s="142"/>
    </x:row>
    <x:row r="6664">
      <x:c r="A6664" s="142"/>
    </x:row>
    <x:row r="6665">
      <x:c r="A6665" s="142"/>
    </x:row>
    <x:row r="6666">
      <x:c r="A6666" s="142"/>
    </x:row>
    <x:row r="6667">
      <x:c r="A6667" s="142"/>
    </x:row>
    <x:row r="6668">
      <x:c r="A6668" s="142"/>
    </x:row>
    <x:row r="6669">
      <x:c r="A6669" s="142"/>
    </x:row>
    <x:row r="6670">
      <x:c r="A6670" s="142"/>
    </x:row>
    <x:row r="6671">
      <x:c r="A6671" s="142"/>
    </x:row>
    <x:row r="6672">
      <x:c r="A6672" s="142"/>
    </x:row>
    <x:row r="6673">
      <x:c r="A6673" s="142"/>
    </x:row>
    <x:row r="6674">
      <x:c r="A6674" s="142"/>
    </x:row>
    <x:row r="6675">
      <x:c r="A6675" s="142"/>
    </x:row>
    <x:row r="6676">
      <x:c r="A6676" s="142"/>
    </x:row>
    <x:row r="6677">
      <x:c r="A6677" s="142"/>
    </x:row>
    <x:row r="6678">
      <x:c r="A6678" s="142"/>
    </x:row>
    <x:row r="6679">
      <x:c r="A6679" s="142"/>
    </x:row>
    <x:row r="6680">
      <x:c r="A6680" s="142"/>
    </x:row>
    <x:row r="6681">
      <x:c r="A6681" s="142"/>
    </x:row>
    <x:row r="6682">
      <x:c r="A6682" s="142"/>
    </x:row>
    <x:row r="6683">
      <x:c r="A6683" s="142"/>
    </x:row>
    <x:row r="6684">
      <x:c r="A6684" s="142"/>
    </x:row>
    <x:row r="6685">
      <x:c r="A6685" s="142"/>
    </x:row>
    <x:row r="6686">
      <x:c r="A6686" s="142"/>
    </x:row>
    <x:row r="6687">
      <x:c r="A6687" s="142"/>
    </x:row>
    <x:row r="6688">
      <x:c r="A6688" s="142"/>
    </x:row>
    <x:row r="6689">
      <x:c r="A6689" s="142"/>
    </x:row>
    <x:row r="6690">
      <x:c r="A6690" s="142"/>
    </x:row>
    <x:row r="6691">
      <x:c r="A6691" s="142"/>
    </x:row>
    <x:row r="6692">
      <x:c r="A6692" s="142"/>
    </x:row>
    <x:row r="6693">
      <x:c r="A6693" s="142"/>
    </x:row>
    <x:row r="6694">
      <x:c r="A6694" s="142"/>
    </x:row>
    <x:row r="6695">
      <x:c r="A6695" s="142"/>
    </x:row>
    <x:row r="6696">
      <x:c r="A6696" s="142"/>
    </x:row>
    <x:row r="6697">
      <x:c r="A6697" s="142"/>
    </x:row>
    <x:row r="6698">
      <x:c r="A6698" s="142"/>
    </x:row>
    <x:row r="6699">
      <x:c r="A6699" s="142"/>
    </x:row>
    <x:row r="6700">
      <x:c r="A6700" s="142"/>
    </x:row>
    <x:row r="6701">
      <x:c r="A6701" s="142"/>
    </x:row>
    <x:row r="6702">
      <x:c r="A6702" s="142"/>
    </x:row>
    <x:row r="6703">
      <x:c r="A6703" s="142"/>
    </x:row>
    <x:row r="6704">
      <x:c r="A6704" s="142"/>
    </x:row>
    <x:row r="6705">
      <x:c r="A6705" s="142"/>
    </x:row>
    <x:row r="6706">
      <x:c r="A6706" s="142"/>
    </x:row>
    <x:row r="6707">
      <x:c r="A6707" s="142"/>
    </x:row>
    <x:row r="6708">
      <x:c r="A6708" s="142"/>
    </x:row>
    <x:row r="6709">
      <x:c r="A6709" s="142"/>
    </x:row>
    <x:row r="6710">
      <x:c r="A6710" s="142"/>
    </x:row>
    <x:row r="6711">
      <x:c r="A6711" s="142"/>
    </x:row>
    <x:row r="6712">
      <x:c r="A6712" s="142"/>
    </x:row>
    <x:row r="6713">
      <x:c r="A6713" s="142"/>
    </x:row>
    <x:row r="6714">
      <x:c r="A6714" s="142"/>
    </x:row>
    <x:row r="6715">
      <x:c r="A6715" s="142"/>
    </x:row>
    <x:row r="6716">
      <x:c r="A6716" s="142"/>
    </x:row>
    <x:row r="6717">
      <x:c r="A6717" s="142"/>
    </x:row>
    <x:row r="6718">
      <x:c r="A6718" s="142"/>
    </x:row>
    <x:row r="6719">
      <x:c r="A6719" s="142"/>
    </x:row>
    <x:row r="6720">
      <x:c r="A6720" s="142"/>
    </x:row>
    <x:row r="6721">
      <x:c r="A6721" s="142"/>
    </x:row>
    <x:row r="6722">
      <x:c r="A6722" s="142"/>
    </x:row>
    <x:row r="6723">
      <x:c r="A6723" s="142"/>
    </x:row>
    <x:row r="6724">
      <x:c r="A6724" s="142"/>
    </x:row>
    <x:row r="6725">
      <x:c r="A6725" s="142"/>
    </x:row>
    <x:row r="6726">
      <x:c r="A6726" s="142"/>
    </x:row>
    <x:row r="6727">
      <x:c r="A6727" s="142"/>
    </x:row>
    <x:row r="6728">
      <x:c r="A6728" s="142"/>
    </x:row>
    <x:row r="6729">
      <x:c r="A6729" s="142"/>
    </x:row>
    <x:row r="6730">
      <x:c r="A6730" s="142"/>
    </x:row>
    <x:row r="6731">
      <x:c r="A6731" s="142"/>
    </x:row>
    <x:row r="6732">
      <x:c r="A6732" s="142"/>
    </x:row>
    <x:row r="6733">
      <x:c r="A6733" s="142"/>
    </x:row>
    <x:row r="6734">
      <x:c r="A6734" s="142"/>
    </x:row>
    <x:row r="6735">
      <x:c r="A6735" s="142"/>
    </x:row>
    <x:row r="6736">
      <x:c r="A6736" s="142"/>
    </x:row>
    <x:row r="6737">
      <x:c r="A6737" s="142"/>
    </x:row>
    <x:row r="6738">
      <x:c r="A6738" s="142"/>
    </x:row>
    <x:row r="6739">
      <x:c r="A6739" s="142"/>
    </x:row>
    <x:row r="6740">
      <x:c r="A6740" s="142"/>
    </x:row>
    <x:row r="6741">
      <x:c r="A6741" s="142"/>
    </x:row>
    <x:row r="6742">
      <x:c r="A6742" s="142"/>
    </x:row>
    <x:row r="6743">
      <x:c r="A6743" s="142"/>
    </x:row>
    <x:row r="6744">
      <x:c r="A6744" s="142"/>
    </x:row>
    <x:row r="6745">
      <x:c r="A6745" s="142"/>
    </x:row>
    <x:row r="6746">
      <x:c r="A6746" s="142"/>
    </x:row>
    <x:row r="6747">
      <x:c r="A6747" s="142"/>
    </x:row>
    <x:row r="6748">
      <x:c r="A6748" s="142"/>
    </x:row>
    <x:row r="6749">
      <x:c r="A6749" s="142"/>
    </x:row>
    <x:row r="6750">
      <x:c r="A6750" s="142"/>
    </x:row>
    <x:row r="6751">
      <x:c r="A6751" s="142"/>
    </x:row>
    <x:row r="6752">
      <x:c r="A6752" s="142"/>
    </x:row>
    <x:row r="6753">
      <x:c r="A6753" s="142"/>
    </x:row>
    <x:row r="6754">
      <x:c r="A6754" s="142"/>
    </x:row>
    <x:row r="6755">
      <x:c r="A6755" s="142"/>
    </x:row>
    <x:row r="6756">
      <x:c r="A6756" s="142"/>
    </x:row>
    <x:row r="6757">
      <x:c r="A6757" s="142"/>
    </x:row>
    <x:row r="6758">
      <x:c r="A6758" s="142"/>
    </x:row>
    <x:row r="6759">
      <x:c r="A6759" s="142"/>
    </x:row>
    <x:row r="6760">
      <x:c r="A6760" s="142"/>
    </x:row>
    <x:row r="6761">
      <x:c r="A6761" s="142"/>
    </x:row>
    <x:row r="6762">
      <x:c r="A6762" s="142"/>
    </x:row>
    <x:row r="6763">
      <x:c r="A6763" s="142"/>
    </x:row>
    <x:row r="6764">
      <x:c r="A6764" s="142"/>
    </x:row>
    <x:row r="6765">
      <x:c r="A6765" s="142"/>
    </x:row>
    <x:row r="6766">
      <x:c r="A6766" s="142"/>
    </x:row>
    <x:row r="6767">
      <x:c r="A6767" s="142"/>
    </x:row>
    <x:row r="6768">
      <x:c r="A6768" s="142"/>
    </x:row>
    <x:row r="6769">
      <x:c r="A6769" s="142"/>
    </x:row>
    <x:row r="6770">
      <x:c r="A6770" s="142"/>
    </x:row>
    <x:row r="6771">
      <x:c r="A6771" s="142"/>
    </x:row>
    <x:row r="6772">
      <x:c r="A6772" s="142"/>
    </x:row>
    <x:row r="6773">
      <x:c r="A6773" s="142"/>
    </x:row>
    <x:row r="6774">
      <x:c r="A6774" s="142"/>
    </x:row>
    <x:row r="6775">
      <x:c r="A6775" s="142"/>
    </x:row>
    <x:row r="6776">
      <x:c r="A6776" s="142"/>
    </x:row>
    <x:row r="6777">
      <x:c r="A6777" s="142"/>
    </x:row>
    <x:row r="6778">
      <x:c r="A6778" s="142"/>
    </x:row>
    <x:row r="6779">
      <x:c r="A6779" s="142"/>
    </x:row>
    <x:row r="6780">
      <x:c r="A6780" s="142"/>
    </x:row>
    <x:row r="6781">
      <x:c r="A6781" s="142"/>
    </x:row>
    <x:row r="6782">
      <x:c r="A6782" s="142"/>
    </x:row>
    <x:row r="6783">
      <x:c r="A6783" s="142"/>
    </x:row>
    <x:row r="6784">
      <x:c r="A6784" s="142"/>
    </x:row>
    <x:row r="6785">
      <x:c r="A6785" s="142"/>
    </x:row>
    <x:row r="6786">
      <x:c r="A6786" s="142"/>
    </x:row>
    <x:row r="6787">
      <x:c r="A6787" s="142"/>
    </x:row>
    <x:row r="6788">
      <x:c r="A6788" s="142"/>
    </x:row>
    <x:row r="6789">
      <x:c r="A6789" s="142"/>
    </x:row>
    <x:row r="6790">
      <x:c r="A6790" s="142"/>
    </x:row>
    <x:row r="6791">
      <x:c r="A6791" s="142"/>
    </x:row>
    <x:row r="6792">
      <x:c r="A6792" s="142"/>
    </x:row>
    <x:row r="6793">
      <x:c r="A6793" s="142"/>
    </x:row>
    <x:row r="6794">
      <x:c r="A6794" s="142"/>
    </x:row>
    <x:row r="6795">
      <x:c r="A6795" s="142"/>
    </x:row>
    <x:row r="6796">
      <x:c r="A6796" s="142"/>
    </x:row>
    <x:row r="6797">
      <x:c r="A6797" s="142"/>
    </x:row>
    <x:row r="6798">
      <x:c r="A6798" s="142"/>
    </x:row>
    <x:row r="6799">
      <x:c r="A6799" s="142"/>
    </x:row>
    <x:row r="6800">
      <x:c r="A6800" s="142"/>
    </x:row>
    <x:row r="6801">
      <x:c r="A6801" s="142"/>
    </x:row>
    <x:row r="6802">
      <x:c r="A6802" s="142"/>
    </x:row>
    <x:row r="6803">
      <x:c r="A6803" s="142"/>
    </x:row>
    <x:row r="6804">
      <x:c r="A6804" s="142"/>
    </x:row>
    <x:row r="6805">
      <x:c r="A6805" s="142"/>
    </x:row>
    <x:row r="6806">
      <x:c r="A6806" s="142"/>
    </x:row>
    <x:row r="6807">
      <x:c r="A6807" s="142"/>
    </x:row>
    <x:row r="6808">
      <x:c r="A6808" s="142"/>
    </x:row>
    <x:row r="6809">
      <x:c r="A6809" s="142"/>
    </x:row>
    <x:row r="6810">
      <x:c r="A6810" s="142"/>
    </x:row>
    <x:row r="6811">
      <x:c r="A6811" s="142"/>
    </x:row>
    <x:row r="6812">
      <x:c r="A6812" s="142"/>
    </x:row>
    <x:row r="6813">
      <x:c r="A6813" s="142"/>
    </x:row>
    <x:row r="6814">
      <x:c r="A6814" s="142"/>
    </x:row>
    <x:row r="6815">
      <x:c r="A6815" s="142"/>
    </x:row>
    <x:row r="6816">
      <x:c r="A6816" s="142"/>
    </x:row>
    <x:row r="6817">
      <x:c r="A6817" s="142"/>
    </x:row>
    <x:row r="6818">
      <x:c r="A6818" s="142"/>
    </x:row>
    <x:row r="6819">
      <x:c r="A6819" s="142"/>
    </x:row>
    <x:row r="6820">
      <x:c r="A6820" s="142"/>
    </x:row>
    <x:row r="6821">
      <x:c r="A6821" s="142"/>
    </x:row>
    <x:row r="6822">
      <x:c r="A6822" s="142"/>
    </x:row>
    <x:row r="6823">
      <x:c r="A6823" s="142"/>
    </x:row>
    <x:row r="6824">
      <x:c r="A6824" s="142"/>
    </x:row>
    <x:row r="6825">
      <x:c r="A6825" s="142"/>
    </x:row>
    <x:row r="6826">
      <x:c r="A6826" s="142"/>
    </x:row>
    <x:row r="6827">
      <x:c r="A6827" s="142"/>
    </x:row>
    <x:row r="6828">
      <x:c r="A6828" s="142"/>
    </x:row>
    <x:row r="6829">
      <x:c r="A6829" s="142"/>
    </x:row>
    <x:row r="6830">
      <x:c r="A6830" s="142"/>
    </x:row>
    <x:row r="6831">
      <x:c r="A6831" s="142"/>
    </x:row>
    <x:row r="6832">
      <x:c r="A6832" s="142"/>
    </x:row>
    <x:row r="6833">
      <x:c r="A6833" s="142"/>
    </x:row>
    <x:row r="6834">
      <x:c r="A6834" s="142"/>
    </x:row>
    <x:row r="6835">
      <x:c r="A6835" s="142"/>
    </x:row>
    <x:row r="6836">
      <x:c r="A6836" s="142"/>
    </x:row>
    <x:row r="6837">
      <x:c r="A6837" s="142"/>
    </x:row>
    <x:row r="6838">
      <x:c r="A6838" s="142"/>
    </x:row>
    <x:row r="6839">
      <x:c r="A6839" s="142"/>
    </x:row>
    <x:row r="6840">
      <x:c r="A6840" s="142"/>
    </x:row>
    <x:row r="6841">
      <x:c r="A6841" s="142"/>
    </x:row>
    <x:row r="6842">
      <x:c r="A6842" s="142"/>
    </x:row>
    <x:row r="6843">
      <x:c r="A6843" s="142"/>
    </x:row>
    <x:row r="6844">
      <x:c r="A6844" s="142"/>
    </x:row>
    <x:row r="6845">
      <x:c r="A6845" s="142"/>
    </x:row>
    <x:row r="6846">
      <x:c r="A6846" s="142"/>
    </x:row>
    <x:row r="6847">
      <x:c r="A6847" s="142"/>
    </x:row>
    <x:row r="6848">
      <x:c r="A6848" s="142"/>
    </x:row>
    <x:row r="6849">
      <x:c r="A6849" s="142"/>
    </x:row>
    <x:row r="6850">
      <x:c r="A6850" s="142"/>
    </x:row>
    <x:row r="6851">
      <x:c r="A6851" s="142"/>
    </x:row>
    <x:row r="6852">
      <x:c r="A6852" s="142"/>
    </x:row>
    <x:row r="6853">
      <x:c r="A6853" s="142"/>
    </x:row>
    <x:row r="6854">
      <x:c r="A6854" s="142"/>
    </x:row>
    <x:row r="6855">
      <x:c r="A6855" s="142"/>
    </x:row>
    <x:row r="6856">
      <x:c r="A6856" s="142"/>
    </x:row>
    <x:row r="6857">
      <x:c r="A6857" s="142"/>
    </x:row>
    <x:row r="6858">
      <x:c r="A6858" s="142"/>
    </x:row>
    <x:row r="6859">
      <x:c r="A6859" s="142"/>
    </x:row>
    <x:row r="6860">
      <x:c r="A6860" s="142"/>
    </x:row>
    <x:row r="6861">
      <x:c r="A6861" s="142"/>
    </x:row>
    <x:row r="6862">
      <x:c r="A6862" s="142"/>
    </x:row>
    <x:row r="6863">
      <x:c r="A6863" s="142"/>
    </x:row>
    <x:row r="6864">
      <x:c r="A6864" s="142"/>
    </x:row>
    <x:row r="6865">
      <x:c r="A6865" s="142"/>
    </x:row>
    <x:row r="6866">
      <x:c r="A6866" s="142"/>
    </x:row>
    <x:row r="6867">
      <x:c r="A6867" s="142"/>
    </x:row>
    <x:row r="6868">
      <x:c r="A6868" s="142"/>
    </x:row>
    <x:row r="6869">
      <x:c r="A6869" s="142"/>
    </x:row>
    <x:row r="6870">
      <x:c r="A6870" s="142"/>
    </x:row>
    <x:row r="6871">
      <x:c r="A6871" s="142"/>
    </x:row>
    <x:row r="6872">
      <x:c r="A6872" s="142"/>
    </x:row>
    <x:row r="6873">
      <x:c r="A6873" s="142"/>
    </x:row>
    <x:row r="6874">
      <x:c r="A6874" s="142"/>
    </x:row>
    <x:row r="6875">
      <x:c r="A6875" s="142"/>
    </x:row>
    <x:row r="6876">
      <x:c r="A6876" s="142"/>
    </x:row>
    <x:row r="6877">
      <x:c r="A6877" s="142"/>
    </x:row>
    <x:row r="6878">
      <x:c r="A6878" s="142"/>
    </x:row>
    <x:row r="6879">
      <x:c r="A6879" s="142"/>
    </x:row>
    <x:row r="6880">
      <x:c r="A6880" s="142"/>
    </x:row>
    <x:row r="6881">
      <x:c r="A6881" s="142"/>
    </x:row>
    <x:row r="6882">
      <x:c r="A6882" s="142"/>
    </x:row>
    <x:row r="6883">
      <x:c r="A6883" s="142"/>
    </x:row>
    <x:row r="6884">
      <x:c r="A6884" s="142"/>
    </x:row>
    <x:row r="6885">
      <x:c r="A6885" s="142"/>
    </x:row>
    <x:row r="6886">
      <x:c r="A6886" s="142"/>
    </x:row>
    <x:row r="6887">
      <x:c r="A6887" s="142"/>
    </x:row>
    <x:row r="6888">
      <x:c r="A6888" s="142"/>
    </x:row>
    <x:row r="6889">
      <x:c r="A6889" s="142"/>
    </x:row>
    <x:row r="6890">
      <x:c r="A6890" s="142"/>
    </x:row>
    <x:row r="6891">
      <x:c r="A6891" s="142"/>
    </x:row>
    <x:row r="6892">
      <x:c r="A6892" s="142"/>
    </x:row>
    <x:row r="6893">
      <x:c r="A6893" s="142"/>
    </x:row>
    <x:row r="6894">
      <x:c r="A6894" s="142"/>
    </x:row>
    <x:row r="6895">
      <x:c r="A6895" s="142"/>
    </x:row>
    <x:row r="6896">
      <x:c r="A6896" s="142"/>
    </x:row>
    <x:row r="6897">
      <x:c r="A6897" s="142"/>
    </x:row>
    <x:row r="6898">
      <x:c r="A6898" s="142"/>
    </x:row>
    <x:row r="6899">
      <x:c r="A6899" s="142"/>
    </x:row>
    <x:row r="6900">
      <x:c r="A6900" s="142"/>
    </x:row>
    <x:row r="6901">
      <x:c r="A6901" s="142"/>
    </x:row>
    <x:row r="6902">
      <x:c r="A6902" s="142"/>
    </x:row>
    <x:row r="6903">
      <x:c r="A6903" s="142"/>
    </x:row>
    <x:row r="6904">
      <x:c r="A6904" s="142"/>
    </x:row>
    <x:row r="6905">
      <x:c r="A6905" s="142"/>
    </x:row>
    <x:row r="6906">
      <x:c r="A6906" s="142"/>
    </x:row>
    <x:row r="6907">
      <x:c r="A6907" s="142"/>
    </x:row>
    <x:row r="6908">
      <x:c r="A6908" s="142"/>
    </x:row>
    <x:row r="6909">
      <x:c r="A6909" s="142"/>
    </x:row>
    <x:row r="6910">
      <x:c r="A6910" s="142"/>
    </x:row>
    <x:row r="6911">
      <x:c r="A6911" s="142"/>
    </x:row>
    <x:row r="6912">
      <x:c r="A6912" s="142"/>
    </x:row>
    <x:row r="6913">
      <x:c r="A6913" s="142"/>
    </x:row>
    <x:row r="6914">
      <x:c r="A6914" s="142"/>
    </x:row>
    <x:row r="6915">
      <x:c r="A6915" s="142"/>
    </x:row>
    <x:row r="6916">
      <x:c r="A6916" s="142"/>
    </x:row>
    <x:row r="6917">
      <x:c r="A6917" s="142"/>
    </x:row>
    <x:row r="6918">
      <x:c r="A6918" s="142"/>
    </x:row>
    <x:row r="6919">
      <x:c r="A6919" s="142"/>
    </x:row>
    <x:row r="6920">
      <x:c r="A6920" s="142"/>
    </x:row>
    <x:row r="6921">
      <x:c r="A6921" s="142"/>
    </x:row>
    <x:row r="6922">
      <x:c r="A6922" s="142"/>
    </x:row>
    <x:row r="6923">
      <x:c r="A6923" s="142"/>
    </x:row>
    <x:row r="6924">
      <x:c r="A6924" s="142"/>
    </x:row>
    <x:row r="6925">
      <x:c r="A6925" s="142"/>
    </x:row>
    <x:row r="6926">
      <x:c r="A6926" s="142"/>
    </x:row>
    <x:row r="6927">
      <x:c r="A6927" s="142"/>
    </x:row>
    <x:row r="6928">
      <x:c r="A6928" s="142"/>
    </x:row>
    <x:row r="6929">
      <x:c r="A6929" s="142"/>
    </x:row>
    <x:row r="6930">
      <x:c r="A6930" s="142"/>
    </x:row>
    <x:row r="6931">
      <x:c r="A6931" s="142"/>
    </x:row>
    <x:row r="6932">
      <x:c r="A6932" s="142"/>
    </x:row>
    <x:row r="6933">
      <x:c r="A6933" s="142"/>
    </x:row>
    <x:row r="6934">
      <x:c r="A6934" s="142"/>
    </x:row>
    <x:row r="6935">
      <x:c r="A6935" s="142"/>
    </x:row>
    <x:row r="6936">
      <x:c r="A6936" s="142"/>
    </x:row>
    <x:row r="6937">
      <x:c r="A6937" s="142"/>
    </x:row>
    <x:row r="6938">
      <x:c r="A6938" s="142"/>
    </x:row>
    <x:row r="6939">
      <x:c r="A6939" s="142"/>
    </x:row>
    <x:row r="6940">
      <x:c r="A6940" s="142"/>
    </x:row>
    <x:row r="6941">
      <x:c r="A6941" s="142"/>
    </x:row>
    <x:row r="6942">
      <x:c r="A6942" s="142"/>
    </x:row>
    <x:row r="6943">
      <x:c r="A6943" s="142"/>
    </x:row>
    <x:row r="6944">
      <x:c r="A6944" s="142"/>
    </x:row>
    <x:row r="6945">
      <x:c r="A6945" s="142"/>
    </x:row>
    <x:row r="6946">
      <x:c r="A6946" s="142"/>
    </x:row>
    <x:row r="6947">
      <x:c r="A6947" s="142"/>
    </x:row>
    <x:row r="6948">
      <x:c r="A6948" s="142"/>
    </x:row>
    <x:row r="6949">
      <x:c r="A6949" s="142"/>
    </x:row>
    <x:row r="6950">
      <x:c r="A6950" s="142"/>
    </x:row>
    <x:row r="6951">
      <x:c r="A6951" s="142"/>
    </x:row>
    <x:row r="6952">
      <x:c r="A6952" s="142"/>
    </x:row>
    <x:row r="6953">
      <x:c r="A6953" s="142"/>
    </x:row>
    <x:row r="6954">
      <x:c r="A6954" s="142"/>
    </x:row>
    <x:row r="6955">
      <x:c r="A6955" s="142"/>
    </x:row>
    <x:row r="6956">
      <x:c r="A6956" s="142"/>
    </x:row>
    <x:row r="6957">
      <x:c r="A6957" s="142"/>
    </x:row>
    <x:row r="6958">
      <x:c r="A6958" s="142"/>
    </x:row>
    <x:row r="6959">
      <x:c r="A6959" s="142"/>
    </x:row>
    <x:row r="6960">
      <x:c r="A6960" s="142"/>
    </x:row>
    <x:row r="6961">
      <x:c r="A6961" s="142"/>
    </x:row>
    <x:row r="6962">
      <x:c r="A6962" s="142"/>
    </x:row>
    <x:row r="6963">
      <x:c r="A6963" s="142"/>
    </x:row>
    <x:row r="6964">
      <x:c r="A6964" s="142"/>
    </x:row>
    <x:row r="6965">
      <x:c r="A6965" s="142"/>
    </x:row>
    <x:row r="6966">
      <x:c r="A6966" s="142"/>
    </x:row>
    <x:row r="6967">
      <x:c r="A6967" s="142"/>
    </x:row>
    <x:row r="6968">
      <x:c r="A6968" s="142"/>
    </x:row>
    <x:row r="6969">
      <x:c r="A6969" s="142"/>
    </x:row>
    <x:row r="6970">
      <x:c r="A6970" s="142"/>
    </x:row>
    <x:row r="6971">
      <x:c r="A6971" s="142"/>
    </x:row>
    <x:row r="6972">
      <x:c r="A6972" s="142"/>
    </x:row>
    <x:row r="6973">
      <x:c r="A6973" s="142"/>
    </x:row>
    <x:row r="6974">
      <x:c r="A6974" s="142"/>
    </x:row>
    <x:row r="6975">
      <x:c r="A6975" s="142"/>
    </x:row>
    <x:row r="6976">
      <x:c r="A6976" s="142"/>
    </x:row>
    <x:row r="6977">
      <x:c r="A6977" s="142"/>
    </x:row>
    <x:row r="6978">
      <x:c r="A6978" s="142"/>
    </x:row>
    <x:row r="6979">
      <x:c r="A6979" s="142"/>
    </x:row>
    <x:row r="6980">
      <x:c r="A6980" s="142"/>
    </x:row>
    <x:row r="6981">
      <x:c r="A6981" s="142"/>
    </x:row>
    <x:row r="6982">
      <x:c r="A6982" s="142"/>
    </x:row>
    <x:row r="6983">
      <x:c r="A6983" s="142"/>
    </x:row>
    <x:row r="6984">
      <x:c r="A6984" s="142"/>
    </x:row>
    <x:row r="6985">
      <x:c r="A6985" s="142"/>
    </x:row>
    <x:row r="6986">
      <x:c r="A6986" s="142"/>
    </x:row>
    <x:row r="6987">
      <x:c r="A6987" s="142"/>
    </x:row>
    <x:row r="6988">
      <x:c r="A6988" s="142"/>
    </x:row>
    <x:row r="6989">
      <x:c r="A6989" s="142"/>
    </x:row>
    <x:row r="6990">
      <x:c r="A6990" s="142"/>
    </x:row>
    <x:row r="6991">
      <x:c r="A6991" s="142"/>
    </x:row>
    <x:row r="6992">
      <x:c r="A6992" s="142"/>
    </x:row>
    <x:row r="6993">
      <x:c r="A6993" s="142"/>
    </x:row>
    <x:row r="6994">
      <x:c r="A6994" s="142"/>
    </x:row>
    <x:row r="6995">
      <x:c r="A6995" s="142"/>
    </x:row>
    <x:row r="6996">
      <x:c r="A6996" s="142"/>
    </x:row>
    <x:row r="6997">
      <x:c r="A6997" s="142"/>
    </x:row>
    <x:row r="6998">
      <x:c r="A6998" s="142"/>
    </x:row>
    <x:row r="6999">
      <x:c r="A6999" s="142"/>
    </x:row>
    <x:row r="7000">
      <x:c r="A7000" s="142"/>
    </x:row>
    <x:row r="7001">
      <x:c r="A7001" s="142"/>
    </x:row>
    <x:row r="7002">
      <x:c r="A7002" s="142"/>
    </x:row>
    <x:row r="7003">
      <x:c r="A7003" s="142"/>
    </x:row>
    <x:row r="7004">
      <x:c r="A7004" s="142"/>
    </x:row>
    <x:row r="7005">
      <x:c r="A7005" s="142"/>
    </x:row>
    <x:row r="7006">
      <x:c r="A7006" s="142"/>
    </x:row>
    <x:row r="7007">
      <x:c r="A7007" s="142"/>
    </x:row>
    <x:row r="7008">
      <x:c r="A7008" s="142"/>
    </x:row>
    <x:row r="7009">
      <x:c r="A7009" s="142"/>
    </x:row>
    <x:row r="7010">
      <x:c r="A7010" s="142"/>
    </x:row>
    <x:row r="7011">
      <x:c r="A7011" s="142"/>
    </x:row>
    <x:row r="7012">
      <x:c r="A7012" s="142"/>
    </x:row>
    <x:row r="7013">
      <x:c r="A7013" s="142"/>
    </x:row>
    <x:row r="7014">
      <x:c r="A7014" s="142"/>
    </x:row>
    <x:row r="7015">
      <x:c r="A7015" s="142"/>
    </x:row>
    <x:row r="7016">
      <x:c r="A7016" s="142"/>
    </x:row>
    <x:row r="7017">
      <x:c r="A7017" s="142"/>
    </x:row>
    <x:row r="7018">
      <x:c r="A7018" s="142"/>
    </x:row>
    <x:row r="7019">
      <x:c r="A7019" s="142"/>
    </x:row>
    <x:row r="7020">
      <x:c r="A7020" s="142"/>
    </x:row>
    <x:row r="7021">
      <x:c r="A7021" s="142"/>
    </x:row>
    <x:row r="7022">
      <x:c r="A7022" s="142"/>
    </x:row>
    <x:row r="7023">
      <x:c r="A7023" s="142"/>
    </x:row>
    <x:row r="7024">
      <x:c r="A7024" s="142"/>
    </x:row>
    <x:row r="7025">
      <x:c r="A7025" s="142"/>
    </x:row>
    <x:row r="7026">
      <x:c r="A7026" s="142"/>
    </x:row>
    <x:row r="7027">
      <x:c r="A7027" s="142"/>
    </x:row>
    <x:row r="7028">
      <x:c r="A7028" s="142"/>
    </x:row>
    <x:row r="7029">
      <x:c r="A7029" s="142"/>
    </x:row>
    <x:row r="7030">
      <x:c r="A7030" s="142"/>
    </x:row>
    <x:row r="7031">
      <x:c r="A7031" s="142"/>
    </x:row>
    <x:row r="7032">
      <x:c r="A7032" s="142"/>
    </x:row>
    <x:row r="7033">
      <x:c r="A7033" s="142"/>
    </x:row>
    <x:row r="7034">
      <x:c r="A7034" s="142"/>
    </x:row>
    <x:row r="7035">
      <x:c r="A7035" s="142"/>
    </x:row>
    <x:row r="7036">
      <x:c r="A7036" s="142"/>
    </x:row>
    <x:row r="7037">
      <x:c r="A7037" s="142"/>
    </x:row>
    <x:row r="7038">
      <x:c r="A7038" s="142"/>
    </x:row>
    <x:row r="7039">
      <x:c r="A7039" s="142"/>
    </x:row>
    <x:row r="7040">
      <x:c r="A7040" s="142"/>
    </x:row>
    <x:row r="7041">
      <x:c r="A7041" s="142"/>
    </x:row>
    <x:row r="7042">
      <x:c r="A7042" s="142"/>
    </x:row>
    <x:row r="7043">
      <x:c r="A7043" s="142"/>
    </x:row>
    <x:row r="7044">
      <x:c r="A7044" s="142"/>
    </x:row>
    <x:row r="7045">
      <x:c r="A7045" s="142"/>
    </x:row>
    <x:row r="7046">
      <x:c r="A7046" s="142"/>
    </x:row>
    <x:row r="7047">
      <x:c r="A7047" s="142"/>
    </x:row>
    <x:row r="7048">
      <x:c r="A7048" s="142"/>
    </x:row>
    <x:row r="7049">
      <x:c r="A7049" s="142"/>
    </x:row>
    <x:row r="7050">
      <x:c r="A7050" s="142"/>
    </x:row>
    <x:row r="7051">
      <x:c r="A7051" s="142"/>
    </x:row>
    <x:row r="7052">
      <x:c r="A7052" s="142"/>
    </x:row>
    <x:row r="7053">
      <x:c r="A7053" s="142"/>
    </x:row>
    <x:row r="7054">
      <x:c r="A7054" s="142"/>
    </x:row>
    <x:row r="7055">
      <x:c r="A7055" s="142"/>
    </x:row>
    <x:row r="7056">
      <x:c r="A7056" s="142"/>
    </x:row>
    <x:row r="7057">
      <x:c r="A7057" s="142"/>
    </x:row>
    <x:row r="7058">
      <x:c r="A7058" s="142"/>
    </x:row>
    <x:row r="7059">
      <x:c r="A7059" s="142"/>
    </x:row>
    <x:row r="7060">
      <x:c r="A7060" s="142"/>
    </x:row>
    <x:row r="7061">
      <x:c r="A7061" s="142"/>
    </x:row>
    <x:row r="7062">
      <x:c r="A7062" s="142"/>
    </x:row>
    <x:row r="7063">
      <x:c r="A7063" s="142"/>
    </x:row>
    <x:row r="7064">
      <x:c r="A7064" s="142"/>
    </x:row>
    <x:row r="7065">
      <x:c r="A7065" s="142"/>
    </x:row>
    <x:row r="7066">
      <x:c r="A7066" s="142"/>
    </x:row>
    <x:row r="7067">
      <x:c r="A7067" s="142"/>
    </x:row>
    <x:row r="7068">
      <x:c r="A7068" s="142"/>
    </x:row>
    <x:row r="7069">
      <x:c r="A7069" s="142"/>
    </x:row>
    <x:row r="7070">
      <x:c r="A7070" s="142"/>
    </x:row>
    <x:row r="7071">
      <x:c r="A7071" s="142"/>
    </x:row>
    <x:row r="7072">
      <x:c r="A7072" s="142"/>
    </x:row>
    <x:row r="7073">
      <x:c r="A7073" s="142"/>
    </x:row>
    <x:row r="7074">
      <x:c r="A7074" s="142"/>
    </x:row>
    <x:row r="7075">
      <x:c r="A7075" s="142"/>
    </x:row>
    <x:row r="7076">
      <x:c r="A7076" s="142"/>
    </x:row>
    <x:row r="7077">
      <x:c r="A7077" s="142"/>
    </x:row>
    <x:row r="7078">
      <x:c r="A7078" s="142"/>
    </x:row>
    <x:row r="7079">
      <x:c r="A7079" s="142"/>
    </x:row>
    <x:row r="7080">
      <x:c r="A7080" s="142"/>
    </x:row>
    <x:row r="7081">
      <x:c r="A7081" s="142"/>
    </x:row>
    <x:row r="7082">
      <x:c r="A7082" s="142"/>
    </x:row>
    <x:row r="7083">
      <x:c r="A7083" s="142"/>
    </x:row>
    <x:row r="7084">
      <x:c r="A7084" s="142"/>
    </x:row>
    <x:row r="7085">
      <x:c r="A7085" s="142"/>
    </x:row>
    <x:row r="7086">
      <x:c r="A7086" s="142"/>
    </x:row>
    <x:row r="7087">
      <x:c r="A7087" s="142"/>
    </x:row>
    <x:row r="7088">
      <x:c r="A7088" s="142"/>
    </x:row>
    <x:row r="7089">
      <x:c r="A7089" s="142"/>
    </x:row>
    <x:row r="7090">
      <x:c r="A7090" s="142"/>
    </x:row>
    <x:row r="7091">
      <x:c r="A7091" s="142"/>
    </x:row>
    <x:row r="7092">
      <x:c r="A7092" s="142"/>
    </x:row>
    <x:row r="7093">
      <x:c r="A7093" s="142"/>
    </x:row>
    <x:row r="7094">
      <x:c r="A7094" s="142"/>
    </x:row>
    <x:row r="7095">
      <x:c r="A7095" s="142"/>
    </x:row>
    <x:row r="7096">
      <x:c r="A7096" s="142"/>
    </x:row>
    <x:row r="7097">
      <x:c r="A7097" s="142"/>
    </x:row>
    <x:row r="7098">
      <x:c r="A7098" s="142"/>
    </x:row>
    <x:row r="7099">
      <x:c r="A7099" s="142"/>
    </x:row>
    <x:row r="7100">
      <x:c r="A7100" s="142"/>
    </x:row>
    <x:row r="7101">
      <x:c r="A7101" s="142"/>
    </x:row>
    <x:row r="7102">
      <x:c r="A7102" s="142"/>
    </x:row>
    <x:row r="7103">
      <x:c r="A7103" s="142"/>
    </x:row>
    <x:row r="7104">
      <x:c r="A7104" s="142"/>
    </x:row>
    <x:row r="7105">
      <x:c r="A7105" s="142"/>
    </x:row>
    <x:row r="7106">
      <x:c r="A7106" s="142"/>
    </x:row>
    <x:row r="7107">
      <x:c r="A7107" s="142"/>
    </x:row>
    <x:row r="7108">
      <x:c r="A7108" s="142"/>
    </x:row>
    <x:row r="7109">
      <x:c r="A7109" s="142"/>
    </x:row>
    <x:row r="7110">
      <x:c r="A7110" s="142"/>
    </x:row>
    <x:row r="7111">
      <x:c r="A7111" s="142"/>
    </x:row>
    <x:row r="7112">
      <x:c r="A7112" s="142"/>
    </x:row>
    <x:row r="7113">
      <x:c r="A7113" s="142"/>
    </x:row>
    <x:row r="7114">
      <x:c r="A7114" s="142"/>
    </x:row>
    <x:row r="7115">
      <x:c r="A7115" s="142"/>
    </x:row>
    <x:row r="7116">
      <x:c r="A7116" s="142"/>
    </x:row>
    <x:row r="7117">
      <x:c r="A7117" s="142"/>
    </x:row>
    <x:row r="7118">
      <x:c r="A7118" s="142"/>
    </x:row>
    <x:row r="7119">
      <x:c r="A7119" s="142"/>
    </x:row>
    <x:row r="7120">
      <x:c r="A7120" s="142"/>
    </x:row>
    <x:row r="7121">
      <x:c r="A7121" s="142"/>
    </x:row>
    <x:row r="7122">
      <x:c r="A7122" s="142"/>
    </x:row>
    <x:row r="7123">
      <x:c r="A7123" s="142"/>
    </x:row>
    <x:row r="7124">
      <x:c r="A7124" s="142"/>
    </x:row>
    <x:row r="7125">
      <x:c r="A7125" s="142"/>
    </x:row>
    <x:row r="7126">
      <x:c r="A7126" s="142"/>
    </x:row>
    <x:row r="7127">
      <x:c r="A7127" s="142"/>
    </x:row>
    <x:row r="7128">
      <x:c r="A7128" s="142"/>
    </x:row>
    <x:row r="7129">
      <x:c r="A7129" s="142"/>
    </x:row>
    <x:row r="7130">
      <x:c r="A7130" s="142"/>
    </x:row>
    <x:row r="7131">
      <x:c r="A7131" s="142"/>
    </x:row>
    <x:row r="7132">
      <x:c r="A7132" s="142"/>
    </x:row>
    <x:row r="7133">
      <x:c r="A7133" s="142"/>
    </x:row>
    <x:row r="7134">
      <x:c r="A7134" s="142"/>
    </x:row>
    <x:row r="7135">
      <x:c r="A7135" s="142"/>
    </x:row>
    <x:row r="7136">
      <x:c r="A7136" s="142"/>
    </x:row>
    <x:row r="7137">
      <x:c r="A7137" s="142"/>
    </x:row>
    <x:row r="7138">
      <x:c r="A7138" s="142"/>
    </x:row>
    <x:row r="7139">
      <x:c r="A7139" s="142"/>
    </x:row>
    <x:row r="7140">
      <x:c r="A7140" s="142"/>
    </x:row>
    <x:row r="7141">
      <x:c r="A7141" s="142"/>
    </x:row>
    <x:row r="7142">
      <x:c r="A7142" s="142"/>
    </x:row>
    <x:row r="7143">
      <x:c r="A7143" s="142"/>
    </x:row>
    <x:row r="7144">
      <x:c r="A7144" s="142"/>
    </x:row>
    <x:row r="7145">
      <x:c r="A7145" s="142"/>
    </x:row>
    <x:row r="7146">
      <x:c r="A7146" s="142"/>
    </x:row>
    <x:row r="7147">
      <x:c r="A7147" s="142"/>
    </x:row>
    <x:row r="7148">
      <x:c r="A7148" s="142"/>
    </x:row>
    <x:row r="7149">
      <x:c r="A7149" s="142"/>
    </x:row>
    <x:row r="7150">
      <x:c r="A7150" s="142"/>
    </x:row>
    <x:row r="7151">
      <x:c r="A7151" s="142"/>
    </x:row>
    <x:row r="7152">
      <x:c r="A7152" s="142"/>
    </x:row>
    <x:row r="7153">
      <x:c r="A7153" s="142"/>
    </x:row>
    <x:row r="7154">
      <x:c r="A7154" s="142"/>
    </x:row>
    <x:row r="7155">
      <x:c r="A7155" s="142"/>
    </x:row>
    <x:row r="7156">
      <x:c r="A7156" s="142"/>
    </x:row>
    <x:row r="7157">
      <x:c r="A7157" s="142"/>
    </x:row>
    <x:row r="7158">
      <x:c r="A7158" s="142"/>
    </x:row>
    <x:row r="7159">
      <x:c r="A7159" s="142"/>
    </x:row>
    <x:row r="7160">
      <x:c r="A7160" s="142"/>
    </x:row>
    <x:row r="7161">
      <x:c r="A7161" s="142"/>
    </x:row>
    <x:row r="7162">
      <x:c r="A7162" s="142"/>
    </x:row>
    <x:row r="7163">
      <x:c r="A7163" s="142"/>
    </x:row>
    <x:row r="7164">
      <x:c r="A7164" s="142"/>
    </x:row>
    <x:row r="7165">
      <x:c r="A7165" s="142"/>
    </x:row>
    <x:row r="7166">
      <x:c r="A7166" s="142"/>
    </x:row>
    <x:row r="7167">
      <x:c r="A7167" s="142"/>
    </x:row>
    <x:row r="7168">
      <x:c r="A7168" s="142"/>
    </x:row>
    <x:row r="7169">
      <x:c r="A7169" s="142"/>
    </x:row>
    <x:row r="7170">
      <x:c r="A7170" s="142"/>
    </x:row>
    <x:row r="7171">
      <x:c r="A7171" s="142"/>
    </x:row>
    <x:row r="7172">
      <x:c r="A7172" s="142"/>
    </x:row>
    <x:row r="7173">
      <x:c r="A7173" s="142"/>
    </x:row>
    <x:row r="7174">
      <x:c r="A7174" s="142"/>
    </x:row>
    <x:row r="7175">
      <x:c r="A7175" s="142"/>
    </x:row>
    <x:row r="7176">
      <x:c r="A7176" s="142"/>
    </x:row>
    <x:row r="7177">
      <x:c r="A7177" s="142"/>
    </x:row>
    <x:row r="7178">
      <x:c r="A7178" s="142"/>
    </x:row>
    <x:row r="7179">
      <x:c r="A7179" s="142"/>
    </x:row>
    <x:row r="7180">
      <x:c r="A7180" s="142"/>
    </x:row>
    <x:row r="7181">
      <x:c r="A7181" s="142"/>
    </x:row>
    <x:row r="7182">
      <x:c r="A7182" s="142"/>
    </x:row>
    <x:row r="7183">
      <x:c r="A7183" s="142"/>
    </x:row>
    <x:row r="7184">
      <x:c r="A7184" s="142"/>
    </x:row>
    <x:row r="7185">
      <x:c r="A7185" s="142"/>
    </x:row>
    <x:row r="7186">
      <x:c r="A7186" s="142"/>
    </x:row>
    <x:row r="7187">
      <x:c r="A7187" s="142"/>
    </x:row>
    <x:row r="7188">
      <x:c r="A7188" s="142"/>
    </x:row>
    <x:row r="7189">
      <x:c r="A7189" s="142"/>
    </x:row>
    <x:row r="7190">
      <x:c r="A7190" s="142"/>
    </x:row>
    <x:row r="7191">
      <x:c r="A7191" s="142"/>
    </x:row>
    <x:row r="7192">
      <x:c r="A7192" s="142"/>
    </x:row>
    <x:row r="7193">
      <x:c r="A7193" s="142"/>
    </x:row>
    <x:row r="7194">
      <x:c r="A7194" s="142"/>
    </x:row>
    <x:row r="7195">
      <x:c r="A7195" s="142"/>
    </x:row>
    <x:row r="7196">
      <x:c r="A7196" s="142"/>
    </x:row>
    <x:row r="7197">
      <x:c r="A7197" s="142"/>
    </x:row>
    <x:row r="7198">
      <x:c r="A7198" s="142"/>
    </x:row>
    <x:row r="7199">
      <x:c r="A7199" s="142"/>
    </x:row>
    <x:row r="7200">
      <x:c r="A7200" s="142"/>
    </x:row>
    <x:row r="7201">
      <x:c r="A7201" s="142"/>
    </x:row>
    <x:row r="7202">
      <x:c r="A7202" s="142"/>
    </x:row>
    <x:row r="7203">
      <x:c r="A7203" s="142"/>
    </x:row>
    <x:row r="7204">
      <x:c r="A7204" s="142"/>
    </x:row>
    <x:row r="7205">
      <x:c r="A7205" s="142"/>
    </x:row>
    <x:row r="7206">
      <x:c r="A7206" s="142"/>
    </x:row>
    <x:row r="7207">
      <x:c r="A7207" s="142"/>
    </x:row>
    <x:row r="7208">
      <x:c r="A7208" s="142"/>
    </x:row>
    <x:row r="7209">
      <x:c r="A7209" s="142"/>
    </x:row>
    <x:row r="7210">
      <x:c r="A7210" s="142"/>
    </x:row>
    <x:row r="7211">
      <x:c r="A7211" s="142"/>
    </x:row>
    <x:row r="7212">
      <x:c r="A7212" s="142"/>
    </x:row>
    <x:row r="7213">
      <x:c r="A7213" s="142"/>
    </x:row>
    <x:row r="7214">
      <x:c r="A7214" s="142"/>
    </x:row>
    <x:row r="7215">
      <x:c r="A7215" s="142"/>
    </x:row>
    <x:row r="7216">
      <x:c r="A7216" s="142"/>
    </x:row>
    <x:row r="7217">
      <x:c r="A7217" s="142"/>
    </x:row>
    <x:row r="7218">
      <x:c r="A7218" s="142"/>
    </x:row>
    <x:row r="7219">
      <x:c r="A7219" s="142"/>
    </x:row>
    <x:row r="7220">
      <x:c r="A7220" s="142"/>
    </x:row>
    <x:row r="7221">
      <x:c r="A7221" s="142"/>
    </x:row>
    <x:row r="7222">
      <x:c r="A7222" s="142"/>
    </x:row>
    <x:row r="7223">
      <x:c r="A7223" s="142"/>
    </x:row>
    <x:row r="7224">
      <x:c r="A7224" s="142"/>
    </x:row>
    <x:row r="7225">
      <x:c r="A7225" s="142"/>
    </x:row>
    <x:row r="7226">
      <x:c r="A7226" s="142"/>
    </x:row>
    <x:row r="7227">
      <x:c r="A7227" s="142"/>
    </x:row>
    <x:row r="7228">
      <x:c r="A7228" s="142"/>
    </x:row>
    <x:row r="7229">
      <x:c r="A7229" s="142"/>
    </x:row>
    <x:row r="7230">
      <x:c r="A7230" s="142"/>
    </x:row>
    <x:row r="7231">
      <x:c r="A7231" s="142"/>
    </x:row>
    <x:row r="7232">
      <x:c r="A7232" s="142"/>
    </x:row>
    <x:row r="7233">
      <x:c r="A7233" s="142"/>
    </x:row>
    <x:row r="7234">
      <x:c r="A7234" s="142"/>
    </x:row>
    <x:row r="7235">
      <x:c r="A7235" s="142"/>
    </x:row>
    <x:row r="7236">
      <x:c r="A7236" s="142"/>
    </x:row>
    <x:row r="7237">
      <x:c r="A7237" s="142"/>
    </x:row>
    <x:row r="7238">
      <x:c r="A7238" s="142"/>
    </x:row>
    <x:row r="7239">
      <x:c r="A7239" s="142"/>
    </x:row>
    <x:row r="7240">
      <x:c r="A7240" s="142"/>
    </x:row>
    <x:row r="7241">
      <x:c r="A7241" s="142"/>
    </x:row>
    <x:row r="7242">
      <x:c r="A7242" s="142"/>
    </x:row>
    <x:row r="7243">
      <x:c r="A7243" s="142"/>
    </x:row>
    <x:row r="7244">
      <x:c r="A7244" s="142"/>
    </x:row>
    <x:row r="7245">
      <x:c r="A7245" s="142"/>
    </x:row>
    <x:row r="7246">
      <x:c r="A7246" s="142"/>
    </x:row>
    <x:row r="7247">
      <x:c r="A7247" s="142"/>
    </x:row>
    <x:row r="7248">
      <x:c r="A7248" s="142"/>
    </x:row>
    <x:row r="7249">
      <x:c r="A7249" s="142"/>
    </x:row>
    <x:row r="7250">
      <x:c r="A7250" s="142"/>
    </x:row>
    <x:row r="7251">
      <x:c r="A7251" s="142"/>
    </x:row>
    <x:row r="7252">
      <x:c r="A7252" s="142"/>
    </x:row>
    <x:row r="7253">
      <x:c r="A7253" s="142"/>
    </x:row>
    <x:row r="7254">
      <x:c r="A7254" s="142"/>
    </x:row>
    <x:row r="7255">
      <x:c r="A7255" s="142"/>
    </x:row>
    <x:row r="7256">
      <x:c r="A7256" s="142"/>
    </x:row>
    <x:row r="7257">
      <x:c r="A7257" s="142"/>
    </x:row>
    <x:row r="7258">
      <x:c r="A7258" s="142"/>
    </x:row>
    <x:row r="7259">
      <x:c r="A7259" s="142"/>
    </x:row>
    <x:row r="7260">
      <x:c r="A7260" s="142"/>
    </x:row>
    <x:row r="7261">
      <x:c r="A7261" s="142"/>
    </x:row>
    <x:row r="7262">
      <x:c r="A7262" s="142"/>
    </x:row>
    <x:row r="7263">
      <x:c r="A7263" s="142"/>
    </x:row>
    <x:row r="7264">
      <x:c r="A7264" s="142"/>
    </x:row>
    <x:row r="7265">
      <x:c r="A7265" s="142"/>
    </x:row>
    <x:row r="7266">
      <x:c r="A7266" s="142"/>
    </x:row>
    <x:row r="7267">
      <x:c r="A7267" s="142"/>
    </x:row>
    <x:row r="7268">
      <x:c r="A7268" s="142"/>
    </x:row>
    <x:row r="7269">
      <x:c r="A7269" s="142"/>
    </x:row>
    <x:row r="7270">
      <x:c r="A7270" s="142"/>
    </x:row>
    <x:row r="7271">
      <x:c r="A7271" s="142"/>
    </x:row>
    <x:row r="7272">
      <x:c r="A7272" s="142"/>
    </x:row>
    <x:row r="7273">
      <x:c r="A7273" s="142"/>
    </x:row>
    <x:row r="7274">
      <x:c r="A7274" s="142"/>
    </x:row>
    <x:row r="7275">
      <x:c r="A7275" s="142"/>
    </x:row>
    <x:row r="7276">
      <x:c r="A7276" s="142"/>
    </x:row>
    <x:row r="7277">
      <x:c r="A7277" s="142"/>
    </x:row>
    <x:row r="7278">
      <x:c r="A7278" s="142"/>
    </x:row>
    <x:row r="7279">
      <x:c r="A7279" s="142"/>
    </x:row>
    <x:row r="7280">
      <x:c r="A7280" s="142"/>
    </x:row>
    <x:row r="7281">
      <x:c r="A7281" s="142"/>
    </x:row>
    <x:row r="7282">
      <x:c r="A7282" s="142"/>
    </x:row>
    <x:row r="7283">
      <x:c r="A7283" s="142"/>
    </x:row>
    <x:row r="7284">
      <x:c r="A7284" s="142"/>
    </x:row>
    <x:row r="7285">
      <x:c r="A7285" s="142"/>
    </x:row>
    <x:row r="7286">
      <x:c r="A7286" s="142"/>
    </x:row>
    <x:row r="7287">
      <x:c r="A7287" s="142"/>
    </x:row>
    <x:row r="7288">
      <x:c r="A7288" s="142"/>
    </x:row>
    <x:row r="7289">
      <x:c r="A7289" s="142"/>
    </x:row>
    <x:row r="7290">
      <x:c r="A7290" s="142"/>
    </x:row>
    <x:row r="7291">
      <x:c r="A7291" s="142"/>
    </x:row>
    <x:row r="7292">
      <x:c r="A7292" s="142"/>
    </x:row>
    <x:row r="7293">
      <x:c r="A7293" s="142"/>
    </x:row>
    <x:row r="7294">
      <x:c r="A7294" s="142"/>
    </x:row>
    <x:row r="7295">
      <x:c r="A7295" s="142"/>
    </x:row>
    <x:row r="7296">
      <x:c r="A7296" s="142"/>
    </x:row>
    <x:row r="7297">
      <x:c r="A7297" s="142"/>
    </x:row>
    <x:row r="7298">
      <x:c r="A7298" s="142"/>
    </x:row>
    <x:row r="7299">
      <x:c r="A7299" s="142"/>
    </x:row>
    <x:row r="7300">
      <x:c r="A7300" s="142"/>
    </x:row>
    <x:row r="7301">
      <x:c r="A7301" s="142"/>
    </x:row>
    <x:row r="7302">
      <x:c r="A7302" s="142"/>
    </x:row>
    <x:row r="7303">
      <x:c r="A7303" s="142"/>
    </x:row>
    <x:row r="7304">
      <x:c r="A7304" s="142"/>
    </x:row>
    <x:row r="7305">
      <x:c r="A7305" s="142"/>
    </x:row>
    <x:row r="7306">
      <x:c r="A7306" s="142"/>
    </x:row>
    <x:row r="7307">
      <x:c r="A7307" s="142"/>
    </x:row>
    <x:row r="7308">
      <x:c r="A7308" s="142"/>
    </x:row>
    <x:row r="7309">
      <x:c r="A7309" s="142"/>
    </x:row>
    <x:row r="7310">
      <x:c r="A7310" s="142"/>
    </x:row>
    <x:row r="7311">
      <x:c r="A7311" s="142"/>
    </x:row>
    <x:row r="7312">
      <x:c r="A7312" s="142"/>
    </x:row>
    <x:row r="7313">
      <x:c r="A7313" s="142"/>
    </x:row>
    <x:row r="7314">
      <x:c r="A7314" s="142"/>
    </x:row>
    <x:row r="7315">
      <x:c r="A7315" s="142"/>
    </x:row>
    <x:row r="7316">
      <x:c r="A7316" s="142"/>
    </x:row>
    <x:row r="7317">
      <x:c r="A7317" s="142"/>
    </x:row>
    <x:row r="7318">
      <x:c r="A7318" s="142"/>
    </x:row>
    <x:row r="7319">
      <x:c r="A7319" s="142"/>
    </x:row>
    <x:row r="7320">
      <x:c r="A7320" s="142"/>
    </x:row>
    <x:row r="7321">
      <x:c r="A7321" s="142"/>
    </x:row>
    <x:row r="7322">
      <x:c r="A7322" s="142"/>
    </x:row>
    <x:row r="7323">
      <x:c r="A7323" s="142"/>
    </x:row>
    <x:row r="7324">
      <x:c r="A7324" s="142"/>
    </x:row>
    <x:row r="7325">
      <x:c r="A7325" s="142"/>
    </x:row>
    <x:row r="7326">
      <x:c r="A7326" s="142"/>
    </x:row>
    <x:row r="7327">
      <x:c r="A7327" s="142"/>
    </x:row>
    <x:row r="7328">
      <x:c r="A7328" s="142"/>
    </x:row>
    <x:row r="7329">
      <x:c r="A7329" s="142"/>
    </x:row>
    <x:row r="7330">
      <x:c r="A7330" s="142"/>
    </x:row>
    <x:row r="7331">
      <x:c r="A7331" s="142"/>
    </x:row>
    <x:row r="7332">
      <x:c r="A7332" s="142"/>
    </x:row>
    <x:row r="7333">
      <x:c r="A7333" s="142"/>
    </x:row>
    <x:row r="7334">
      <x:c r="A7334" s="142"/>
    </x:row>
    <x:row r="7335">
      <x:c r="A7335" s="142"/>
    </x:row>
    <x:row r="7336">
      <x:c r="A7336" s="142"/>
    </x:row>
    <x:row r="7337">
      <x:c r="A7337" s="142"/>
    </x:row>
    <x:row r="7338">
      <x:c r="A7338" s="142"/>
    </x:row>
    <x:row r="7339">
      <x:c r="A7339" s="142"/>
    </x:row>
    <x:row r="7340">
      <x:c r="A7340" s="142"/>
    </x:row>
    <x:row r="7341">
      <x:c r="A7341" s="142"/>
    </x:row>
    <x:row r="7342">
      <x:c r="A7342" s="142"/>
    </x:row>
    <x:row r="7343">
      <x:c r="A7343" s="142"/>
    </x:row>
    <x:row r="7344">
      <x:c r="A7344" s="142"/>
    </x:row>
    <x:row r="7345">
      <x:c r="A7345" s="142"/>
    </x:row>
    <x:row r="7346">
      <x:c r="A7346" s="142"/>
    </x:row>
    <x:row r="7347">
      <x:c r="A7347" s="142"/>
    </x:row>
    <x:row r="7348">
      <x:c r="A7348" s="142"/>
    </x:row>
    <x:row r="7349">
      <x:c r="A7349" s="142"/>
    </x:row>
    <x:row r="7350">
      <x:c r="A7350" s="142"/>
    </x:row>
    <x:row r="7351">
      <x:c r="A7351" s="142"/>
    </x:row>
    <x:row r="7352">
      <x:c r="A7352" s="142"/>
    </x:row>
    <x:row r="7353">
      <x:c r="A7353" s="142"/>
    </x:row>
    <x:row r="7354">
      <x:c r="A7354" s="142"/>
    </x:row>
    <x:row r="7355">
      <x:c r="A7355" s="142"/>
    </x:row>
    <x:row r="7356">
      <x:c r="A7356" s="142"/>
    </x:row>
    <x:row r="7357">
      <x:c r="A7357" s="142"/>
    </x:row>
    <x:row r="7358">
      <x:c r="A7358" s="142"/>
    </x:row>
    <x:row r="7359">
      <x:c r="A7359" s="142"/>
    </x:row>
    <x:row r="7360">
      <x:c r="A7360" s="142"/>
    </x:row>
    <x:row r="7361">
      <x:c r="A7361" s="142"/>
    </x:row>
    <x:row r="7362">
      <x:c r="A7362" s="142"/>
    </x:row>
    <x:row r="7363">
      <x:c r="A7363" s="142"/>
    </x:row>
    <x:row r="7364">
      <x:c r="A7364" s="142"/>
    </x:row>
    <x:row r="7365">
      <x:c r="A7365" s="142"/>
    </x:row>
    <x:row r="7366">
      <x:c r="A7366" s="142"/>
    </x:row>
    <x:row r="7367">
      <x:c r="A7367" s="142"/>
    </x:row>
    <x:row r="7368">
      <x:c r="A7368" s="142"/>
    </x:row>
    <x:row r="7369">
      <x:c r="A7369" s="142"/>
    </x:row>
    <x:row r="7370">
      <x:c r="A7370" s="142"/>
    </x:row>
    <x:row r="7371">
      <x:c r="A7371" s="142"/>
    </x:row>
    <x:row r="7372">
      <x:c r="A7372" s="142"/>
    </x:row>
    <x:row r="7373">
      <x:c r="A7373" s="142"/>
    </x:row>
    <x:row r="7374">
      <x:c r="A7374" s="142"/>
    </x:row>
    <x:row r="7375">
      <x:c r="A7375" s="142"/>
    </x:row>
    <x:row r="7376">
      <x:c r="A7376" s="142"/>
    </x:row>
    <x:row r="7377">
      <x:c r="A7377" s="142"/>
    </x:row>
    <x:row r="7378">
      <x:c r="A7378" s="142"/>
    </x:row>
    <x:row r="7379">
      <x:c r="A7379" s="142"/>
    </x:row>
    <x:row r="7380">
      <x:c r="A7380" s="142"/>
    </x:row>
    <x:row r="7381">
      <x:c r="A7381" s="142"/>
    </x:row>
    <x:row r="7382">
      <x:c r="A7382" s="142"/>
    </x:row>
    <x:row r="7383">
      <x:c r="A7383" s="142"/>
    </x:row>
    <x:row r="7384">
      <x:c r="A7384" s="142"/>
    </x:row>
    <x:row r="7385">
      <x:c r="A7385" s="142"/>
    </x:row>
    <x:row r="7386">
      <x:c r="A7386" s="142"/>
    </x:row>
    <x:row r="7387">
      <x:c r="A7387" s="142"/>
    </x:row>
    <x:row r="7388">
      <x:c r="A7388" s="142"/>
    </x:row>
    <x:row r="7389">
      <x:c r="A7389" s="142"/>
    </x:row>
    <x:row r="7390">
      <x:c r="A7390" s="142"/>
    </x:row>
    <x:row r="7391">
      <x:c r="A7391" s="142"/>
    </x:row>
    <x:row r="7392">
      <x:c r="A7392" s="142"/>
    </x:row>
    <x:row r="7393">
      <x:c r="A7393" s="142"/>
    </x:row>
    <x:row r="7394">
      <x:c r="A7394" s="142"/>
    </x:row>
    <x:row r="7395">
      <x:c r="A7395" s="142"/>
    </x:row>
    <x:row r="7396">
      <x:c r="A7396" s="142"/>
    </x:row>
    <x:row r="7397">
      <x:c r="A7397" s="142"/>
    </x:row>
    <x:row r="7398">
      <x:c r="A7398" s="142"/>
    </x:row>
    <x:row r="7399">
      <x:c r="A7399" s="142"/>
    </x:row>
    <x:row r="7400">
      <x:c r="A7400" s="142"/>
    </x:row>
    <x:row r="7401">
      <x:c r="A7401" s="142"/>
    </x:row>
    <x:row r="7402">
      <x:c r="A7402" s="142"/>
    </x:row>
    <x:row r="7403">
      <x:c r="A7403" s="142"/>
    </x:row>
    <x:row r="7404">
      <x:c r="A7404" s="142"/>
    </x:row>
    <x:row r="7405">
      <x:c r="A7405" s="142"/>
    </x:row>
    <x:row r="7406">
      <x:c r="A7406" s="142"/>
    </x:row>
    <x:row r="7407">
      <x:c r="A7407" s="142"/>
    </x:row>
    <x:row r="7408">
      <x:c r="A7408" s="142"/>
    </x:row>
    <x:row r="7409">
      <x:c r="A7409" s="142"/>
    </x:row>
    <x:row r="7410">
      <x:c r="A7410" s="142"/>
    </x:row>
    <x:row r="7411">
      <x:c r="A7411" s="142"/>
    </x:row>
    <x:row r="7412">
      <x:c r="A7412" s="142"/>
    </x:row>
    <x:row r="7413">
      <x:c r="A7413" s="142"/>
    </x:row>
    <x:row r="7414">
      <x:c r="A7414" s="142"/>
    </x:row>
    <x:row r="7415">
      <x:c r="A7415" s="142"/>
    </x:row>
    <x:row r="7416">
      <x:c r="A7416" s="142"/>
    </x:row>
    <x:row r="7417">
      <x:c r="A7417" s="142"/>
    </x:row>
    <x:row r="7418">
      <x:c r="A7418" s="142"/>
    </x:row>
    <x:row r="7419">
      <x:c r="A7419" s="142"/>
    </x:row>
    <x:row r="7420">
      <x:c r="A7420" s="142"/>
    </x:row>
    <x:row r="7421">
      <x:c r="A7421" s="142"/>
    </x:row>
    <x:row r="7422">
      <x:c r="A7422" s="142"/>
    </x:row>
    <x:row r="7423">
      <x:c r="A7423" s="142"/>
    </x:row>
    <x:row r="7424">
      <x:c r="A7424" s="142"/>
    </x:row>
    <x:row r="7425">
      <x:c r="A7425" s="142"/>
    </x:row>
    <x:row r="7426">
      <x:c r="A7426" s="142"/>
    </x:row>
    <x:row r="7427">
      <x:c r="A7427" s="142"/>
    </x:row>
    <x:row r="7428">
      <x:c r="A7428" s="142"/>
    </x:row>
    <x:row r="7429">
      <x:c r="A7429" s="142"/>
    </x:row>
    <x:row r="7430">
      <x:c r="A7430" s="142"/>
    </x:row>
    <x:row r="7431">
      <x:c r="A7431" s="142"/>
    </x:row>
    <x:row r="7432">
      <x:c r="A7432" s="142"/>
    </x:row>
    <x:row r="7433">
      <x:c r="A7433" s="142"/>
    </x:row>
    <x:row r="7434">
      <x:c r="A7434" s="142"/>
    </x:row>
    <x:row r="7435">
      <x:c r="A7435" s="142"/>
    </x:row>
    <x:row r="7436">
      <x:c r="A7436" s="142"/>
    </x:row>
    <x:row r="7437">
      <x:c r="A7437" s="142"/>
    </x:row>
    <x:row r="7438">
      <x:c r="A7438" s="142"/>
    </x:row>
    <x:row r="7439">
      <x:c r="A7439" s="142"/>
    </x:row>
    <x:row r="7440">
      <x:c r="A7440" s="142"/>
    </x:row>
    <x:row r="7441">
      <x:c r="A7441" s="142"/>
    </x:row>
    <x:row r="7442">
      <x:c r="A7442" s="142"/>
    </x:row>
    <x:row r="7443">
      <x:c r="A7443" s="142"/>
    </x:row>
    <x:row r="7444">
      <x:c r="A7444" s="142"/>
    </x:row>
    <x:row r="7445">
      <x:c r="A7445" s="142"/>
    </x:row>
    <x:row r="7446">
      <x:c r="A7446" s="142"/>
    </x:row>
    <x:row r="7447">
      <x:c r="A7447" s="142"/>
    </x:row>
    <x:row r="7448">
      <x:c r="A7448" s="142"/>
    </x:row>
    <x:row r="7449">
      <x:c r="A7449" s="142"/>
    </x:row>
    <x:row r="7450">
      <x:c r="A7450" s="142"/>
    </x:row>
    <x:row r="7451">
      <x:c r="A7451" s="142"/>
    </x:row>
    <x:row r="7452">
      <x:c r="A7452" s="142"/>
    </x:row>
    <x:row r="7453">
      <x:c r="A7453" s="142"/>
    </x:row>
    <x:row r="7454">
      <x:c r="A7454" s="142"/>
    </x:row>
    <x:row r="7455">
      <x:c r="A7455" s="142"/>
    </x:row>
    <x:row r="7456">
      <x:c r="A7456" s="142"/>
    </x:row>
    <x:row r="7457">
      <x:c r="A7457" s="142"/>
    </x:row>
    <x:row r="7458">
      <x:c r="A7458" s="142"/>
    </x:row>
    <x:row r="7459">
      <x:c r="A7459" s="142"/>
    </x:row>
    <x:row r="7460">
      <x:c r="A7460" s="142"/>
    </x:row>
    <x:row r="7461">
      <x:c r="A7461" s="142"/>
    </x:row>
    <x:row r="7462">
      <x:c r="A7462" s="142"/>
    </x:row>
    <x:row r="7463">
      <x:c r="A7463" s="142"/>
    </x:row>
    <x:row r="7464">
      <x:c r="A7464" s="142"/>
    </x:row>
    <x:row r="7465">
      <x:c r="A7465" s="142"/>
    </x:row>
    <x:row r="7466">
      <x:c r="A7466" s="142"/>
    </x:row>
    <x:row r="7467">
      <x:c r="A7467" s="142"/>
    </x:row>
    <x:row r="7468">
      <x:c r="A7468" s="142"/>
    </x:row>
    <x:row r="7469">
      <x:c r="A7469" s="142"/>
    </x:row>
    <x:row r="7470">
      <x:c r="A7470" s="142"/>
    </x:row>
    <x:row r="7471">
      <x:c r="A7471" s="142"/>
    </x:row>
    <x:row r="7472">
      <x:c r="A7472" s="142"/>
    </x:row>
    <x:row r="7473">
      <x:c r="A7473" s="142"/>
    </x:row>
    <x:row r="7474">
      <x:c r="A7474" s="142"/>
    </x:row>
    <x:row r="7475">
      <x:c r="A7475" s="142"/>
    </x:row>
    <x:row r="7476">
      <x:c r="A7476" s="142"/>
    </x:row>
    <x:row r="7477">
      <x:c r="A7477" s="142"/>
    </x:row>
    <x:row r="7478">
      <x:c r="A7478" s="142"/>
    </x:row>
    <x:row r="7479">
      <x:c r="A7479" s="142"/>
    </x:row>
    <x:row r="7480">
      <x:c r="A7480" s="142"/>
    </x:row>
    <x:row r="7481">
      <x:c r="A7481" s="142"/>
    </x:row>
    <x:row r="7482">
      <x:c r="A7482" s="142"/>
    </x:row>
    <x:row r="7483">
      <x:c r="A7483" s="142"/>
    </x:row>
    <x:row r="7484">
      <x:c r="A7484" s="142"/>
    </x:row>
    <x:row r="7485">
      <x:c r="A7485" s="142"/>
    </x:row>
    <x:row r="7486">
      <x:c r="A7486" s="142"/>
    </x:row>
    <x:row r="7487">
      <x:c r="A7487" s="142"/>
    </x:row>
    <x:row r="7488">
      <x:c r="A7488" s="142"/>
    </x:row>
    <x:row r="7489">
      <x:c r="A7489" s="142"/>
    </x:row>
    <x:row r="7490">
      <x:c r="A7490" s="142"/>
    </x:row>
    <x:row r="7491">
      <x:c r="A7491" s="142"/>
    </x:row>
    <x:row r="7492">
      <x:c r="A7492" s="142"/>
    </x:row>
    <x:row r="7493">
      <x:c r="A7493" s="142"/>
    </x:row>
    <x:row r="7494">
      <x:c r="A7494" s="142"/>
    </x:row>
    <x:row r="7495">
      <x:c r="A7495" s="142"/>
    </x:row>
    <x:row r="7496">
      <x:c r="A7496" s="142"/>
    </x:row>
    <x:row r="7497">
      <x:c r="A7497" s="142"/>
    </x:row>
    <x:row r="7498">
      <x:c r="A7498" s="142"/>
    </x:row>
    <x:row r="7499">
      <x:c r="A7499" s="142"/>
    </x:row>
    <x:row r="7500">
      <x:c r="A7500" s="142"/>
    </x:row>
    <x:row r="7501">
      <x:c r="A7501" s="142"/>
    </x:row>
    <x:row r="7502">
      <x:c r="A7502" s="142"/>
    </x:row>
    <x:row r="7503">
      <x:c r="A7503" s="142"/>
    </x:row>
    <x:row r="7504">
      <x:c r="A7504" s="142"/>
    </x:row>
    <x:row r="7505">
      <x:c r="A7505" s="142"/>
    </x:row>
    <x:row r="7506">
      <x:c r="A7506" s="142"/>
    </x:row>
    <x:row r="7507">
      <x:c r="A7507" s="142"/>
    </x:row>
    <x:row r="7508">
      <x:c r="A7508" s="142"/>
    </x:row>
    <x:row r="7509">
      <x:c r="A7509" s="142"/>
    </x:row>
    <x:row r="7510">
      <x:c r="A7510" s="142"/>
    </x:row>
    <x:row r="7511">
      <x:c r="A7511" s="142"/>
    </x:row>
    <x:row r="7512">
      <x:c r="A7512" s="142"/>
    </x:row>
    <x:row r="7513">
      <x:c r="A7513" s="142"/>
    </x:row>
    <x:row r="7514">
      <x:c r="A7514" s="142"/>
    </x:row>
    <x:row r="7515">
      <x:c r="A7515" s="142"/>
    </x:row>
    <x:row r="7516">
      <x:c r="A7516" s="142"/>
    </x:row>
    <x:row r="7517">
      <x:c r="A7517" s="142"/>
    </x:row>
    <x:row r="7518">
      <x:c r="A7518" s="142"/>
    </x:row>
    <x:row r="7519">
      <x:c r="A7519" s="142"/>
    </x:row>
    <x:row r="7520">
      <x:c r="A7520" s="142"/>
    </x:row>
    <x:row r="7521">
      <x:c r="A7521" s="142"/>
    </x:row>
    <x:row r="7522">
      <x:c r="A7522" s="142"/>
    </x:row>
    <x:row r="7523">
      <x:c r="A7523" s="142"/>
    </x:row>
    <x:row r="7524">
      <x:c r="A7524" s="142"/>
    </x:row>
    <x:row r="7525">
      <x:c r="A7525" s="142"/>
    </x:row>
    <x:row r="7526">
      <x:c r="A7526" s="142"/>
    </x:row>
    <x:row r="7527">
      <x:c r="A7527" s="142"/>
    </x:row>
    <x:row r="7528">
      <x:c r="A7528" s="142"/>
    </x:row>
    <x:row r="7529">
      <x:c r="A7529" s="142"/>
    </x:row>
    <x:row r="7530">
      <x:c r="A7530" s="142"/>
    </x:row>
    <x:row r="7531">
      <x:c r="A7531" s="142"/>
    </x:row>
    <x:row r="7532">
      <x:c r="A7532" s="142"/>
    </x:row>
    <x:row r="7533">
      <x:c r="A7533" s="142"/>
    </x:row>
    <x:row r="7534">
      <x:c r="A7534" s="142"/>
    </x:row>
    <x:row r="7535">
      <x:c r="A7535" s="142"/>
    </x:row>
    <x:row r="7536">
      <x:c r="A7536" s="142"/>
    </x:row>
    <x:row r="7537">
      <x:c r="A7537" s="142"/>
    </x:row>
    <x:row r="7538">
      <x:c r="A7538" s="142"/>
    </x:row>
    <x:row r="7539">
      <x:c r="A7539" s="142"/>
    </x:row>
    <x:row r="7540">
      <x:c r="A7540" s="142"/>
    </x:row>
    <x:row r="7541">
      <x:c r="A7541" s="142"/>
    </x:row>
    <x:row r="7542">
      <x:c r="A7542" s="142"/>
    </x:row>
    <x:row r="7543">
      <x:c r="A7543" s="142"/>
    </x:row>
    <x:row r="7544">
      <x:c r="A7544" s="142"/>
    </x:row>
    <x:row r="7545">
      <x:c r="A7545" s="142"/>
    </x:row>
    <x:row r="7546">
      <x:c r="A7546" s="142"/>
    </x:row>
    <x:row r="7547">
      <x:c r="A7547" s="142"/>
    </x:row>
    <x:row r="7548">
      <x:c r="A7548" s="142"/>
    </x:row>
    <x:row r="7549">
      <x:c r="A7549" s="142"/>
    </x:row>
    <x:row r="7550">
      <x:c r="A7550" s="142"/>
    </x:row>
    <x:row r="7551">
      <x:c r="A7551" s="142"/>
    </x:row>
    <x:row r="7552">
      <x:c r="A7552" s="142"/>
    </x:row>
    <x:row r="7553">
      <x:c r="A7553" s="142"/>
    </x:row>
    <x:row r="7554">
      <x:c r="A7554" s="142"/>
    </x:row>
    <x:row r="7555">
      <x:c r="A7555" s="142"/>
    </x:row>
    <x:row r="7556">
      <x:c r="A7556" s="142"/>
    </x:row>
    <x:row r="7557">
      <x:c r="A7557" s="142"/>
    </x:row>
    <x:row r="7558">
      <x:c r="A7558" s="142"/>
    </x:row>
    <x:row r="7559">
      <x:c r="A7559" s="142"/>
    </x:row>
    <x:row r="7560">
      <x:c r="A7560" s="142"/>
    </x:row>
    <x:row r="7561">
      <x:c r="A7561" s="142"/>
    </x:row>
    <x:row r="7562">
      <x:c r="A7562" s="142"/>
    </x:row>
    <x:row r="7563">
      <x:c r="A7563" s="142"/>
    </x:row>
    <x:row r="7564">
      <x:c r="A7564" s="142"/>
    </x:row>
    <x:row r="7565">
      <x:c r="A7565" s="142"/>
    </x:row>
    <x:row r="7566">
      <x:c r="A7566" s="142"/>
    </x:row>
    <x:row r="7567">
      <x:c r="A7567" s="142"/>
    </x:row>
    <x:row r="7568">
      <x:c r="A7568" s="142"/>
    </x:row>
    <x:row r="7569">
      <x:c r="A7569" s="142"/>
    </x:row>
    <x:row r="7570">
      <x:c r="A7570" s="142"/>
    </x:row>
    <x:row r="7571">
      <x:c r="A7571" s="142"/>
    </x:row>
    <x:row r="7572">
      <x:c r="A7572" s="142"/>
    </x:row>
    <x:row r="7573">
      <x:c r="A7573" s="142"/>
    </x:row>
    <x:row r="7574">
      <x:c r="A7574" s="142"/>
    </x:row>
    <x:row r="7575">
      <x:c r="A7575" s="142"/>
    </x:row>
    <x:row r="7576">
      <x:c r="A7576" s="142"/>
    </x:row>
    <x:row r="7577">
      <x:c r="A7577" s="142"/>
    </x:row>
    <x:row r="7578">
      <x:c r="A7578" s="142"/>
    </x:row>
    <x:row r="7579">
      <x:c r="A7579" s="142"/>
    </x:row>
    <x:row r="7580">
      <x:c r="A7580" s="142"/>
    </x:row>
    <x:row r="7581">
      <x:c r="A7581" s="142"/>
    </x:row>
    <x:row r="7582">
      <x:c r="A7582" s="142"/>
    </x:row>
    <x:row r="7583">
      <x:c r="A7583" s="142"/>
    </x:row>
    <x:row r="7584">
      <x:c r="A7584" s="142"/>
    </x:row>
    <x:row r="7585">
      <x:c r="A7585" s="142"/>
    </x:row>
    <x:row r="7586">
      <x:c r="A7586" s="142"/>
    </x:row>
    <x:row r="7587">
      <x:c r="A7587" s="142"/>
    </x:row>
    <x:row r="7588">
      <x:c r="A7588" s="142"/>
    </x:row>
    <x:row r="7589">
      <x:c r="A7589" s="142"/>
    </x:row>
    <x:row r="7590">
      <x:c r="A7590" s="142"/>
    </x:row>
    <x:row r="7591">
      <x:c r="A7591" s="142"/>
    </x:row>
    <x:row r="7592">
      <x:c r="A7592" s="142"/>
    </x:row>
    <x:row r="7593">
      <x:c r="A7593" s="142"/>
    </x:row>
    <x:row r="7594">
      <x:c r="A7594" s="142"/>
    </x:row>
    <x:row r="7595">
      <x:c r="A7595" s="142"/>
    </x:row>
    <x:row r="7596">
      <x:c r="A7596" s="142"/>
    </x:row>
    <x:row r="7597">
      <x:c r="A7597" s="142"/>
    </x:row>
    <x:row r="7598">
      <x:c r="A7598" s="142"/>
    </x:row>
    <x:row r="7599">
      <x:c r="A7599" s="142"/>
    </x:row>
    <x:row r="7600">
      <x:c r="A7600" s="142"/>
    </x:row>
    <x:row r="7601">
      <x:c r="A7601" s="142"/>
    </x:row>
    <x:row r="7602">
      <x:c r="A7602" s="142"/>
    </x:row>
    <x:row r="7603">
      <x:c r="A7603" s="142"/>
    </x:row>
    <x:row r="7604">
      <x:c r="A7604" s="142"/>
    </x:row>
    <x:row r="7605">
      <x:c r="A7605" s="142"/>
    </x:row>
    <x:row r="7606">
      <x:c r="A7606" s="142"/>
    </x:row>
    <x:row r="7607">
      <x:c r="A7607" s="142"/>
    </x:row>
    <x:row r="7608">
      <x:c r="A7608" s="142"/>
    </x:row>
    <x:row r="7609">
      <x:c r="A7609" s="142"/>
    </x:row>
    <x:row r="7610">
      <x:c r="A7610" s="142"/>
    </x:row>
    <x:row r="7611">
      <x:c r="A7611" s="142"/>
    </x:row>
    <x:row r="7612">
      <x:c r="A7612" s="142"/>
    </x:row>
    <x:row r="7613">
      <x:c r="A7613" s="142"/>
    </x:row>
    <x:row r="7614">
      <x:c r="A7614" s="142"/>
    </x:row>
    <x:row r="7615">
      <x:c r="A7615" s="142"/>
    </x:row>
    <x:row r="7616">
      <x:c r="A7616" s="142"/>
    </x:row>
    <x:row r="7617">
      <x:c r="A7617" s="142"/>
    </x:row>
    <x:row r="7618">
      <x:c r="A7618" s="142"/>
    </x:row>
    <x:row r="7619">
      <x:c r="A7619" s="142"/>
    </x:row>
    <x:row r="7620">
      <x:c r="A7620" s="142"/>
    </x:row>
    <x:row r="7621">
      <x:c r="A7621" s="142"/>
    </x:row>
    <x:row r="7622">
      <x:c r="A7622" s="142"/>
    </x:row>
    <x:row r="7623">
      <x:c r="A7623" s="142"/>
    </x:row>
    <x:row r="7624">
      <x:c r="A7624" s="142"/>
    </x:row>
    <x:row r="7625">
      <x:c r="A7625" s="142"/>
    </x:row>
    <x:row r="7626">
      <x:c r="A7626" s="142"/>
    </x:row>
    <x:row r="7627">
      <x:c r="A7627" s="142"/>
    </x:row>
    <x:row r="7628">
      <x:c r="A7628" s="142"/>
    </x:row>
    <x:row r="7629">
      <x:c r="A7629" s="142"/>
    </x:row>
    <x:row r="7630">
      <x:c r="A7630" s="142"/>
    </x:row>
    <x:row r="7631">
      <x:c r="A7631" s="142"/>
    </x:row>
    <x:row r="7632">
      <x:c r="A7632" s="142"/>
    </x:row>
    <x:row r="7633">
      <x:c r="A7633" s="142"/>
    </x:row>
    <x:row r="7634">
      <x:c r="A7634" s="142"/>
    </x:row>
    <x:row r="7635">
      <x:c r="A7635" s="142"/>
    </x:row>
    <x:row r="7636">
      <x:c r="A7636" s="142"/>
    </x:row>
    <x:row r="7637">
      <x:c r="A7637" s="142"/>
    </x:row>
    <x:row r="7638">
      <x:c r="A7638" s="142"/>
    </x:row>
    <x:row r="7639">
      <x:c r="A7639" s="142"/>
    </x:row>
    <x:row r="7640">
      <x:c r="A7640" s="142"/>
    </x:row>
    <x:row r="7641">
      <x:c r="A7641" s="142"/>
    </x:row>
    <x:row r="7642">
      <x:c r="A7642" s="142"/>
    </x:row>
    <x:row r="7643">
      <x:c r="A7643" s="142"/>
    </x:row>
    <x:row r="7644">
      <x:c r="A7644" s="142"/>
    </x:row>
    <x:row r="7645">
      <x:c r="A7645" s="142"/>
    </x:row>
    <x:row r="7646">
      <x:c r="A7646" s="142"/>
    </x:row>
    <x:row r="7647">
      <x:c r="A7647" s="142"/>
    </x:row>
    <x:row r="7648">
      <x:c r="A7648" s="142"/>
    </x:row>
    <x:row r="7649">
      <x:c r="A7649" s="142"/>
    </x:row>
    <x:row r="7650">
      <x:c r="A7650" s="142"/>
    </x:row>
    <x:row r="7651">
      <x:c r="A7651" s="142"/>
    </x:row>
    <x:row r="7652">
      <x:c r="A7652" s="142"/>
    </x:row>
    <x:row r="7653">
      <x:c r="A7653" s="142"/>
    </x:row>
    <x:row r="7654">
      <x:c r="A7654" s="142"/>
    </x:row>
    <x:row r="7655">
      <x:c r="A7655" s="142"/>
    </x:row>
    <x:row r="7656">
      <x:c r="A7656" s="142"/>
    </x:row>
    <x:row r="7657">
      <x:c r="A7657" s="142"/>
    </x:row>
    <x:row r="7658">
      <x:c r="A7658" s="142"/>
    </x:row>
    <x:row r="7659">
      <x:c r="A7659" s="142"/>
    </x:row>
    <x:row r="7660">
      <x:c r="A7660" s="142"/>
    </x:row>
    <x:row r="7661">
      <x:c r="A7661" s="142"/>
    </x:row>
    <x:row r="7662">
      <x:c r="A7662" s="142"/>
    </x:row>
    <x:row r="7663">
      <x:c r="A7663" s="142"/>
    </x:row>
    <x:row r="7664">
      <x:c r="A7664" s="142"/>
    </x:row>
    <x:row r="7665">
      <x:c r="A7665" s="142"/>
    </x:row>
    <x:row r="7666">
      <x:c r="A7666" s="142"/>
    </x:row>
    <x:row r="7667">
      <x:c r="A7667" s="142"/>
    </x:row>
    <x:row r="7668">
      <x:c r="A7668" s="142"/>
    </x:row>
    <x:row r="7669">
      <x:c r="A7669" s="142"/>
    </x:row>
    <x:row r="7670">
      <x:c r="A7670" s="142"/>
    </x:row>
    <x:row r="7671">
      <x:c r="A7671" s="142"/>
    </x:row>
    <x:row r="7672">
      <x:c r="A7672" s="142"/>
    </x:row>
    <x:row r="7673">
      <x:c r="A7673" s="142"/>
    </x:row>
    <x:row r="7674">
      <x:c r="A7674" s="142"/>
    </x:row>
    <x:row r="7675">
      <x:c r="A7675" s="142"/>
    </x:row>
    <x:row r="7676">
      <x:c r="A7676" s="142"/>
    </x:row>
    <x:row r="7677">
      <x:c r="A7677" s="142"/>
    </x:row>
    <x:row r="7678">
      <x:c r="A7678" s="142"/>
    </x:row>
    <x:row r="7679">
      <x:c r="A7679" s="142"/>
    </x:row>
    <x:row r="7680">
      <x:c r="A7680" s="142"/>
    </x:row>
    <x:row r="7681">
      <x:c r="A7681" s="142"/>
    </x:row>
    <x:row r="7682">
      <x:c r="A7682" s="142"/>
    </x:row>
    <x:row r="7683">
      <x:c r="A7683" s="142"/>
    </x:row>
    <x:row r="7684">
      <x:c r="A7684" s="142"/>
    </x:row>
    <x:row r="7685">
      <x:c r="A7685" s="142"/>
    </x:row>
    <x:row r="7686">
      <x:c r="A7686" s="142"/>
    </x:row>
    <x:row r="7687">
      <x:c r="A7687" s="142"/>
    </x:row>
    <x:row r="7688">
      <x:c r="A7688" s="142"/>
    </x:row>
    <x:row r="7689">
      <x:c r="A7689" s="142"/>
    </x:row>
    <x:row r="7690">
      <x:c r="A7690" s="142"/>
    </x:row>
    <x:row r="7691">
      <x:c r="A7691" s="142"/>
    </x:row>
    <x:row r="7692">
      <x:c r="A7692" s="142"/>
    </x:row>
    <x:row r="7693">
      <x:c r="A7693" s="142"/>
    </x:row>
    <x:row r="7694">
      <x:c r="A7694" s="142"/>
    </x:row>
    <x:row r="7695">
      <x:c r="A7695" s="142"/>
    </x:row>
    <x:row r="7696">
      <x:c r="A7696" s="142"/>
    </x:row>
    <x:row r="7697">
      <x:c r="A7697" s="142"/>
    </x:row>
    <x:row r="7698">
      <x:c r="A7698" s="142"/>
    </x:row>
    <x:row r="7699">
      <x:c r="A7699" s="142"/>
    </x:row>
    <x:row r="7700">
      <x:c r="A7700" s="142"/>
    </x:row>
    <x:row r="7701">
      <x:c r="A7701" s="142"/>
    </x:row>
    <x:row r="7702">
      <x:c r="A7702" s="142"/>
    </x:row>
    <x:row r="7703">
      <x:c r="A7703" s="142"/>
    </x:row>
    <x:row r="7704">
      <x:c r="A7704" s="142"/>
    </x:row>
    <x:row r="7705">
      <x:c r="A7705" s="142"/>
    </x:row>
    <x:row r="7706">
      <x:c r="A7706" s="142"/>
    </x:row>
    <x:row r="7707">
      <x:c r="A7707" s="142"/>
    </x:row>
    <x:row r="7708">
      <x:c r="A7708" s="142"/>
    </x:row>
    <x:row r="7709">
      <x:c r="A7709" s="142"/>
    </x:row>
    <x:row r="7710">
      <x:c r="A7710" s="142"/>
    </x:row>
    <x:row r="7711">
      <x:c r="A7711" s="142"/>
    </x:row>
    <x:row r="7712">
      <x:c r="A7712" s="142"/>
    </x:row>
    <x:row r="7713">
      <x:c r="A7713" s="142"/>
    </x:row>
    <x:row r="7714">
      <x:c r="A7714" s="142"/>
    </x:row>
    <x:row r="7715">
      <x:c r="A7715" s="142"/>
    </x:row>
    <x:row r="7716">
      <x:c r="A7716" s="142"/>
    </x:row>
    <x:row r="7717">
      <x:c r="A7717" s="142"/>
    </x:row>
    <x:row r="7718">
      <x:c r="A7718" s="142"/>
    </x:row>
    <x:row r="7719">
      <x:c r="A7719" s="142"/>
    </x:row>
    <x:row r="7720">
      <x:c r="A7720" s="142"/>
    </x:row>
    <x:row r="7721">
      <x:c r="A7721" s="142"/>
    </x:row>
    <x:row r="7722">
      <x:c r="A7722" s="142"/>
    </x:row>
    <x:row r="7723">
      <x:c r="A7723" s="142"/>
    </x:row>
    <x:row r="7724">
      <x:c r="A7724" s="142"/>
    </x:row>
    <x:row r="7725">
      <x:c r="A7725" s="142"/>
    </x:row>
    <x:row r="7726">
      <x:c r="A7726" s="142"/>
    </x:row>
    <x:row r="7727">
      <x:c r="A7727" s="142"/>
    </x:row>
    <x:row r="7728">
      <x:c r="A7728" s="142"/>
    </x:row>
    <x:row r="7729">
      <x:c r="A7729" s="142"/>
    </x:row>
    <x:row r="7730">
      <x:c r="A7730" s="142"/>
    </x:row>
    <x:row r="7731">
      <x:c r="A7731" s="142"/>
    </x:row>
    <x:row r="7732">
      <x:c r="A7732" s="142"/>
    </x:row>
    <x:row r="7733">
      <x:c r="A7733" s="142"/>
    </x:row>
    <x:row r="7734">
      <x:c r="A7734" s="142"/>
    </x:row>
    <x:row r="7735">
      <x:c r="A7735" s="142"/>
    </x:row>
    <x:row r="7736">
      <x:c r="A7736" s="142"/>
    </x:row>
    <x:row r="7737">
      <x:c r="A7737" s="142"/>
    </x:row>
    <x:row r="7738">
      <x:c r="A7738" s="142"/>
    </x:row>
    <x:row r="7739">
      <x:c r="A7739" s="142"/>
    </x:row>
    <x:row r="7740">
      <x:c r="A7740" s="142"/>
    </x:row>
    <x:row r="7741">
      <x:c r="A7741" s="142"/>
    </x:row>
    <x:row r="7742">
      <x:c r="A7742" s="142"/>
    </x:row>
    <x:row r="7743">
      <x:c r="A7743" s="142"/>
    </x:row>
    <x:row r="7744">
      <x:c r="A7744" s="142"/>
    </x:row>
    <x:row r="7745">
      <x:c r="A7745" s="142"/>
    </x:row>
    <x:row r="7746">
      <x:c r="A7746" s="142"/>
    </x:row>
    <x:row r="7747">
      <x:c r="A7747" s="142"/>
    </x:row>
    <x:row r="7748">
      <x:c r="A7748" s="142"/>
    </x:row>
    <x:row r="7749">
      <x:c r="A7749" s="142"/>
    </x:row>
    <x:row r="7750">
      <x:c r="A7750" s="142"/>
    </x:row>
    <x:row r="7751">
      <x:c r="A7751" s="142"/>
    </x:row>
    <x:row r="7752">
      <x:c r="A7752" s="142"/>
    </x:row>
    <x:row r="7753">
      <x:c r="A7753" s="142"/>
    </x:row>
    <x:row r="7754">
      <x:c r="A7754" s="142"/>
    </x:row>
    <x:row r="7755">
      <x:c r="A7755" s="142"/>
    </x:row>
    <x:row r="7756">
      <x:c r="A7756" s="142"/>
    </x:row>
    <x:row r="7757">
      <x:c r="A7757" s="142"/>
    </x:row>
    <x:row r="7758">
      <x:c r="A7758" s="142"/>
    </x:row>
    <x:row r="7759">
      <x:c r="A7759" s="142"/>
    </x:row>
    <x:row r="7760">
      <x:c r="A7760" s="142"/>
    </x:row>
    <x:row r="7761">
      <x:c r="A7761" s="142"/>
    </x:row>
    <x:row r="7762">
      <x:c r="A7762" s="142"/>
    </x:row>
    <x:row r="7763">
      <x:c r="A7763" s="142"/>
    </x:row>
    <x:row r="7764">
      <x:c r="A7764" s="142"/>
    </x:row>
    <x:row r="7765">
      <x:c r="A7765" s="142"/>
    </x:row>
    <x:row r="7766">
      <x:c r="A7766" s="142"/>
    </x:row>
    <x:row r="7767">
      <x:c r="A7767" s="142"/>
    </x:row>
    <x:row r="7768">
      <x:c r="A7768" s="142"/>
    </x:row>
    <x:row r="7769">
      <x:c r="A7769" s="142"/>
    </x:row>
    <x:row r="7770">
      <x:c r="A7770" s="142"/>
    </x:row>
    <x:row r="7771">
      <x:c r="A7771" s="142"/>
    </x:row>
    <x:row r="7772">
      <x:c r="A7772" s="142"/>
    </x:row>
    <x:row r="7773">
      <x:c r="A7773" s="142"/>
    </x:row>
    <x:row r="7774">
      <x:c r="A7774" s="142"/>
    </x:row>
    <x:row r="7775">
      <x:c r="A7775" s="142"/>
    </x:row>
    <x:row r="7776">
      <x:c r="A7776" s="142"/>
    </x:row>
    <x:row r="7777">
      <x:c r="A7777" s="142"/>
    </x:row>
    <x:row r="7778">
      <x:c r="A7778" s="142"/>
    </x:row>
    <x:row r="7779">
      <x:c r="A7779" s="142"/>
    </x:row>
    <x:row r="7780">
      <x:c r="A7780" s="142"/>
    </x:row>
    <x:row r="7781">
      <x:c r="A7781" s="142"/>
    </x:row>
    <x:row r="7782">
      <x:c r="A7782" s="142"/>
    </x:row>
    <x:row r="7783">
      <x:c r="A7783" s="142"/>
    </x:row>
    <x:row r="7784">
      <x:c r="A7784" s="142"/>
    </x:row>
    <x:row r="7785">
      <x:c r="A7785" s="142"/>
    </x:row>
    <x:row r="7786">
      <x:c r="A7786" s="142"/>
    </x:row>
    <x:row r="7787">
      <x:c r="A7787" s="142"/>
    </x:row>
    <x:row r="7788">
      <x:c r="A7788" s="142"/>
    </x:row>
    <x:row r="7789">
      <x:c r="A7789" s="142"/>
    </x:row>
    <x:row r="7790">
      <x:c r="A7790" s="142"/>
    </x:row>
    <x:row r="7791">
      <x:c r="A7791" s="142"/>
    </x:row>
    <x:row r="7792">
      <x:c r="A7792" s="142"/>
    </x:row>
    <x:row r="7793">
      <x:c r="A7793" s="142"/>
    </x:row>
    <x:row r="7794">
      <x:c r="A7794" s="142"/>
    </x:row>
    <x:row r="7795">
      <x:c r="A7795" s="142"/>
    </x:row>
    <x:row r="7796">
      <x:c r="A7796" s="142"/>
    </x:row>
    <x:row r="7797">
      <x:c r="A7797" s="142"/>
    </x:row>
    <x:row r="7798">
      <x:c r="A7798" s="142"/>
    </x:row>
    <x:row r="7799">
      <x:c r="A7799" s="142"/>
    </x:row>
    <x:row r="7800">
      <x:c r="A7800" s="142"/>
    </x:row>
    <x:row r="7801">
      <x:c r="A7801" s="142"/>
    </x:row>
    <x:row r="7802">
      <x:c r="A7802" s="142"/>
    </x:row>
    <x:row r="7803">
      <x:c r="A7803" s="142"/>
    </x:row>
    <x:row r="7804">
      <x:c r="A7804" s="142"/>
    </x:row>
    <x:row r="7805">
      <x:c r="A7805" s="142"/>
    </x:row>
    <x:row r="7806">
      <x:c r="A7806" s="142"/>
    </x:row>
    <x:row r="7807">
      <x:c r="A7807" s="142"/>
    </x:row>
    <x:row r="7808">
      <x:c r="A7808" s="142"/>
    </x:row>
    <x:row r="7809">
      <x:c r="A7809" s="142"/>
    </x:row>
    <x:row r="7810">
      <x:c r="A7810" s="142"/>
    </x:row>
    <x:row r="7811">
      <x:c r="A7811" s="142"/>
    </x:row>
    <x:row r="7812">
      <x:c r="A7812" s="142"/>
    </x:row>
    <x:row r="7813">
      <x:c r="A7813" s="142"/>
    </x:row>
    <x:row r="7814">
      <x:c r="A7814" s="142"/>
    </x:row>
    <x:row r="7815">
      <x:c r="A7815" s="142"/>
    </x:row>
    <x:row r="7816">
      <x:c r="A7816" s="142"/>
    </x:row>
    <x:row r="7817">
      <x:c r="A7817" s="142"/>
    </x:row>
    <x:row r="7818">
      <x:c r="A7818" s="142"/>
    </x:row>
    <x:row r="7819">
      <x:c r="A7819" s="142"/>
    </x:row>
    <x:row r="7820">
      <x:c r="A7820" s="142"/>
    </x:row>
    <x:row r="7821">
      <x:c r="A7821" s="142"/>
    </x:row>
    <x:row r="7822">
      <x:c r="A7822" s="142"/>
    </x:row>
    <x:row r="7823">
      <x:c r="A7823" s="142"/>
    </x:row>
    <x:row r="7824">
      <x:c r="A7824" s="142"/>
    </x:row>
    <x:row r="7825">
      <x:c r="A7825" s="142"/>
    </x:row>
    <x:row r="7826">
      <x:c r="A7826" s="142"/>
    </x:row>
    <x:row r="7827">
      <x:c r="A7827" s="142"/>
    </x:row>
    <x:row r="7828">
      <x:c r="A7828" s="142"/>
    </x:row>
    <x:row r="7829">
      <x:c r="A7829" s="142"/>
    </x:row>
    <x:row r="7830">
      <x:c r="A7830" s="142"/>
    </x:row>
    <x:row r="7831">
      <x:c r="A7831" s="142"/>
    </x:row>
    <x:row r="7832">
      <x:c r="A7832" s="142"/>
    </x:row>
    <x:row r="7833">
      <x:c r="A7833" s="142"/>
    </x:row>
    <x:row r="7834">
      <x:c r="A7834" s="142"/>
    </x:row>
    <x:row r="7835">
      <x:c r="A7835" s="142"/>
    </x:row>
    <x:row r="7836">
      <x:c r="A7836" s="142"/>
    </x:row>
    <x:row r="7837">
      <x:c r="A7837" s="142"/>
    </x:row>
    <x:row r="7838">
      <x:c r="A7838" s="142"/>
    </x:row>
    <x:row r="7839">
      <x:c r="A7839" s="142"/>
    </x:row>
    <x:row r="7840">
      <x:c r="A7840" s="142"/>
    </x:row>
    <x:row r="7841">
      <x:c r="A7841" s="142"/>
    </x:row>
    <x:row r="7842">
      <x:c r="A7842" s="142"/>
    </x:row>
    <x:row r="7843">
      <x:c r="A7843" s="142"/>
    </x:row>
    <x:row r="7844">
      <x:c r="A7844" s="142"/>
    </x:row>
    <x:row r="7845">
      <x:c r="A7845" s="142"/>
    </x:row>
    <x:row r="7846">
      <x:c r="A7846" s="142"/>
    </x:row>
    <x:row r="7847">
      <x:c r="A7847" s="142"/>
    </x:row>
    <x:row r="7848">
      <x:c r="A7848" s="142"/>
    </x:row>
    <x:row r="7849">
      <x:c r="A7849" s="142"/>
    </x:row>
    <x:row r="7850">
      <x:c r="A7850" s="142"/>
    </x:row>
    <x:row r="7851">
      <x:c r="A7851" s="142"/>
    </x:row>
    <x:row r="7852">
      <x:c r="A7852" s="142"/>
    </x:row>
    <x:row r="7853">
      <x:c r="A7853" s="142"/>
    </x:row>
    <x:row r="7854">
      <x:c r="A7854" s="142"/>
    </x:row>
    <x:row r="7855">
      <x:c r="A7855" s="142"/>
    </x:row>
    <x:row r="7856">
      <x:c r="A7856" s="142"/>
    </x:row>
    <x:row r="7857">
      <x:c r="A7857" s="142"/>
    </x:row>
    <x:row r="7858">
      <x:c r="A7858" s="142"/>
    </x:row>
    <x:row r="7859">
      <x:c r="A7859" s="142"/>
    </x:row>
    <x:row r="7860">
      <x:c r="A7860" s="142"/>
    </x:row>
    <x:row r="7861">
      <x:c r="A7861" s="142"/>
    </x:row>
    <x:row r="7862">
      <x:c r="A7862" s="142"/>
    </x:row>
    <x:row r="7863">
      <x:c r="A7863" s="142"/>
    </x:row>
    <x:row r="7864">
      <x:c r="A7864" s="142"/>
    </x:row>
    <x:row r="7865">
      <x:c r="A7865" s="142"/>
    </x:row>
    <x:row r="7866">
      <x:c r="A7866" s="142"/>
    </x:row>
    <x:row r="7867">
      <x:c r="A7867" s="142"/>
    </x:row>
    <x:row r="7868">
      <x:c r="A7868" s="142"/>
    </x:row>
    <x:row r="7869">
      <x:c r="A7869" s="142"/>
    </x:row>
    <x:row r="7870">
      <x:c r="A7870" s="142"/>
    </x:row>
    <x:row r="7871">
      <x:c r="A7871" s="142"/>
    </x:row>
    <x:row r="7872">
      <x:c r="A7872" s="142"/>
    </x:row>
    <x:row r="7873">
      <x:c r="A7873" s="142"/>
    </x:row>
    <x:row r="7874">
      <x:c r="A7874" s="142"/>
    </x:row>
    <x:row r="7875">
      <x:c r="A7875" s="142"/>
    </x:row>
    <x:row r="7876">
      <x:c r="A7876" s="142"/>
    </x:row>
    <x:row r="7877">
      <x:c r="A7877" s="142"/>
    </x:row>
    <x:row r="7878">
      <x:c r="A7878" s="142"/>
    </x:row>
    <x:row r="7879">
      <x:c r="A7879" s="142"/>
    </x:row>
    <x:row r="7880">
      <x:c r="A7880" s="142"/>
    </x:row>
    <x:row r="7881">
      <x:c r="A7881" s="142"/>
    </x:row>
    <x:row r="7882">
      <x:c r="A7882" s="142"/>
    </x:row>
    <x:row r="7883">
      <x:c r="A7883" s="142"/>
    </x:row>
    <x:row r="7884">
      <x:c r="A7884" s="142"/>
    </x:row>
    <x:row r="7885">
      <x:c r="A7885" s="142"/>
    </x:row>
    <x:row r="7886">
      <x:c r="A7886" s="142"/>
    </x:row>
    <x:row r="7887">
      <x:c r="A7887" s="142"/>
    </x:row>
    <x:row r="7888">
      <x:c r="A7888" s="142"/>
    </x:row>
    <x:row r="7889">
      <x:c r="A7889" s="142"/>
    </x:row>
    <x:row r="7890">
      <x:c r="A7890" s="142"/>
    </x:row>
    <x:row r="7891">
      <x:c r="A7891" s="142"/>
    </x:row>
    <x:row r="7892">
      <x:c r="A7892" s="142"/>
    </x:row>
    <x:row r="7893">
      <x:c r="A7893" s="142"/>
    </x:row>
    <x:row r="7894">
      <x:c r="A7894" s="142"/>
    </x:row>
    <x:row r="7895">
      <x:c r="A7895" s="142"/>
    </x:row>
    <x:row r="7896">
      <x:c r="A7896" s="142"/>
    </x:row>
    <x:row r="7897">
      <x:c r="A7897" s="142"/>
    </x:row>
    <x:row r="7898">
      <x:c r="A7898" s="142"/>
    </x:row>
    <x:row r="7899">
      <x:c r="A7899" s="142"/>
    </x:row>
    <x:row r="7900">
      <x:c r="A7900" s="142"/>
    </x:row>
    <x:row r="7901">
      <x:c r="A7901" s="142"/>
    </x:row>
    <x:row r="7902">
      <x:c r="A7902" s="142"/>
    </x:row>
    <x:row r="7903">
      <x:c r="A7903" s="142"/>
    </x:row>
    <x:row r="7904">
      <x:c r="A7904" s="142"/>
    </x:row>
    <x:row r="7905">
      <x:c r="A7905" s="142"/>
    </x:row>
    <x:row r="7906">
      <x:c r="A7906" s="142"/>
    </x:row>
    <x:row r="7907">
      <x:c r="A7907" s="142"/>
    </x:row>
    <x:row r="7908">
      <x:c r="A7908" s="142"/>
    </x:row>
    <x:row r="7909">
      <x:c r="A7909" s="142"/>
    </x:row>
    <x:row r="7910">
      <x:c r="A7910" s="142"/>
    </x:row>
    <x:row r="7911">
      <x:c r="A7911" s="142"/>
    </x:row>
    <x:row r="7912">
      <x:c r="A7912" s="142"/>
    </x:row>
    <x:row r="7913">
      <x:c r="A7913" s="142"/>
    </x:row>
    <x:row r="7914">
      <x:c r="A7914" s="142"/>
    </x:row>
    <x:row r="7915">
      <x:c r="A7915" s="142"/>
    </x:row>
    <x:row r="7916">
      <x:c r="A7916" s="142"/>
    </x:row>
    <x:row r="7917">
      <x:c r="A7917" s="142"/>
    </x:row>
    <x:row r="7918">
      <x:c r="A7918" s="142"/>
    </x:row>
    <x:row r="7919">
      <x:c r="A7919" s="142"/>
    </x:row>
    <x:row r="7920">
      <x:c r="A7920" s="142"/>
    </x:row>
    <x:row r="7921">
      <x:c r="A7921" s="142"/>
    </x:row>
    <x:row r="7922">
      <x:c r="A7922" s="142"/>
    </x:row>
    <x:row r="7923">
      <x:c r="A7923" s="142"/>
    </x:row>
    <x:row r="7924">
      <x:c r="A7924" s="142"/>
    </x:row>
    <x:row r="7925">
      <x:c r="A7925" s="142"/>
    </x:row>
    <x:row r="7926">
      <x:c r="A7926" s="142"/>
    </x:row>
    <x:row r="7927">
      <x:c r="A7927" s="142"/>
    </x:row>
    <x:row r="7928">
      <x:c r="A7928" s="142"/>
    </x:row>
    <x:row r="7929">
      <x:c r="A7929" s="142"/>
    </x:row>
    <x:row r="7930">
      <x:c r="A7930" s="142"/>
    </x:row>
    <x:row r="7931">
      <x:c r="A7931" s="142"/>
    </x:row>
    <x:row r="7932">
      <x:c r="A7932" s="142"/>
    </x:row>
    <x:row r="7933">
      <x:c r="A7933" s="142"/>
    </x:row>
    <x:row r="7934">
      <x:c r="A7934" s="142"/>
    </x:row>
    <x:row r="7935">
      <x:c r="A7935" s="142"/>
    </x:row>
    <x:row r="7936">
      <x:c r="A7936" s="142"/>
    </x:row>
    <x:row r="7937">
      <x:c r="A7937" s="142"/>
    </x:row>
    <x:row r="7938">
      <x:c r="A7938" s="142"/>
    </x:row>
    <x:row r="7939">
      <x:c r="A7939" s="142"/>
    </x:row>
    <x:row r="7940">
      <x:c r="A7940" s="142"/>
    </x:row>
    <x:row r="7941">
      <x:c r="A7941" s="142"/>
    </x:row>
    <x:row r="7942">
      <x:c r="A7942" s="142"/>
    </x:row>
    <x:row r="7943">
      <x:c r="A7943" s="142"/>
    </x:row>
    <x:row r="7944">
      <x:c r="A7944" s="142"/>
    </x:row>
    <x:row r="7945">
      <x:c r="A7945" s="142"/>
    </x:row>
    <x:row r="7946">
      <x:c r="A7946" s="142"/>
    </x:row>
    <x:row r="7947">
      <x:c r="A7947" s="142"/>
    </x:row>
    <x:row r="7948">
      <x:c r="A7948" s="142"/>
    </x:row>
    <x:row r="7949">
      <x:c r="A7949" s="142"/>
    </x:row>
    <x:row r="7950">
      <x:c r="A7950" s="142"/>
    </x:row>
    <x:row r="7951">
      <x:c r="A7951" s="142"/>
    </x:row>
    <x:row r="7952">
      <x:c r="A7952" s="142"/>
    </x:row>
    <x:row r="7953">
      <x:c r="A7953" s="142"/>
    </x:row>
    <x:row r="7954">
      <x:c r="A7954" s="142"/>
    </x:row>
    <x:row r="7955">
      <x:c r="A7955" s="142"/>
    </x:row>
    <x:row r="7956">
      <x:c r="A7956" s="142"/>
    </x:row>
    <x:row r="7957">
      <x:c r="A7957" s="142"/>
    </x:row>
    <x:row r="7958">
      <x:c r="A7958" s="142"/>
    </x:row>
    <x:row r="7959">
      <x:c r="A7959" s="142"/>
    </x:row>
    <x:row r="7960">
      <x:c r="A7960" s="142"/>
    </x:row>
    <x:row r="7961">
      <x:c r="A7961" s="142"/>
    </x:row>
    <x:row r="7962">
      <x:c r="A7962" s="142"/>
    </x:row>
    <x:row r="7963">
      <x:c r="A7963" s="142"/>
    </x:row>
    <x:row r="7964">
      <x:c r="A7964" s="142"/>
    </x:row>
    <x:row r="7965">
      <x:c r="A7965" s="142"/>
    </x:row>
    <x:row r="7966">
      <x:c r="A7966" s="142"/>
    </x:row>
    <x:row r="7967">
      <x:c r="A7967" s="142"/>
    </x:row>
    <x:row r="7968">
      <x:c r="A7968" s="142"/>
    </x:row>
    <x:row r="7969">
      <x:c r="A7969" s="142"/>
    </x:row>
    <x:row r="7970">
      <x:c r="A7970" s="142"/>
    </x:row>
    <x:row r="7971">
      <x:c r="A7971" s="142"/>
    </x:row>
    <x:row r="7972">
      <x:c r="A7972" s="142"/>
    </x:row>
    <x:row r="7973">
      <x:c r="A7973" s="142"/>
    </x:row>
    <x:row r="7974">
      <x:c r="A7974" s="142"/>
    </x:row>
    <x:row r="7975">
      <x:c r="A7975" s="142"/>
    </x:row>
    <x:row r="7976">
      <x:c r="A7976" s="142"/>
    </x:row>
    <x:row r="7977">
      <x:c r="A7977" s="142"/>
    </x:row>
    <x:row r="7978">
      <x:c r="A7978" s="142"/>
    </x:row>
    <x:row r="7979">
      <x:c r="A7979" s="142"/>
    </x:row>
    <x:row r="7980">
      <x:c r="A7980" s="142"/>
    </x:row>
    <x:row r="7981">
      <x:c r="A7981" s="142"/>
    </x:row>
    <x:row r="7982">
      <x:c r="A7982" s="142"/>
    </x:row>
    <x:row r="7983">
      <x:c r="A7983" s="142"/>
    </x:row>
    <x:row r="7984">
      <x:c r="A7984" s="142"/>
    </x:row>
    <x:row r="7985">
      <x:c r="A7985" s="142"/>
    </x:row>
    <x:row r="7986">
      <x:c r="A7986" s="142"/>
    </x:row>
    <x:row r="7987">
      <x:c r="A7987" s="142"/>
    </x:row>
    <x:row r="7988">
      <x:c r="A7988" s="142"/>
    </x:row>
    <x:row r="7989">
      <x:c r="A7989" s="142"/>
    </x:row>
    <x:row r="7990">
      <x:c r="A7990" s="142"/>
    </x:row>
    <x:row r="7991">
      <x:c r="A7991" s="142"/>
    </x:row>
    <x:row r="7992">
      <x:c r="A7992" s="142"/>
    </x:row>
    <x:row r="7993">
      <x:c r="A7993" s="142"/>
    </x:row>
    <x:row r="7994">
      <x:c r="A7994" s="142"/>
    </x:row>
    <x:row r="7995">
      <x:c r="A7995" s="142"/>
    </x:row>
    <x:row r="7996">
      <x:c r="A7996" s="142"/>
    </x:row>
    <x:row r="7997">
      <x:c r="A7997" s="142"/>
    </x:row>
    <x:row r="7998">
      <x:c r="A7998" s="142"/>
    </x:row>
    <x:row r="7999">
      <x:c r="A7999" s="142"/>
    </x:row>
    <x:row r="8000">
      <x:c r="A8000" s="142"/>
    </x:row>
    <x:row r="8001">
      <x:c r="A8001" s="142"/>
    </x:row>
    <x:row r="8002">
      <x:c r="A8002" s="142"/>
    </x:row>
    <x:row r="8003">
      <x:c r="A8003" s="142"/>
    </x:row>
    <x:row r="8004">
      <x:c r="A8004" s="142"/>
    </x:row>
    <x:row r="8005">
      <x:c r="A8005" s="142"/>
    </x:row>
    <x:row r="8006">
      <x:c r="A8006" s="142"/>
    </x:row>
    <x:row r="8007">
      <x:c r="A8007" s="142"/>
    </x:row>
    <x:row r="8008">
      <x:c r="A8008" s="142"/>
    </x:row>
    <x:row r="8009">
      <x:c r="A8009" s="142"/>
    </x:row>
    <x:row r="8010">
      <x:c r="A8010" s="142"/>
    </x:row>
    <x:row r="8011">
      <x:c r="A8011" s="142"/>
    </x:row>
    <x:row r="8012">
      <x:c r="A8012" s="142"/>
    </x:row>
    <x:row r="8013">
      <x:c r="A8013" s="142"/>
    </x:row>
    <x:row r="8014">
      <x:c r="A8014" s="142"/>
    </x:row>
    <x:row r="8015">
      <x:c r="A8015" s="142"/>
    </x:row>
    <x:row r="8016">
      <x:c r="A8016" s="142"/>
    </x:row>
    <x:row r="8017">
      <x:c r="A8017" s="142"/>
    </x:row>
    <x:row r="8018">
      <x:c r="A8018" s="142"/>
    </x:row>
    <x:row r="8019">
      <x:c r="A8019" s="142"/>
    </x:row>
    <x:row r="8020">
      <x:c r="A8020" s="142"/>
    </x:row>
    <x:row r="8021">
      <x:c r="A8021" s="142"/>
    </x:row>
    <x:row r="8022">
      <x:c r="A8022" s="142"/>
    </x:row>
    <x:row r="8023">
      <x:c r="A8023" s="142"/>
    </x:row>
    <x:row r="8024">
      <x:c r="A8024" s="142"/>
    </x:row>
    <x:row r="8025">
      <x:c r="A8025" s="142"/>
    </x:row>
    <x:row r="8026">
      <x:c r="A8026" s="142"/>
    </x:row>
    <x:row r="8027">
      <x:c r="A8027" s="142"/>
    </x:row>
    <x:row r="8028">
      <x:c r="A8028" s="142"/>
    </x:row>
    <x:row r="8029">
      <x:c r="A8029" s="142"/>
    </x:row>
    <x:row r="8030">
      <x:c r="A8030" s="142"/>
    </x:row>
    <x:row r="8031">
      <x:c r="A8031" s="142"/>
    </x:row>
    <x:row r="8032">
      <x:c r="A8032" s="142"/>
    </x:row>
    <x:row r="8033">
      <x:c r="A8033" s="142"/>
    </x:row>
    <x:row r="8034">
      <x:c r="A8034" s="142"/>
    </x:row>
    <x:row r="8035">
      <x:c r="A8035" s="142"/>
    </x:row>
    <x:row r="8036">
      <x:c r="A8036" s="142"/>
    </x:row>
    <x:row r="8037">
      <x:c r="A8037" s="142"/>
    </x:row>
    <x:row r="8038">
      <x:c r="A8038" s="142"/>
    </x:row>
    <x:row r="8039">
      <x:c r="A8039" s="142"/>
    </x:row>
    <x:row r="8040">
      <x:c r="A8040" s="142"/>
    </x:row>
    <x:row r="8041">
      <x:c r="A8041" s="142"/>
    </x:row>
    <x:row r="8042">
      <x:c r="A8042" s="142"/>
    </x:row>
    <x:row r="8043">
      <x:c r="A8043" s="142"/>
    </x:row>
    <x:row r="8044">
      <x:c r="A8044" s="142"/>
    </x:row>
    <x:row r="8045">
      <x:c r="A8045" s="142"/>
    </x:row>
    <x:row r="8046">
      <x:c r="A8046" s="142"/>
    </x:row>
    <x:row r="8047">
      <x:c r="A8047" s="142"/>
    </x:row>
    <x:row r="8048">
      <x:c r="A8048" s="142"/>
    </x:row>
    <x:row r="8049">
      <x:c r="A8049" s="142"/>
    </x:row>
    <x:row r="8050">
      <x:c r="A8050" s="142"/>
    </x:row>
    <x:row r="8051">
      <x:c r="A8051" s="142"/>
    </x:row>
    <x:row r="8052">
      <x:c r="A8052" s="142"/>
    </x:row>
    <x:row r="8053">
      <x:c r="A8053" s="142"/>
    </x:row>
    <x:row r="8054">
      <x:c r="A8054" s="142"/>
    </x:row>
    <x:row r="8055">
      <x:c r="A8055" s="142"/>
    </x:row>
    <x:row r="8056">
      <x:c r="A8056" s="142"/>
    </x:row>
    <x:row r="8057">
      <x:c r="A8057" s="142"/>
    </x:row>
    <x:row r="8058">
      <x:c r="A8058" s="142"/>
    </x:row>
    <x:row r="8059">
      <x:c r="A8059" s="142"/>
    </x:row>
    <x:row r="8060">
      <x:c r="A8060" s="142"/>
    </x:row>
    <x:row r="8061">
      <x:c r="A8061" s="142"/>
    </x:row>
    <x:row r="8062">
      <x:c r="A8062" s="142"/>
    </x:row>
    <x:row r="8063">
      <x:c r="A8063" s="142"/>
    </x:row>
    <x:row r="8064">
      <x:c r="A8064" s="142"/>
    </x:row>
    <x:row r="8065">
      <x:c r="A8065" s="142"/>
    </x:row>
    <x:row r="8066">
      <x:c r="A8066" s="142"/>
    </x:row>
    <x:row r="8067">
      <x:c r="A8067" s="142"/>
    </x:row>
    <x:row r="8068">
      <x:c r="A8068" s="142"/>
    </x:row>
    <x:row r="8069">
      <x:c r="A8069" s="142"/>
    </x:row>
    <x:row r="8070">
      <x:c r="A8070" s="142"/>
    </x:row>
    <x:row r="8071">
      <x:c r="A8071" s="142"/>
    </x:row>
    <x:row r="8072">
      <x:c r="A8072" s="142"/>
    </x:row>
    <x:row r="8073">
      <x:c r="A8073" s="142"/>
    </x:row>
    <x:row r="8074">
      <x:c r="A8074" s="142"/>
    </x:row>
    <x:row r="8075">
      <x:c r="A8075" s="142"/>
    </x:row>
    <x:row r="8076">
      <x:c r="A8076" s="142"/>
    </x:row>
    <x:row r="8077">
      <x:c r="A8077" s="142"/>
    </x:row>
    <x:row r="8078">
      <x:c r="A8078" s="142"/>
    </x:row>
    <x:row r="8079">
      <x:c r="A8079" s="142"/>
    </x:row>
    <x:row r="8080">
      <x:c r="A8080" s="142"/>
    </x:row>
    <x:row r="8081">
      <x:c r="A8081" s="142"/>
    </x:row>
    <x:row r="8082">
      <x:c r="A8082" s="142"/>
    </x:row>
    <x:row r="8083">
      <x:c r="A8083" s="142"/>
    </x:row>
    <x:row r="8084">
      <x:c r="A8084" s="142"/>
    </x:row>
    <x:row r="8085">
      <x:c r="A8085" s="142"/>
    </x:row>
    <x:row r="8086">
      <x:c r="A8086" s="142"/>
    </x:row>
    <x:row r="8087">
      <x:c r="A8087" s="142"/>
    </x:row>
    <x:row r="8088">
      <x:c r="A8088" s="142"/>
    </x:row>
    <x:row r="8089">
      <x:c r="A8089" s="142"/>
    </x:row>
    <x:row r="8090">
      <x:c r="A8090" s="142"/>
    </x:row>
    <x:row r="8091">
      <x:c r="A8091" s="142"/>
    </x:row>
    <x:row r="8092">
      <x:c r="A8092" s="142"/>
    </x:row>
    <x:row r="8093">
      <x:c r="A8093" s="142"/>
    </x:row>
    <x:row r="8094">
      <x:c r="A8094" s="142"/>
    </x:row>
    <x:row r="8095">
      <x:c r="A8095" s="142"/>
    </x:row>
    <x:row r="8096">
      <x:c r="A8096" s="142"/>
    </x:row>
    <x:row r="8097">
      <x:c r="A8097" s="142"/>
    </x:row>
    <x:row r="8098">
      <x:c r="A8098" s="142"/>
    </x:row>
    <x:row r="8099">
      <x:c r="A8099" s="142"/>
    </x:row>
    <x:row r="8100">
      <x:c r="A8100" s="142"/>
    </x:row>
    <x:row r="8101">
      <x:c r="A8101" s="142"/>
    </x:row>
    <x:row r="8102">
      <x:c r="A8102" s="142"/>
    </x:row>
    <x:row r="8103">
      <x:c r="A8103" s="142"/>
    </x:row>
    <x:row r="8104">
      <x:c r="A8104" s="142"/>
    </x:row>
    <x:row r="8105">
      <x:c r="A8105" s="142"/>
    </x:row>
    <x:row r="8106">
      <x:c r="A8106" s="142"/>
    </x:row>
    <x:row r="8107">
      <x:c r="A8107" s="142"/>
    </x:row>
    <x:row r="8108">
      <x:c r="A8108" s="142"/>
    </x:row>
    <x:row r="8109">
      <x:c r="A8109" s="142"/>
    </x:row>
    <x:row r="8110">
      <x:c r="A8110" s="142"/>
    </x:row>
    <x:row r="8111">
      <x:c r="A8111" s="142"/>
    </x:row>
    <x:row r="8112">
      <x:c r="A8112" s="142"/>
    </x:row>
    <x:row r="8113">
      <x:c r="A8113" s="142"/>
    </x:row>
    <x:row r="8114">
      <x:c r="A8114" s="142"/>
    </x:row>
    <x:row r="8115">
      <x:c r="A8115" s="142"/>
    </x:row>
    <x:row r="8116">
      <x:c r="A8116" s="142"/>
    </x:row>
    <x:row r="8117">
      <x:c r="A8117" s="142"/>
    </x:row>
    <x:row r="8118">
      <x:c r="A8118" s="142"/>
    </x:row>
    <x:row r="8119">
      <x:c r="A8119" s="142"/>
    </x:row>
    <x:row r="8120">
      <x:c r="A8120" s="142"/>
    </x:row>
    <x:row r="8121">
      <x:c r="A8121" s="142"/>
    </x:row>
    <x:row r="8122">
      <x:c r="A8122" s="142"/>
    </x:row>
    <x:row r="8123">
      <x:c r="A8123" s="142"/>
    </x:row>
    <x:row r="8124">
      <x:c r="A8124" s="142"/>
    </x:row>
    <x:row r="8125">
      <x:c r="A8125" s="142"/>
    </x:row>
    <x:row r="8126">
      <x:c r="A8126" s="142"/>
    </x:row>
    <x:row r="8127">
      <x:c r="A8127" s="142"/>
    </x:row>
    <x:row r="8128">
      <x:c r="A8128" s="142"/>
    </x:row>
    <x:row r="8129">
      <x:c r="A8129" s="142"/>
    </x:row>
    <x:row r="8130">
      <x:c r="A8130" s="142"/>
    </x:row>
    <x:row r="8131">
      <x:c r="A8131" s="142"/>
    </x:row>
    <x:row r="8132">
      <x:c r="A8132" s="142"/>
    </x:row>
    <x:row r="8133">
      <x:c r="A8133" s="142"/>
    </x:row>
    <x:row r="8134">
      <x:c r="A8134" s="142"/>
    </x:row>
    <x:row r="8135">
      <x:c r="A8135" s="142"/>
    </x:row>
    <x:row r="8136">
      <x:c r="A8136" s="142"/>
    </x:row>
    <x:row r="8137">
      <x:c r="A8137" s="142"/>
    </x:row>
    <x:row r="8138">
      <x:c r="A8138" s="142"/>
    </x:row>
    <x:row r="8139">
      <x:c r="A8139" s="142"/>
    </x:row>
    <x:row r="8140">
      <x:c r="A8140" s="142"/>
    </x:row>
    <x:row r="8141">
      <x:c r="A8141" s="142"/>
    </x:row>
    <x:row r="8142">
      <x:c r="A8142" s="142"/>
    </x:row>
    <x:row r="8143">
      <x:c r="A8143" s="142"/>
    </x:row>
    <x:row r="8144">
      <x:c r="A8144" s="142"/>
    </x:row>
    <x:row r="8145">
      <x:c r="A8145" s="142"/>
    </x:row>
    <x:row r="8146">
      <x:c r="A8146" s="142"/>
    </x:row>
    <x:row r="8147">
      <x:c r="A8147" s="142"/>
    </x:row>
    <x:row r="8148">
      <x:c r="A8148" s="142"/>
    </x:row>
    <x:row r="8149">
      <x:c r="A8149" s="142"/>
    </x:row>
    <x:row r="8150">
      <x:c r="A8150" s="142"/>
    </x:row>
    <x:row r="8151">
      <x:c r="A8151" s="142"/>
    </x:row>
    <x:row r="8152">
      <x:c r="A8152" s="142"/>
    </x:row>
    <x:row r="8153">
      <x:c r="A8153" s="142"/>
    </x:row>
    <x:row r="8154">
      <x:c r="A8154" s="142"/>
    </x:row>
    <x:row r="8155">
      <x:c r="A8155" s="142"/>
    </x:row>
    <x:row r="8156">
      <x:c r="A8156" s="142"/>
    </x:row>
    <x:row r="8157">
      <x:c r="A8157" s="142"/>
    </x:row>
    <x:row r="8158">
      <x:c r="A8158" s="142"/>
    </x:row>
    <x:row r="8159">
      <x:c r="A8159" s="142"/>
    </x:row>
    <x:row r="8160">
      <x:c r="A8160" s="142"/>
    </x:row>
    <x:row r="8161">
      <x:c r="A8161" s="142"/>
    </x:row>
    <x:row r="8162">
      <x:c r="A8162" s="142"/>
    </x:row>
    <x:row r="8163">
      <x:c r="A8163" s="142"/>
    </x:row>
    <x:row r="8164">
      <x:c r="A8164" s="142"/>
    </x:row>
    <x:row r="8165">
      <x:c r="A8165" s="142"/>
    </x:row>
    <x:row r="8166">
      <x:c r="A8166" s="142"/>
    </x:row>
    <x:row r="8167">
      <x:c r="A8167" s="142"/>
    </x:row>
    <x:row r="8168">
      <x:c r="A8168" s="142"/>
    </x:row>
    <x:row r="8169">
      <x:c r="A8169" s="142"/>
    </x:row>
    <x:row r="8170">
      <x:c r="A8170" s="142"/>
    </x:row>
    <x:row r="8171">
      <x:c r="A8171" s="142"/>
    </x:row>
    <x:row r="8172">
      <x:c r="A8172" s="142"/>
    </x:row>
    <x:row r="8173">
      <x:c r="A8173" s="142"/>
    </x:row>
    <x:row r="8174">
      <x:c r="A8174" s="142"/>
    </x:row>
    <x:row r="8175">
      <x:c r="A8175" s="142"/>
    </x:row>
    <x:row r="8176">
      <x:c r="A8176" s="142"/>
    </x:row>
    <x:row r="8177">
      <x:c r="A8177" s="142"/>
    </x:row>
    <x:row r="8178">
      <x:c r="A8178" s="142"/>
    </x:row>
    <x:row r="8179">
      <x:c r="A8179" s="142"/>
    </x:row>
    <x:row r="8180">
      <x:c r="A8180" s="142"/>
    </x:row>
    <x:row r="8181">
      <x:c r="A8181" s="142"/>
    </x:row>
    <x:row r="8182">
      <x:c r="A8182" s="142"/>
    </x:row>
    <x:row r="8183">
      <x:c r="A8183" s="142"/>
    </x:row>
    <x:row r="8184">
      <x:c r="A8184" s="142"/>
    </x:row>
    <x:row r="8185">
      <x:c r="A8185" s="142"/>
    </x:row>
    <x:row r="8186">
      <x:c r="A8186" s="142"/>
    </x:row>
    <x:row r="8187">
      <x:c r="A8187" s="142"/>
    </x:row>
    <x:row r="8188">
      <x:c r="A8188" s="142"/>
    </x:row>
    <x:row r="8189">
      <x:c r="A8189" s="142"/>
    </x:row>
    <x:row r="8190">
      <x:c r="A8190" s="142"/>
    </x:row>
    <x:row r="8191">
      <x:c r="A8191" s="142"/>
    </x:row>
    <x:row r="8192">
      <x:c r="A8192" s="142"/>
    </x:row>
    <x:row r="8193">
      <x:c r="A8193" s="142"/>
    </x:row>
    <x:row r="8194">
      <x:c r="A8194" s="142"/>
    </x:row>
    <x:row r="8195">
      <x:c r="A8195" s="142"/>
    </x:row>
    <x:row r="8196">
      <x:c r="A8196" s="142"/>
    </x:row>
    <x:row r="8197">
      <x:c r="A8197" s="142"/>
    </x:row>
    <x:row r="8198">
      <x:c r="A8198" s="142"/>
    </x:row>
    <x:row r="8199">
      <x:c r="A8199" s="142"/>
    </x:row>
    <x:row r="8200">
      <x:c r="A8200" s="142"/>
    </x:row>
    <x:row r="8201">
      <x:c r="A8201" s="142"/>
    </x:row>
    <x:row r="8202">
      <x:c r="A8202" s="142"/>
    </x:row>
    <x:row r="8203">
      <x:c r="A8203" s="142"/>
    </x:row>
    <x:row r="8204">
      <x:c r="A8204" s="142"/>
    </x:row>
    <x:row r="8205">
      <x:c r="A8205" s="142"/>
    </x:row>
    <x:row r="8206">
      <x:c r="A8206" s="142"/>
    </x:row>
    <x:row r="8207">
      <x:c r="A8207" s="142"/>
    </x:row>
    <x:row r="8208">
      <x:c r="A8208" s="142"/>
    </x:row>
    <x:row r="8209">
      <x:c r="A8209" s="142"/>
    </x:row>
    <x:row r="8210">
      <x:c r="A8210" s="142"/>
    </x:row>
    <x:row r="8211">
      <x:c r="A8211" s="142"/>
    </x:row>
    <x:row r="8212">
      <x:c r="A8212" s="142"/>
    </x:row>
    <x:row r="8213">
      <x:c r="A8213" s="142"/>
    </x:row>
    <x:row r="8214">
      <x:c r="A8214" s="142"/>
    </x:row>
    <x:row r="8215">
      <x:c r="A8215" s="142"/>
    </x:row>
    <x:row r="8216">
      <x:c r="A8216" s="142"/>
    </x:row>
    <x:row r="8217">
      <x:c r="A8217" s="142"/>
    </x:row>
    <x:row r="8218">
      <x:c r="A8218" s="142"/>
    </x:row>
    <x:row r="8219">
      <x:c r="A8219" s="142"/>
    </x:row>
    <x:row r="8220">
      <x:c r="A8220" s="142"/>
    </x:row>
    <x:row r="8221">
      <x:c r="A8221" s="142"/>
    </x:row>
    <x:row r="8222">
      <x:c r="A8222" s="142"/>
    </x:row>
    <x:row r="8223">
      <x:c r="A8223" s="142"/>
    </x:row>
    <x:row r="8224">
      <x:c r="A8224" s="142"/>
    </x:row>
    <x:row r="8225">
      <x:c r="A8225" s="142"/>
    </x:row>
    <x:row r="8226">
      <x:c r="A8226" s="142"/>
    </x:row>
    <x:row r="8227">
      <x:c r="A8227" s="142"/>
    </x:row>
    <x:row r="8228">
      <x:c r="A8228" s="142"/>
    </x:row>
    <x:row r="8229">
      <x:c r="A8229" s="142"/>
    </x:row>
    <x:row r="8230">
      <x:c r="A8230" s="142"/>
    </x:row>
    <x:row r="8231">
      <x:c r="A8231" s="142"/>
    </x:row>
    <x:row r="8232">
      <x:c r="A8232" s="142"/>
    </x:row>
    <x:row r="8233">
      <x:c r="A8233" s="142"/>
    </x:row>
    <x:row r="8234">
      <x:c r="A8234" s="142"/>
    </x:row>
    <x:row r="8235">
      <x:c r="A8235" s="142"/>
    </x:row>
    <x:row r="8236">
      <x:c r="A8236" s="142"/>
    </x:row>
    <x:row r="8237">
      <x:c r="A8237" s="142"/>
    </x:row>
    <x:row r="8238">
      <x:c r="A8238" s="142"/>
    </x:row>
    <x:row r="8239">
      <x:c r="A8239" s="142"/>
    </x:row>
    <x:row r="8240">
      <x:c r="A8240" s="142"/>
    </x:row>
    <x:row r="8241">
      <x:c r="A8241" s="142"/>
    </x:row>
    <x:row r="8242">
      <x:c r="A8242" s="142"/>
    </x:row>
    <x:row r="8243">
      <x:c r="A8243" s="142"/>
    </x:row>
    <x:row r="8244">
      <x:c r="A8244" s="142"/>
    </x:row>
    <x:row r="8245">
      <x:c r="A8245" s="142"/>
    </x:row>
    <x:row r="8246">
      <x:c r="A8246" s="142"/>
    </x:row>
    <x:row r="8247">
      <x:c r="A8247" s="142"/>
    </x:row>
    <x:row r="8248">
      <x:c r="A8248" s="142"/>
    </x:row>
    <x:row r="8249">
      <x:c r="A8249" s="142"/>
    </x:row>
    <x:row r="8250">
      <x:c r="A8250" s="142"/>
    </x:row>
    <x:row r="8251">
      <x:c r="A8251" s="142"/>
    </x:row>
    <x:row r="8252">
      <x:c r="A8252" s="142"/>
    </x:row>
    <x:row r="8253">
      <x:c r="A8253" s="142"/>
    </x:row>
    <x:row r="8254">
      <x:c r="A8254" s="142"/>
    </x:row>
    <x:row r="8255">
      <x:c r="A8255" s="142"/>
    </x:row>
    <x:row r="8256">
      <x:c r="A8256" s="142"/>
    </x:row>
    <x:row r="8257">
      <x:c r="A8257" s="142"/>
    </x:row>
    <x:row r="8258">
      <x:c r="A8258" s="142"/>
    </x:row>
    <x:row r="8259">
      <x:c r="A8259" s="142"/>
    </x:row>
    <x:row r="8260">
      <x:c r="A8260" s="142"/>
    </x:row>
    <x:row r="8261">
      <x:c r="A8261" s="142"/>
    </x:row>
    <x:row r="8262">
      <x:c r="A8262" s="142"/>
    </x:row>
    <x:row r="8263">
      <x:c r="A8263" s="142"/>
    </x:row>
    <x:row r="8264">
      <x:c r="A8264" s="142"/>
    </x:row>
    <x:row r="8265">
      <x:c r="A8265" s="142"/>
    </x:row>
    <x:row r="8266">
      <x:c r="A8266" s="142"/>
    </x:row>
    <x:row r="8267">
      <x:c r="A8267" s="142"/>
    </x:row>
    <x:row r="8268">
      <x:c r="A8268" s="142"/>
    </x:row>
    <x:row r="8269">
      <x:c r="A8269" s="142"/>
    </x:row>
    <x:row r="8270">
      <x:c r="A8270" s="142"/>
    </x:row>
    <x:row r="8271">
      <x:c r="A8271" s="142"/>
    </x:row>
    <x:row r="8272">
      <x:c r="A8272" s="142"/>
    </x:row>
    <x:row r="8273">
      <x:c r="A8273" s="142"/>
    </x:row>
    <x:row r="8274">
      <x:c r="A8274" s="142"/>
    </x:row>
    <x:row r="8275">
      <x:c r="A8275" s="142"/>
    </x:row>
    <x:row r="8276">
      <x:c r="A8276" s="142"/>
    </x:row>
    <x:row r="8277">
      <x:c r="A8277" s="142"/>
    </x:row>
    <x:row r="8278">
      <x:c r="A8278" s="142"/>
    </x:row>
    <x:row r="8279">
      <x:c r="A8279" s="142"/>
    </x:row>
    <x:row r="8280">
      <x:c r="A8280" s="142"/>
    </x:row>
    <x:row r="8281">
      <x:c r="A8281" s="142"/>
    </x:row>
    <x:row r="8282">
      <x:c r="A8282" s="142"/>
    </x:row>
    <x:row r="8283">
      <x:c r="A8283" s="142"/>
    </x:row>
    <x:row r="8284">
      <x:c r="A8284" s="142"/>
    </x:row>
    <x:row r="8285">
      <x:c r="A8285" s="142"/>
    </x:row>
    <x:row r="8286">
      <x:c r="A8286" s="142"/>
    </x:row>
    <x:row r="8287">
      <x:c r="A8287" s="142"/>
    </x:row>
    <x:row r="8288">
      <x:c r="A8288" s="142"/>
    </x:row>
    <x:row r="8289">
      <x:c r="A8289" s="142"/>
    </x:row>
    <x:row r="8290">
      <x:c r="A8290" s="142"/>
    </x:row>
    <x:row r="8291">
      <x:c r="A8291" s="142"/>
    </x:row>
    <x:row r="8292">
      <x:c r="A8292" s="142"/>
    </x:row>
    <x:row r="8293">
      <x:c r="A8293" s="142"/>
    </x:row>
    <x:row r="8294">
      <x:c r="A8294" s="142"/>
    </x:row>
    <x:row r="8295">
      <x:c r="A8295" s="142"/>
    </x:row>
    <x:row r="8296">
      <x:c r="A8296" s="142"/>
    </x:row>
    <x:row r="8297">
      <x:c r="A8297" s="142"/>
    </x:row>
    <x:row r="8298">
      <x:c r="A8298" s="142"/>
    </x:row>
    <x:row r="8299">
      <x:c r="A8299" s="142"/>
    </x:row>
    <x:row r="8300">
      <x:c r="A8300" s="142"/>
    </x:row>
    <x:row r="8301">
      <x:c r="A8301" s="142"/>
    </x:row>
    <x:row r="8302">
      <x:c r="A8302" s="142"/>
    </x:row>
    <x:row r="8303">
      <x:c r="A8303" s="142"/>
    </x:row>
    <x:row r="8304">
      <x:c r="A8304" s="142"/>
    </x:row>
    <x:row r="8305">
      <x:c r="A8305" s="142"/>
    </x:row>
    <x:row r="8306">
      <x:c r="A8306" s="142"/>
    </x:row>
    <x:row r="8307">
      <x:c r="A8307" s="142"/>
    </x:row>
    <x:row r="8308">
      <x:c r="A8308" s="142"/>
    </x:row>
    <x:row r="8309">
      <x:c r="A8309" s="142"/>
    </x:row>
    <x:row r="8310">
      <x:c r="A8310" s="142"/>
    </x:row>
    <x:row r="8311">
      <x:c r="A8311" s="142"/>
    </x:row>
    <x:row r="8312">
      <x:c r="A8312" s="142"/>
    </x:row>
    <x:row r="8313">
      <x:c r="A8313" s="142"/>
    </x:row>
    <x:row r="8314">
      <x:c r="A8314" s="142"/>
    </x:row>
    <x:row r="8315">
      <x:c r="A8315" s="142"/>
    </x:row>
    <x:row r="8316">
      <x:c r="A8316" s="142"/>
    </x:row>
    <x:row r="8317">
      <x:c r="A8317" s="142"/>
    </x:row>
    <x:row r="8318">
      <x:c r="A8318" s="142"/>
    </x:row>
    <x:row r="8319">
      <x:c r="A8319" s="142"/>
    </x:row>
    <x:row r="8320">
      <x:c r="A8320" s="142"/>
    </x:row>
    <x:row r="8321">
      <x:c r="A8321" s="142"/>
    </x:row>
    <x:row r="8322">
      <x:c r="A8322" s="142"/>
    </x:row>
    <x:row r="8323">
      <x:c r="A8323" s="142"/>
    </x:row>
    <x:row r="8324">
      <x:c r="A8324" s="142"/>
    </x:row>
    <x:row r="8325">
      <x:c r="A8325" s="142"/>
    </x:row>
    <x:row r="8326">
      <x:c r="A8326" s="142"/>
    </x:row>
    <x:row r="8327">
      <x:c r="A8327" s="142"/>
    </x:row>
    <x:row r="8328">
      <x:c r="A8328" s="142"/>
    </x:row>
    <x:row r="8329">
      <x:c r="A8329" s="142"/>
    </x:row>
    <x:row r="8330">
      <x:c r="A8330" s="142"/>
    </x:row>
    <x:row r="8331">
      <x:c r="A8331" s="142"/>
    </x:row>
    <x:row r="8332">
      <x:c r="A8332" s="142"/>
    </x:row>
    <x:row r="8333">
      <x:c r="A8333" s="142"/>
    </x:row>
    <x:row r="8334">
      <x:c r="A8334" s="142"/>
    </x:row>
    <x:row r="8335">
      <x:c r="A8335" s="142"/>
    </x:row>
    <x:row r="8336">
      <x:c r="A8336" s="142"/>
    </x:row>
    <x:row r="8337">
      <x:c r="A8337" s="142"/>
    </x:row>
    <x:row r="8338">
      <x:c r="A8338" s="142"/>
    </x:row>
    <x:row r="8339">
      <x:c r="A8339" s="142"/>
    </x:row>
    <x:row r="8340">
      <x:c r="A8340" s="142"/>
    </x:row>
    <x:row r="8341">
      <x:c r="A8341" s="142"/>
    </x:row>
    <x:row r="8342">
      <x:c r="A8342" s="142"/>
    </x:row>
    <x:row r="8343">
      <x:c r="A8343" s="142"/>
    </x:row>
    <x:row r="8344">
      <x:c r="A8344" s="142"/>
    </x:row>
    <x:row r="8345">
      <x:c r="A8345" s="142"/>
    </x:row>
    <x:row r="8346">
      <x:c r="A8346" s="142"/>
    </x:row>
    <x:row r="8347">
      <x:c r="A8347" s="142"/>
    </x:row>
    <x:row r="8348">
      <x:c r="A8348" s="142"/>
    </x:row>
    <x:row r="8349">
      <x:c r="A8349" s="142"/>
    </x:row>
    <x:row r="8350">
      <x:c r="A8350" s="142"/>
    </x:row>
    <x:row r="8351">
      <x:c r="A8351" s="142"/>
    </x:row>
    <x:row r="8352">
      <x:c r="A8352" s="142"/>
    </x:row>
    <x:row r="8353">
      <x:c r="A8353" s="142"/>
    </x:row>
    <x:row r="8354">
      <x:c r="A8354" s="142"/>
    </x:row>
    <x:row r="8355">
      <x:c r="A8355" s="142"/>
    </x:row>
    <x:row r="8356">
      <x:c r="A8356" s="142"/>
    </x:row>
    <x:row r="8357">
      <x:c r="A8357" s="142"/>
    </x:row>
    <x:row r="8358">
      <x:c r="A8358" s="142"/>
    </x:row>
    <x:row r="8359">
      <x:c r="A8359" s="142"/>
    </x:row>
    <x:row r="8360">
      <x:c r="A8360" s="142"/>
    </x:row>
    <x:row r="8361">
      <x:c r="A8361" s="142"/>
    </x:row>
    <x:row r="8362">
      <x:c r="A8362" s="142"/>
    </x:row>
    <x:row r="8363">
      <x:c r="A8363" s="142"/>
    </x:row>
    <x:row r="8364">
      <x:c r="A8364" s="142"/>
    </x:row>
    <x:row r="8365">
      <x:c r="A8365" s="142"/>
    </x:row>
    <x:row r="8366">
      <x:c r="A8366" s="142"/>
    </x:row>
    <x:row r="8367">
      <x:c r="A8367" s="142"/>
    </x:row>
    <x:row r="8368">
      <x:c r="A8368" s="142"/>
    </x:row>
    <x:row r="8369">
      <x:c r="A8369" s="142"/>
    </x:row>
    <x:row r="8370">
      <x:c r="A8370" s="142"/>
    </x:row>
    <x:row r="8371">
      <x:c r="A8371" s="142"/>
    </x:row>
    <x:row r="8372">
      <x:c r="A8372" s="142"/>
    </x:row>
    <x:row r="8373">
      <x:c r="A8373" s="142"/>
    </x:row>
    <x:row r="8374">
      <x:c r="A8374" s="142"/>
    </x:row>
    <x:row r="8375">
      <x:c r="A8375" s="142"/>
    </x:row>
    <x:row r="8376">
      <x:c r="A8376" s="142"/>
    </x:row>
    <x:row r="8377">
      <x:c r="A8377" s="142"/>
    </x:row>
    <x:row r="8378">
      <x:c r="A8378" s="142"/>
    </x:row>
    <x:row r="8379">
      <x:c r="A8379" s="142"/>
    </x:row>
    <x:row r="8380">
      <x:c r="A8380" s="142"/>
    </x:row>
    <x:row r="8381">
      <x:c r="A8381" s="142"/>
    </x:row>
    <x:row r="8382">
      <x:c r="A8382" s="142"/>
    </x:row>
    <x:row r="8383">
      <x:c r="A8383" s="142"/>
    </x:row>
    <x:row r="8384">
      <x:c r="A8384" s="142"/>
    </x:row>
    <x:row r="8385">
      <x:c r="A8385" s="142"/>
    </x:row>
    <x:row r="8386">
      <x:c r="A8386" s="142"/>
    </x:row>
    <x:row r="8387">
      <x:c r="A8387" s="142"/>
    </x:row>
    <x:row r="8388">
      <x:c r="A8388" s="142"/>
    </x:row>
    <x:row r="8389">
      <x:c r="A8389" s="142"/>
    </x:row>
    <x:row r="8390">
      <x:c r="A8390" s="142"/>
    </x:row>
    <x:row r="8391">
      <x:c r="A8391" s="142"/>
    </x:row>
    <x:row r="8392">
      <x:c r="A8392" s="142"/>
    </x:row>
    <x:row r="8393">
      <x:c r="A8393" s="142"/>
    </x:row>
    <x:row r="8394">
      <x:c r="A8394" s="142"/>
    </x:row>
    <x:row r="8395">
      <x:c r="A8395" s="142"/>
    </x:row>
    <x:row r="8396">
      <x:c r="A8396" s="142"/>
    </x:row>
    <x:row r="8397">
      <x:c r="A8397" s="142"/>
    </x:row>
    <x:row r="8398">
      <x:c r="A8398" s="142"/>
    </x:row>
    <x:row r="8399">
      <x:c r="A8399" s="142"/>
    </x:row>
    <x:row r="8400">
      <x:c r="A8400" s="142"/>
    </x:row>
    <x:row r="8401">
      <x:c r="A8401" s="142"/>
    </x:row>
    <x:row r="8402">
      <x:c r="A8402" s="142"/>
    </x:row>
    <x:row r="8403">
      <x:c r="A8403" s="142"/>
    </x:row>
    <x:row r="8404">
      <x:c r="A8404" s="142"/>
    </x:row>
    <x:row r="8405">
      <x:c r="A8405" s="142"/>
    </x:row>
    <x:row r="8406">
      <x:c r="A8406" s="142"/>
    </x:row>
    <x:row r="8407">
      <x:c r="A8407" s="142"/>
    </x:row>
    <x:row r="8408">
      <x:c r="A8408" s="142"/>
    </x:row>
    <x:row r="8409">
      <x:c r="A8409" s="142"/>
    </x:row>
    <x:row r="8410">
      <x:c r="A8410" s="142"/>
    </x:row>
    <x:row r="8411">
      <x:c r="A8411" s="142"/>
    </x:row>
    <x:row r="8412">
      <x:c r="A8412" s="142"/>
    </x:row>
    <x:row r="8413">
      <x:c r="A8413" s="142"/>
    </x:row>
    <x:row r="8414">
      <x:c r="A8414" s="142"/>
    </x:row>
    <x:row r="8415">
      <x:c r="A8415" s="142"/>
    </x:row>
    <x:row r="8416">
      <x:c r="A8416" s="142"/>
    </x:row>
    <x:row r="8417">
      <x:c r="A8417" s="142"/>
    </x:row>
    <x:row r="8418">
      <x:c r="A8418" s="142"/>
    </x:row>
    <x:row r="8419">
      <x:c r="A8419" s="142"/>
    </x:row>
    <x:row r="8420">
      <x:c r="A8420" s="142"/>
    </x:row>
    <x:row r="8421">
      <x:c r="A8421" s="142"/>
    </x:row>
    <x:row r="8422">
      <x:c r="A8422" s="142"/>
    </x:row>
    <x:row r="8423">
      <x:c r="A8423" s="142"/>
    </x:row>
    <x:row r="8424">
      <x:c r="A8424" s="142"/>
    </x:row>
    <x:row r="8425">
      <x:c r="A8425" s="142"/>
    </x:row>
    <x:row r="8426">
      <x:c r="A8426" s="142"/>
    </x:row>
    <x:row r="8427">
      <x:c r="A8427" s="142"/>
    </x:row>
    <x:row r="8428">
      <x:c r="A8428" s="142"/>
    </x:row>
    <x:row r="8429">
      <x:c r="A8429" s="142"/>
    </x:row>
    <x:row r="8430">
      <x:c r="A8430" s="142"/>
    </x:row>
    <x:row r="8431">
      <x:c r="A8431" s="142"/>
    </x:row>
    <x:row r="8432">
      <x:c r="A8432" s="142"/>
    </x:row>
    <x:row r="8433">
      <x:c r="A8433" s="142"/>
    </x:row>
    <x:row r="8434">
      <x:c r="A8434" s="142"/>
    </x:row>
    <x:row r="8435">
      <x:c r="A8435" s="142"/>
    </x:row>
    <x:row r="8436">
      <x:c r="A8436" s="142"/>
    </x:row>
    <x:row r="8437">
      <x:c r="A8437" s="142"/>
    </x:row>
    <x:row r="8438">
      <x:c r="A8438" s="142"/>
    </x:row>
    <x:row r="8439">
      <x:c r="A8439" s="142"/>
    </x:row>
    <x:row r="8440">
      <x:c r="A8440" s="142"/>
    </x:row>
    <x:row r="8441">
      <x:c r="A8441" s="142"/>
    </x:row>
    <x:row r="8442">
      <x:c r="A8442" s="142"/>
    </x:row>
    <x:row r="8443">
      <x:c r="A8443" s="142"/>
    </x:row>
    <x:row r="8444">
      <x:c r="A8444" s="142"/>
    </x:row>
    <x:row r="8445">
      <x:c r="A8445" s="142"/>
    </x:row>
    <x:row r="8446">
      <x:c r="A8446" s="142"/>
    </x:row>
    <x:row r="8447">
      <x:c r="A8447" s="142"/>
    </x:row>
    <x:row r="8448">
      <x:c r="A8448" s="142"/>
    </x:row>
    <x:row r="8449">
      <x:c r="A8449" s="142"/>
    </x:row>
    <x:row r="8450">
      <x:c r="A8450" s="142"/>
    </x:row>
    <x:row r="8451">
      <x:c r="A8451" s="142"/>
    </x:row>
    <x:row r="8452">
      <x:c r="A8452" s="142"/>
    </x:row>
    <x:row r="8453">
      <x:c r="A8453" s="142"/>
    </x:row>
    <x:row r="8454">
      <x:c r="A8454" s="142"/>
    </x:row>
    <x:row r="8455">
      <x:c r="A8455" s="142"/>
    </x:row>
    <x:row r="8456">
      <x:c r="A8456" s="142"/>
    </x:row>
    <x:row r="8457">
      <x:c r="A8457" s="142"/>
    </x:row>
    <x:row r="8458">
      <x:c r="A8458" s="142"/>
    </x:row>
    <x:row r="8459">
      <x:c r="A8459" s="142"/>
    </x:row>
    <x:row r="8460">
      <x:c r="A8460" s="142"/>
    </x:row>
    <x:row r="8461">
      <x:c r="A8461" s="142"/>
    </x:row>
    <x:row r="8462">
      <x:c r="A8462" s="142"/>
    </x:row>
    <x:row r="8463">
      <x:c r="A8463" s="142"/>
    </x:row>
    <x:row r="8464">
      <x:c r="A8464" s="142"/>
    </x:row>
    <x:row r="8465">
      <x:c r="A8465" s="142"/>
    </x:row>
    <x:row r="8466">
      <x:c r="A8466" s="142"/>
    </x:row>
    <x:row r="8467">
      <x:c r="A8467" s="142"/>
    </x:row>
    <x:row r="8468">
      <x:c r="A8468" s="142"/>
    </x:row>
    <x:row r="8469">
      <x:c r="A8469" s="142"/>
    </x:row>
    <x:row r="8470">
      <x:c r="A8470" s="142"/>
    </x:row>
    <x:row r="8471">
      <x:c r="A8471" s="142"/>
    </x:row>
    <x:row r="8472">
      <x:c r="A8472" s="142"/>
    </x:row>
    <x:row r="8473">
      <x:c r="A8473" s="142"/>
    </x:row>
    <x:row r="8474">
      <x:c r="A8474" s="142"/>
    </x:row>
    <x:row r="8475">
      <x:c r="A8475" s="142"/>
    </x:row>
    <x:row r="8476">
      <x:c r="A8476" s="142"/>
    </x:row>
    <x:row r="8477">
      <x:c r="A8477" s="142"/>
    </x:row>
    <x:row r="8478">
      <x:c r="A8478" s="142"/>
    </x:row>
    <x:row r="8479">
      <x:c r="A8479" s="142"/>
    </x:row>
    <x:row r="8480">
      <x:c r="A8480" s="142"/>
    </x:row>
    <x:row r="8481">
      <x:c r="A8481" s="142"/>
    </x:row>
    <x:row r="8482">
      <x:c r="A8482" s="142"/>
    </x:row>
    <x:row r="8483">
      <x:c r="A8483" s="142"/>
    </x:row>
    <x:row r="8484">
      <x:c r="A8484" s="142"/>
    </x:row>
    <x:row r="8485">
      <x:c r="A8485" s="142"/>
    </x:row>
    <x:row r="8486">
      <x:c r="A8486" s="142"/>
    </x:row>
    <x:row r="8487">
      <x:c r="A8487" s="142"/>
    </x:row>
    <x:row r="8488">
      <x:c r="A8488" s="142"/>
    </x:row>
    <x:row r="8489">
      <x:c r="A8489" s="142"/>
    </x:row>
    <x:row r="8490">
      <x:c r="A8490" s="142"/>
    </x:row>
    <x:row r="8491">
      <x:c r="A8491" s="142"/>
    </x:row>
    <x:row r="8492">
      <x:c r="A8492" s="142"/>
    </x:row>
    <x:row r="8493">
      <x:c r="A8493" s="142"/>
    </x:row>
    <x:row r="8494">
      <x:c r="A8494" s="142"/>
    </x:row>
    <x:row r="8495">
      <x:c r="A8495" s="142"/>
    </x:row>
    <x:row r="8496">
      <x:c r="A8496" s="142"/>
    </x:row>
    <x:row r="8497">
      <x:c r="A8497" s="142"/>
    </x:row>
    <x:row r="8498">
      <x:c r="A8498" s="142"/>
    </x:row>
    <x:row r="8499">
      <x:c r="A8499" s="142"/>
    </x:row>
    <x:row r="8500">
      <x:c r="A8500" s="142"/>
    </x:row>
    <x:row r="8501">
      <x:c r="A8501" s="142"/>
    </x:row>
    <x:row r="8502">
      <x:c r="A8502" s="142"/>
    </x:row>
    <x:row r="8503">
      <x:c r="A8503" s="142"/>
    </x:row>
    <x:row r="8504">
      <x:c r="A8504" s="142"/>
    </x:row>
    <x:row r="8505">
      <x:c r="A8505" s="142"/>
    </x:row>
    <x:row r="8506">
      <x:c r="A8506" s="142"/>
    </x:row>
    <x:row r="8507">
      <x:c r="A8507" s="142"/>
    </x:row>
    <x:row r="8508">
      <x:c r="A8508" s="142"/>
    </x:row>
    <x:row r="8509">
      <x:c r="A8509" s="142"/>
    </x:row>
    <x:row r="8510">
      <x:c r="A8510" s="142"/>
    </x:row>
    <x:row r="8511">
      <x:c r="A8511" s="142"/>
    </x:row>
    <x:row r="8512">
      <x:c r="A8512" s="142"/>
    </x:row>
    <x:row r="8513">
      <x:c r="A8513" s="142"/>
    </x:row>
    <x:row r="8514">
      <x:c r="A8514" s="142"/>
    </x:row>
    <x:row r="8515">
      <x:c r="A8515" s="142"/>
    </x:row>
    <x:row r="8516">
      <x:c r="A8516" s="142"/>
    </x:row>
    <x:row r="8517">
      <x:c r="A8517" s="142"/>
    </x:row>
    <x:row r="8518">
      <x:c r="A8518" s="142"/>
    </x:row>
    <x:row r="8519">
      <x:c r="A8519" s="142"/>
    </x:row>
    <x:row r="8520">
      <x:c r="A8520" s="142"/>
    </x:row>
    <x:row r="8521">
      <x:c r="A8521" s="142"/>
    </x:row>
    <x:row r="8522">
      <x:c r="A8522" s="142"/>
    </x:row>
    <x:row r="8523">
      <x:c r="A8523" s="142"/>
    </x:row>
    <x:row r="8524">
      <x:c r="A8524" s="142"/>
    </x:row>
    <x:row r="8525">
      <x:c r="A8525" s="142"/>
    </x:row>
    <x:row r="8526">
      <x:c r="A8526" s="142"/>
    </x:row>
    <x:row r="8527">
      <x:c r="A8527" s="142"/>
    </x:row>
    <x:row r="8528">
      <x:c r="A8528" s="142"/>
    </x:row>
    <x:row r="8529">
      <x:c r="A8529" s="142"/>
    </x:row>
    <x:row r="8530">
      <x:c r="A8530" s="142"/>
    </x:row>
    <x:row r="8531">
      <x:c r="A8531" s="142"/>
    </x:row>
    <x:row r="8532">
      <x:c r="A8532" s="142"/>
    </x:row>
    <x:row r="8533">
      <x:c r="A8533" s="142"/>
    </x:row>
    <x:row r="8534">
      <x:c r="A8534" s="142"/>
    </x:row>
    <x:row r="8535">
      <x:c r="A8535" s="142"/>
    </x:row>
    <x:row r="8536">
      <x:c r="A8536" s="142"/>
    </x:row>
    <x:row r="8537">
      <x:c r="A8537" s="142"/>
    </x:row>
    <x:row r="8538">
      <x:c r="A8538" s="142"/>
    </x:row>
    <x:row r="8539">
      <x:c r="A8539" s="142"/>
    </x:row>
    <x:row r="8540">
      <x:c r="A8540" s="142"/>
    </x:row>
    <x:row r="8541">
      <x:c r="A8541" s="142"/>
    </x:row>
    <x:row r="8542">
      <x:c r="A8542" s="142"/>
    </x:row>
    <x:row r="8543">
      <x:c r="A8543" s="142"/>
    </x:row>
    <x:row r="8544">
      <x:c r="A8544" s="142"/>
    </x:row>
    <x:row r="8545">
      <x:c r="A8545" s="142"/>
    </x:row>
    <x:row r="8546">
      <x:c r="A8546" s="142"/>
    </x:row>
    <x:row r="8547">
      <x:c r="A8547" s="142"/>
    </x:row>
    <x:row r="8548">
      <x:c r="A8548" s="142"/>
    </x:row>
    <x:row r="8549">
      <x:c r="A8549" s="142"/>
    </x:row>
    <x:row r="8550">
      <x:c r="A8550" s="142"/>
    </x:row>
    <x:row r="8551">
      <x:c r="A8551" s="142"/>
    </x:row>
    <x:row r="8552">
      <x:c r="A8552" s="142"/>
    </x:row>
    <x:row r="8553">
      <x:c r="A8553" s="142"/>
    </x:row>
    <x:row r="8554">
      <x:c r="A8554" s="142"/>
    </x:row>
    <x:row r="8555">
      <x:c r="A8555" s="142"/>
    </x:row>
    <x:row r="8556">
      <x:c r="A8556" s="142"/>
    </x:row>
    <x:row r="8557">
      <x:c r="A8557" s="142"/>
    </x:row>
    <x:row r="8558">
      <x:c r="A8558" s="142"/>
    </x:row>
    <x:row r="8559">
      <x:c r="A8559" s="142"/>
    </x:row>
    <x:row r="8560">
      <x:c r="A8560" s="142"/>
    </x:row>
    <x:row r="8561">
      <x:c r="A8561" s="142"/>
    </x:row>
    <x:row r="8562">
      <x:c r="A8562" s="142"/>
    </x:row>
    <x:row r="8563">
      <x:c r="A8563" s="142"/>
    </x:row>
    <x:row r="8564">
      <x:c r="A8564" s="142"/>
    </x:row>
    <x:row r="8565">
      <x:c r="A8565" s="142"/>
    </x:row>
    <x:row r="8566">
      <x:c r="A8566" s="142"/>
    </x:row>
    <x:row r="8567">
      <x:c r="A8567" s="142"/>
    </x:row>
    <x:row r="8568">
      <x:c r="A8568" s="142"/>
    </x:row>
    <x:row r="8569">
      <x:c r="A8569" s="142"/>
    </x:row>
    <x:row r="8570">
      <x:c r="A8570" s="142"/>
    </x:row>
    <x:row r="8571">
      <x:c r="A8571" s="142"/>
    </x:row>
    <x:row r="8572">
      <x:c r="A8572" s="142"/>
    </x:row>
    <x:row r="8573">
      <x:c r="A8573" s="142"/>
    </x:row>
    <x:row r="8574">
      <x:c r="A8574" s="142"/>
    </x:row>
    <x:row r="8575">
      <x:c r="A8575" s="142"/>
    </x:row>
    <x:row r="8576">
      <x:c r="A8576" s="142"/>
    </x:row>
    <x:row r="8577">
      <x:c r="A8577" s="142"/>
    </x:row>
    <x:row r="8578">
      <x:c r="A8578" s="142"/>
    </x:row>
    <x:row r="8579">
      <x:c r="A8579" s="142"/>
    </x:row>
    <x:row r="8580">
      <x:c r="A8580" s="142"/>
    </x:row>
    <x:row r="8581">
      <x:c r="A8581" s="142"/>
    </x:row>
    <x:row r="8582">
      <x:c r="A8582" s="142"/>
    </x:row>
    <x:row r="8583">
      <x:c r="A8583" s="142"/>
    </x:row>
    <x:row r="8584">
      <x:c r="A8584" s="142"/>
    </x:row>
    <x:row r="8585">
      <x:c r="A8585" s="142"/>
    </x:row>
    <x:row r="8586">
      <x:c r="A8586" s="142"/>
    </x:row>
    <x:row r="8587">
      <x:c r="A8587" s="142"/>
    </x:row>
    <x:row r="8588">
      <x:c r="A8588" s="142"/>
    </x:row>
    <x:row r="8589">
      <x:c r="A8589" s="142"/>
    </x:row>
    <x:row r="8590">
      <x:c r="A8590" s="142"/>
    </x:row>
    <x:row r="8591">
      <x:c r="A8591" s="142"/>
    </x:row>
    <x:row r="8592">
      <x:c r="A8592" s="142"/>
    </x:row>
    <x:row r="8593">
      <x:c r="A8593" s="142"/>
    </x:row>
    <x:row r="8594">
      <x:c r="A8594" s="142"/>
    </x:row>
    <x:row r="8595">
      <x:c r="A8595" s="142"/>
    </x:row>
    <x:row r="8596">
      <x:c r="A8596" s="142"/>
    </x:row>
    <x:row r="8597">
      <x:c r="A8597" s="142"/>
    </x:row>
    <x:row r="8598">
      <x:c r="A8598" s="142"/>
    </x:row>
    <x:row r="8599">
      <x:c r="A8599" s="142"/>
    </x:row>
    <x:row r="8600">
      <x:c r="A8600" s="142"/>
    </x:row>
    <x:row r="8601">
      <x:c r="A8601" s="142"/>
    </x:row>
    <x:row r="8602">
      <x:c r="A8602" s="142"/>
    </x:row>
    <x:row r="8603">
      <x:c r="A8603" s="142"/>
    </x:row>
    <x:row r="8604">
      <x:c r="A8604" s="142"/>
    </x:row>
    <x:row r="8605">
      <x:c r="A8605" s="142"/>
    </x:row>
    <x:row r="8606">
      <x:c r="A8606" s="142"/>
    </x:row>
    <x:row r="8607">
      <x:c r="A8607" s="142"/>
    </x:row>
    <x:row r="8608">
      <x:c r="A8608" s="142"/>
    </x:row>
    <x:row r="8609">
      <x:c r="A8609" s="142"/>
    </x:row>
    <x:row r="8610">
      <x:c r="A8610" s="142"/>
    </x:row>
    <x:row r="8611">
      <x:c r="A8611" s="142"/>
    </x:row>
    <x:row r="8612">
      <x:c r="A8612" s="142"/>
    </x:row>
    <x:row r="8613">
      <x:c r="A8613" s="142"/>
    </x:row>
    <x:row r="8614">
      <x:c r="A8614" s="142"/>
    </x:row>
    <x:row r="8615">
      <x:c r="A8615" s="142"/>
    </x:row>
    <x:row r="8616">
      <x:c r="A8616" s="142"/>
    </x:row>
    <x:row r="8617">
      <x:c r="A8617" s="142"/>
    </x:row>
    <x:row r="8618">
      <x:c r="A8618" s="142"/>
    </x:row>
    <x:row r="8619">
      <x:c r="A8619" s="142"/>
    </x:row>
    <x:row r="8620">
      <x:c r="A8620" s="142"/>
    </x:row>
    <x:row r="8621">
      <x:c r="A8621" s="142"/>
    </x:row>
    <x:row r="8622">
      <x:c r="A8622" s="142"/>
    </x:row>
    <x:row r="8623">
      <x:c r="A8623" s="142"/>
    </x:row>
    <x:row r="8624">
      <x:c r="A8624" s="142"/>
    </x:row>
    <x:row r="8625">
      <x:c r="A8625" s="142"/>
    </x:row>
    <x:row r="8626">
      <x:c r="A8626" s="142"/>
    </x:row>
    <x:row r="8627">
      <x:c r="A8627" s="142"/>
    </x:row>
    <x:row r="8628">
      <x:c r="A8628" s="142"/>
    </x:row>
    <x:row r="8629">
      <x:c r="A8629" s="142"/>
    </x:row>
    <x:row r="8630">
      <x:c r="A8630" s="142"/>
    </x:row>
    <x:row r="8631">
      <x:c r="A8631" s="142"/>
    </x:row>
    <x:row r="8632">
      <x:c r="A8632" s="142"/>
    </x:row>
    <x:row r="8633">
      <x:c r="A8633" s="142"/>
    </x:row>
    <x:row r="8634">
      <x:c r="A8634" s="142"/>
    </x:row>
    <x:row r="8635">
      <x:c r="A8635" s="142"/>
    </x:row>
    <x:row r="8636">
      <x:c r="A8636" s="142"/>
    </x:row>
    <x:row r="8637">
      <x:c r="A8637" s="142"/>
    </x:row>
    <x:row r="8638">
      <x:c r="A8638" s="142"/>
    </x:row>
    <x:row r="8639">
      <x:c r="A8639" s="142"/>
    </x:row>
    <x:row r="8640">
      <x:c r="A8640" s="142"/>
    </x:row>
    <x:row r="8641">
      <x:c r="A8641" s="142"/>
    </x:row>
    <x:row r="8642">
      <x:c r="A8642" s="142"/>
    </x:row>
    <x:row r="8643">
      <x:c r="A8643" s="142"/>
    </x:row>
    <x:row r="8644">
      <x:c r="A8644" s="142"/>
    </x:row>
    <x:row r="8645">
      <x:c r="A8645" s="142"/>
    </x:row>
    <x:row r="8646">
      <x:c r="A8646" s="142"/>
    </x:row>
    <x:row r="8647">
      <x:c r="A8647" s="142"/>
    </x:row>
    <x:row r="8648">
      <x:c r="A8648" s="142"/>
    </x:row>
    <x:row r="8649">
      <x:c r="A8649" s="142"/>
    </x:row>
    <x:row r="8650">
      <x:c r="A8650" s="142"/>
    </x:row>
    <x:row r="8651">
      <x:c r="A8651" s="142"/>
    </x:row>
    <x:row r="8652">
      <x:c r="A8652" s="142"/>
    </x:row>
    <x:row r="8653">
      <x:c r="A8653" s="142"/>
    </x:row>
    <x:row r="8654">
      <x:c r="A8654" s="142"/>
    </x:row>
    <x:row r="8655">
      <x:c r="A8655" s="142"/>
    </x:row>
    <x:row r="8656">
      <x:c r="A8656" s="142"/>
    </x:row>
    <x:row r="8657">
      <x:c r="A8657" s="142"/>
    </x:row>
    <x:row r="8658">
      <x:c r="A8658" s="142"/>
    </x:row>
    <x:row r="8659">
      <x:c r="A8659" s="142"/>
    </x:row>
    <x:row r="8660">
      <x:c r="A8660" s="142"/>
    </x:row>
    <x:row r="8661">
      <x:c r="A8661" s="142"/>
    </x:row>
    <x:row r="8662">
      <x:c r="A8662" s="142"/>
    </x:row>
    <x:row r="8663">
      <x:c r="A8663" s="142"/>
    </x:row>
    <x:row r="8664">
      <x:c r="A8664" s="142"/>
    </x:row>
    <x:row r="8665">
      <x:c r="A8665" s="142"/>
    </x:row>
    <x:row r="8666">
      <x:c r="A8666" s="142"/>
    </x:row>
    <x:row r="8667">
      <x:c r="A8667" s="142"/>
    </x:row>
    <x:row r="8668">
      <x:c r="A8668" s="142"/>
    </x:row>
    <x:row r="8669">
      <x:c r="A8669" s="142"/>
    </x:row>
    <x:row r="8670">
      <x:c r="A8670" s="142"/>
    </x:row>
    <x:row r="8671">
      <x:c r="A8671" s="142"/>
    </x:row>
    <x:row r="8672">
      <x:c r="A8672" s="142"/>
    </x:row>
    <x:row r="8673">
      <x:c r="A8673" s="142"/>
    </x:row>
    <x:row r="8674">
      <x:c r="A8674" s="142"/>
    </x:row>
    <x:row r="8675">
      <x:c r="A8675" s="142"/>
    </x:row>
    <x:row r="8676">
      <x:c r="A8676" s="142"/>
    </x:row>
    <x:row r="8677">
      <x:c r="A8677" s="142"/>
    </x:row>
    <x:row r="8678">
      <x:c r="A8678" s="142"/>
    </x:row>
    <x:row r="8679">
      <x:c r="A8679" s="142"/>
    </x:row>
    <x:row r="8680">
      <x:c r="A8680" s="142"/>
    </x:row>
    <x:row r="8681">
      <x:c r="A8681" s="142"/>
    </x:row>
    <x:row r="8682">
      <x:c r="A8682" s="142"/>
    </x:row>
    <x:row r="8683">
      <x:c r="A8683" s="142"/>
    </x:row>
    <x:row r="8684">
      <x:c r="A8684" s="142"/>
    </x:row>
    <x:row r="8685">
      <x:c r="A8685" s="142"/>
    </x:row>
    <x:row r="8686">
      <x:c r="A8686" s="142"/>
    </x:row>
    <x:row r="8687">
      <x:c r="A8687" s="142"/>
    </x:row>
    <x:row r="8688">
      <x:c r="A8688" s="142"/>
    </x:row>
    <x:row r="8689">
      <x:c r="A8689" s="142"/>
    </x:row>
    <x:row r="8690">
      <x:c r="A8690" s="142"/>
    </x:row>
    <x:row r="8691">
      <x:c r="A8691" s="142"/>
    </x:row>
    <x:row r="8692">
      <x:c r="A8692" s="142"/>
    </x:row>
    <x:row r="8693">
      <x:c r="A8693" s="142"/>
    </x:row>
    <x:row r="8694">
      <x:c r="A8694" s="142"/>
    </x:row>
    <x:row r="8695">
      <x:c r="A8695" s="142"/>
    </x:row>
    <x:row r="8696">
      <x:c r="A8696" s="142"/>
    </x:row>
    <x:row r="8697">
      <x:c r="A8697" s="142"/>
    </x:row>
    <x:row r="8698">
      <x:c r="A8698" s="142"/>
    </x:row>
    <x:row r="8699">
      <x:c r="A8699" s="142"/>
    </x:row>
    <x:row r="8700">
      <x:c r="A8700" s="142"/>
    </x:row>
    <x:row r="8701">
      <x:c r="A8701" s="142"/>
    </x:row>
    <x:row r="8702">
      <x:c r="A8702" s="142"/>
    </x:row>
    <x:row r="8703">
      <x:c r="A8703" s="142"/>
    </x:row>
    <x:row r="8704">
      <x:c r="A8704" s="142"/>
    </x:row>
    <x:row r="8705">
      <x:c r="A8705" s="142"/>
    </x:row>
    <x:row r="8706">
      <x:c r="A8706" s="142"/>
    </x:row>
    <x:row r="8707">
      <x:c r="A8707" s="142"/>
    </x:row>
    <x:row r="8708">
      <x:c r="A8708" s="142"/>
    </x:row>
    <x:row r="8709">
      <x:c r="A8709" s="142"/>
    </x:row>
    <x:row r="8710">
      <x:c r="A8710" s="142"/>
    </x:row>
    <x:row r="8711">
      <x:c r="A8711" s="142"/>
    </x:row>
    <x:row r="8712">
      <x:c r="A8712" s="142"/>
    </x:row>
    <x:row r="8713">
      <x:c r="A8713" s="142"/>
    </x:row>
    <x:row r="8714">
      <x:c r="A8714" s="142"/>
    </x:row>
    <x:row r="8715">
      <x:c r="A8715" s="142"/>
    </x:row>
    <x:row r="8716">
      <x:c r="A8716" s="142"/>
    </x:row>
    <x:row r="8717">
      <x:c r="A8717" s="142"/>
    </x:row>
    <x:row r="8718">
      <x:c r="A8718" s="142"/>
    </x:row>
    <x:row r="8719">
      <x:c r="A8719" s="142"/>
    </x:row>
    <x:row r="8720">
      <x:c r="A8720" s="142"/>
    </x:row>
    <x:row r="8721">
      <x:c r="A8721" s="142"/>
    </x:row>
    <x:row r="8722">
      <x:c r="A8722" s="142"/>
    </x:row>
    <x:row r="8723">
      <x:c r="A8723" s="142"/>
    </x:row>
    <x:row r="8724">
      <x:c r="A8724" s="142"/>
    </x:row>
    <x:row r="8725">
      <x:c r="A8725" s="142"/>
    </x:row>
    <x:row r="8726">
      <x:c r="A8726" s="142"/>
    </x:row>
    <x:row r="8727">
      <x:c r="A8727" s="142"/>
    </x:row>
    <x:row r="8728">
      <x:c r="A8728" s="142"/>
    </x:row>
    <x:row r="8729">
      <x:c r="A8729" s="142"/>
    </x:row>
    <x:row r="8730">
      <x:c r="A8730" s="142"/>
    </x:row>
    <x:row r="8731">
      <x:c r="A8731" s="142"/>
    </x:row>
    <x:row r="8732">
      <x:c r="A8732" s="142"/>
    </x:row>
    <x:row r="8733">
      <x:c r="A8733" s="142"/>
    </x:row>
    <x:row r="8734">
      <x:c r="A8734" s="142"/>
    </x:row>
    <x:row r="8735">
      <x:c r="A8735" s="142"/>
    </x:row>
    <x:row r="8736">
      <x:c r="A8736" s="142"/>
    </x:row>
    <x:row r="8737">
      <x:c r="A8737" s="142"/>
    </x:row>
    <x:row r="8738">
      <x:c r="A8738" s="142"/>
    </x:row>
    <x:row r="8739">
      <x:c r="A8739" s="142"/>
    </x:row>
    <x:row r="8740">
      <x:c r="A8740" s="142"/>
    </x:row>
    <x:row r="8741">
      <x:c r="A8741" s="142"/>
    </x:row>
    <x:row r="8742">
      <x:c r="A8742" s="142"/>
    </x:row>
    <x:row r="8743">
      <x:c r="A8743" s="142"/>
    </x:row>
    <x:row r="8744">
      <x:c r="A8744" s="142"/>
    </x:row>
    <x:row r="8745">
      <x:c r="A8745" s="142"/>
    </x:row>
    <x:row r="8746">
      <x:c r="A8746" s="142"/>
    </x:row>
    <x:row r="8747">
      <x:c r="A8747" s="142"/>
    </x:row>
    <x:row r="8748">
      <x:c r="A8748" s="142"/>
    </x:row>
    <x:row r="8749">
      <x:c r="A8749" s="142"/>
    </x:row>
    <x:row r="8750">
      <x:c r="A8750" s="142"/>
    </x:row>
    <x:row r="8751">
      <x:c r="A8751" s="142"/>
    </x:row>
    <x:row r="8752">
      <x:c r="A8752" s="142"/>
    </x:row>
    <x:row r="8753">
      <x:c r="A8753" s="142"/>
    </x:row>
    <x:row r="8754">
      <x:c r="A8754" s="142"/>
    </x:row>
    <x:row r="8755">
      <x:c r="A8755" s="142"/>
    </x:row>
    <x:row r="8756">
      <x:c r="A8756" s="142"/>
    </x:row>
    <x:row r="8757">
      <x:c r="A8757" s="142"/>
    </x:row>
    <x:row r="8758">
      <x:c r="A8758" s="142"/>
    </x:row>
    <x:row r="8759">
      <x:c r="A8759" s="142"/>
    </x:row>
    <x:row r="8760">
      <x:c r="A8760" s="142"/>
    </x:row>
    <x:row r="8761">
      <x:c r="A8761" s="142"/>
    </x:row>
    <x:row r="8762">
      <x:c r="A8762" s="142"/>
    </x:row>
    <x:row r="8763">
      <x:c r="A8763" s="142"/>
    </x:row>
    <x:row r="8764">
      <x:c r="A8764" s="142"/>
    </x:row>
    <x:row r="8765">
      <x:c r="A8765" s="142"/>
    </x:row>
    <x:row r="8766">
      <x:c r="A8766" s="142"/>
    </x:row>
    <x:row r="8767">
      <x:c r="A8767" s="142"/>
    </x:row>
    <x:row r="8768">
      <x:c r="A8768" s="142"/>
    </x:row>
    <x:row r="8769">
      <x:c r="A8769" s="142"/>
    </x:row>
    <x:row r="8770">
      <x:c r="A8770" s="142"/>
    </x:row>
    <x:row r="8771">
      <x:c r="A8771" s="142"/>
    </x:row>
    <x:row r="8772">
      <x:c r="A8772" s="142"/>
    </x:row>
    <x:row r="8773">
      <x:c r="A8773" s="142"/>
    </x:row>
    <x:row r="8774">
      <x:c r="A8774" s="142"/>
    </x:row>
    <x:row r="8775">
      <x:c r="A8775" s="142"/>
    </x:row>
    <x:row r="8776">
      <x:c r="A8776" s="142"/>
    </x:row>
    <x:row r="8777">
      <x:c r="A8777" s="142"/>
    </x:row>
    <x:row r="8778">
      <x:c r="A8778" s="142"/>
    </x:row>
    <x:row r="8779">
      <x:c r="A8779" s="142"/>
    </x:row>
    <x:row r="8780">
      <x:c r="A8780" s="142"/>
    </x:row>
    <x:row r="8781">
      <x:c r="A8781" s="142"/>
    </x:row>
    <x:row r="8782">
      <x:c r="A8782" s="142"/>
    </x:row>
    <x:row r="8783">
      <x:c r="A8783" s="142"/>
    </x:row>
    <x:row r="8784">
      <x:c r="A8784" s="142"/>
    </x:row>
    <x:row r="8785">
      <x:c r="A8785" s="142"/>
    </x:row>
    <x:row r="8786">
      <x:c r="A8786" s="142"/>
    </x:row>
    <x:row r="8787">
      <x:c r="A8787" s="142"/>
    </x:row>
    <x:row r="8788">
      <x:c r="A8788" s="142"/>
    </x:row>
    <x:row r="8789">
      <x:c r="A8789" s="142"/>
    </x:row>
    <x:row r="8790">
      <x:c r="A8790" s="142"/>
    </x:row>
    <x:row r="8791">
      <x:c r="A8791" s="142"/>
    </x:row>
    <x:row r="8792">
      <x:c r="A8792" s="142"/>
    </x:row>
    <x:row r="8793">
      <x:c r="A8793" s="142"/>
    </x:row>
    <x:row r="8794">
      <x:c r="A8794" s="142"/>
    </x:row>
    <x:row r="8795">
      <x:c r="A8795" s="142"/>
    </x:row>
    <x:row r="8796">
      <x:c r="A8796" s="142"/>
    </x:row>
    <x:row r="8797">
      <x:c r="A8797" s="142"/>
    </x:row>
    <x:row r="8798">
      <x:c r="A8798" s="142"/>
    </x:row>
    <x:row r="8799">
      <x:c r="A8799" s="142"/>
    </x:row>
    <x:row r="8800">
      <x:c r="A8800" s="142"/>
    </x:row>
    <x:row r="8801">
      <x:c r="A8801" s="142"/>
    </x:row>
    <x:row r="8802">
      <x:c r="A8802" s="142"/>
    </x:row>
    <x:row r="8803">
      <x:c r="A8803" s="142"/>
    </x:row>
    <x:row r="8804">
      <x:c r="A8804" s="142"/>
    </x:row>
    <x:row r="8805">
      <x:c r="A8805" s="142"/>
    </x:row>
    <x:row r="8806">
      <x:c r="A8806" s="142"/>
    </x:row>
    <x:row r="8807">
      <x:c r="A8807" s="142"/>
    </x:row>
    <x:row r="8808">
      <x:c r="A8808" s="142"/>
    </x:row>
    <x:row r="8809">
      <x:c r="A8809" s="142"/>
    </x:row>
    <x:row r="8810">
      <x:c r="A8810" s="142"/>
    </x:row>
    <x:row r="8811">
      <x:c r="A8811" s="142"/>
    </x:row>
    <x:row r="8812">
      <x:c r="A8812" s="142"/>
    </x:row>
    <x:row r="8813">
      <x:c r="A8813" s="142"/>
    </x:row>
    <x:row r="8814">
      <x:c r="A8814" s="142"/>
    </x:row>
    <x:row r="8815">
      <x:c r="A8815" s="142"/>
    </x:row>
    <x:row r="8816">
      <x:c r="A8816" s="142"/>
    </x:row>
    <x:row r="8817">
      <x:c r="A8817" s="142"/>
    </x:row>
    <x:row r="8818">
      <x:c r="A8818" s="142"/>
    </x:row>
    <x:row r="8819">
      <x:c r="A8819" s="142"/>
    </x:row>
    <x:row r="8820">
      <x:c r="A8820" s="142"/>
    </x:row>
    <x:row r="8821">
      <x:c r="A8821" s="142"/>
    </x:row>
    <x:row r="8822">
      <x:c r="A8822" s="142"/>
    </x:row>
    <x:row r="8823">
      <x:c r="A8823" s="142"/>
    </x:row>
    <x:row r="8824">
      <x:c r="A8824" s="142"/>
    </x:row>
    <x:row r="8825">
      <x:c r="A8825" s="142"/>
    </x:row>
    <x:row r="8826">
      <x:c r="A8826" s="142"/>
    </x:row>
    <x:row r="8827">
      <x:c r="A8827" s="142"/>
    </x:row>
    <x:row r="8828">
      <x:c r="A8828" s="142"/>
    </x:row>
    <x:row r="8829">
      <x:c r="A8829" s="142"/>
    </x:row>
    <x:row r="8830">
      <x:c r="A8830" s="142"/>
    </x:row>
    <x:row r="8831">
      <x:c r="A8831" s="142"/>
    </x:row>
    <x:row r="8832">
      <x:c r="A8832" s="142"/>
    </x:row>
    <x:row r="8833">
      <x:c r="A8833" s="142"/>
    </x:row>
    <x:row r="8834">
      <x:c r="A8834" s="142"/>
    </x:row>
    <x:row r="8835">
      <x:c r="A8835" s="142"/>
    </x:row>
    <x:row r="8836">
      <x:c r="A8836" s="142"/>
    </x:row>
    <x:row r="8837">
      <x:c r="A8837" s="142"/>
    </x:row>
    <x:row r="8838">
      <x:c r="A8838" s="142"/>
    </x:row>
    <x:row r="8839">
      <x:c r="A8839" s="142"/>
    </x:row>
    <x:row r="8840">
      <x:c r="A8840" s="142"/>
    </x:row>
    <x:row r="8841">
      <x:c r="A8841" s="142"/>
    </x:row>
    <x:row r="8842">
      <x:c r="A8842" s="142"/>
    </x:row>
    <x:row r="8843">
      <x:c r="A8843" s="142"/>
    </x:row>
    <x:row r="8844">
      <x:c r="A8844" s="142"/>
    </x:row>
    <x:row r="8845">
      <x:c r="A8845" s="142"/>
    </x:row>
    <x:row r="8846">
      <x:c r="A8846" s="142"/>
    </x:row>
    <x:row r="8847">
      <x:c r="A8847" s="142"/>
    </x:row>
    <x:row r="8848">
      <x:c r="A8848" s="142"/>
    </x:row>
    <x:row r="8849">
      <x:c r="A8849" s="142"/>
    </x:row>
    <x:row r="8850">
      <x:c r="A8850" s="142"/>
    </x:row>
    <x:row r="8851">
      <x:c r="A8851" s="142"/>
    </x:row>
    <x:row r="8852">
      <x:c r="A8852" s="142"/>
    </x:row>
    <x:row r="8853">
      <x:c r="A8853" s="142"/>
    </x:row>
    <x:row r="8854">
      <x:c r="A8854" s="142"/>
    </x:row>
    <x:row r="8855">
      <x:c r="A8855" s="142"/>
    </x:row>
    <x:row r="8856">
      <x:c r="A8856" s="142"/>
    </x:row>
    <x:row r="8857">
      <x:c r="A8857" s="142"/>
    </x:row>
    <x:row r="8858">
      <x:c r="A8858" s="142"/>
    </x:row>
    <x:row r="8859">
      <x:c r="A8859" s="142"/>
    </x:row>
    <x:row r="8860">
      <x:c r="A8860" s="142"/>
    </x:row>
    <x:row r="8861">
      <x:c r="A8861" s="142"/>
    </x:row>
    <x:row r="8862">
      <x:c r="A8862" s="142"/>
    </x:row>
    <x:row r="8863">
      <x:c r="A8863" s="142"/>
    </x:row>
    <x:row r="8864">
      <x:c r="A8864" s="142"/>
    </x:row>
    <x:row r="8865">
      <x:c r="A8865" s="142"/>
    </x:row>
    <x:row r="8866">
      <x:c r="A8866" s="142"/>
    </x:row>
    <x:row r="8867">
      <x:c r="A8867" s="142"/>
    </x:row>
    <x:row r="8868">
      <x:c r="A8868" s="142"/>
    </x:row>
    <x:row r="8869">
      <x:c r="A8869" s="142"/>
    </x:row>
    <x:row r="8870">
      <x:c r="A8870" s="142"/>
    </x:row>
    <x:row r="8871">
      <x:c r="A8871" s="142"/>
    </x:row>
    <x:row r="8872">
      <x:c r="A8872" s="142"/>
    </x:row>
    <x:row r="8873">
      <x:c r="A8873" s="142"/>
    </x:row>
    <x:row r="8874">
      <x:c r="A8874" s="142"/>
    </x:row>
    <x:row r="8875">
      <x:c r="A8875" s="142"/>
    </x:row>
    <x:row r="8876">
      <x:c r="A8876" s="142"/>
    </x:row>
    <x:row r="8877">
      <x:c r="A8877" s="142"/>
    </x:row>
    <x:row r="8878">
      <x:c r="A8878" s="142"/>
    </x:row>
    <x:row r="8879">
      <x:c r="A8879" s="142"/>
    </x:row>
    <x:row r="8880">
      <x:c r="A8880" s="142"/>
    </x:row>
    <x:row r="8881">
      <x:c r="A8881" s="142"/>
    </x:row>
    <x:row r="8882">
      <x:c r="A8882" s="142"/>
    </x:row>
    <x:row r="8883">
      <x:c r="A8883" s="142"/>
    </x:row>
    <x:row r="8884">
      <x:c r="A8884" s="142"/>
    </x:row>
    <x:row r="8885">
      <x:c r="A8885" s="142"/>
    </x:row>
    <x:row r="8886">
      <x:c r="A8886" s="142"/>
    </x:row>
    <x:row r="8887">
      <x:c r="A8887" s="142"/>
    </x:row>
    <x:row r="8888">
      <x:c r="A8888" s="142"/>
    </x:row>
    <x:row r="8889">
      <x:c r="A8889" s="142"/>
    </x:row>
    <x:row r="8890">
      <x:c r="A8890" s="142"/>
    </x:row>
    <x:row r="8891">
      <x:c r="A8891" s="142"/>
    </x:row>
    <x:row r="8892">
      <x:c r="A8892" s="142"/>
    </x:row>
    <x:row r="8893">
      <x:c r="A8893" s="142"/>
    </x:row>
    <x:row r="8894">
      <x:c r="A8894" s="142"/>
    </x:row>
    <x:row r="8895">
      <x:c r="A8895" s="142"/>
    </x:row>
    <x:row r="8896">
      <x:c r="A8896" s="142"/>
    </x:row>
    <x:row r="8897">
      <x:c r="A8897" s="142"/>
    </x:row>
    <x:row r="8898">
      <x:c r="A8898" s="142"/>
    </x:row>
    <x:row r="8899">
      <x:c r="A8899" s="142"/>
    </x:row>
    <x:row r="8900">
      <x:c r="A8900" s="142"/>
    </x:row>
    <x:row r="8901">
      <x:c r="A8901" s="142"/>
    </x:row>
    <x:row r="8902">
      <x:c r="A8902" s="142"/>
    </x:row>
    <x:row r="8903">
      <x:c r="A8903" s="142"/>
    </x:row>
    <x:row r="8904">
      <x:c r="A8904" s="142"/>
    </x:row>
    <x:row r="8905">
      <x:c r="A8905" s="142"/>
    </x:row>
    <x:row r="8906">
      <x:c r="A8906" s="142"/>
    </x:row>
    <x:row r="8907">
      <x:c r="A8907" s="142"/>
    </x:row>
    <x:row r="8908">
      <x:c r="A8908" s="142"/>
    </x:row>
    <x:row r="8909">
      <x:c r="A8909" s="142"/>
    </x:row>
    <x:row r="8910">
      <x:c r="A8910" s="142"/>
    </x:row>
    <x:row r="8911">
      <x:c r="A8911" s="142"/>
    </x:row>
    <x:row r="8912">
      <x:c r="A8912" s="142"/>
    </x:row>
    <x:row r="8913">
      <x:c r="A8913" s="142"/>
    </x:row>
    <x:row r="8914">
      <x:c r="A8914" s="142"/>
    </x:row>
    <x:row r="8915">
      <x:c r="A8915" s="142"/>
    </x:row>
    <x:row r="8916">
      <x:c r="A8916" s="142"/>
    </x:row>
    <x:row r="8917">
      <x:c r="A8917" s="142"/>
    </x:row>
    <x:row r="8918">
      <x:c r="A8918" s="142"/>
    </x:row>
    <x:row r="8919">
      <x:c r="A8919" s="142"/>
    </x:row>
    <x:row r="8920">
      <x:c r="A8920" s="142"/>
    </x:row>
    <x:row r="8921">
      <x:c r="A8921" s="142"/>
    </x:row>
    <x:row r="8922">
      <x:c r="A8922" s="142"/>
    </x:row>
    <x:row r="8923">
      <x:c r="A8923" s="142"/>
    </x:row>
    <x:row r="8924">
      <x:c r="A8924" s="142"/>
    </x:row>
    <x:row r="8925">
      <x:c r="A8925" s="142"/>
    </x:row>
    <x:row r="8926">
      <x:c r="A8926" s="142"/>
    </x:row>
    <x:row r="8927">
      <x:c r="A8927" s="142"/>
    </x:row>
    <x:row r="8928">
      <x:c r="A8928" s="142"/>
    </x:row>
    <x:row r="8929">
      <x:c r="A8929" s="142"/>
    </x:row>
    <x:row r="8930">
      <x:c r="A8930" s="142"/>
    </x:row>
    <x:row r="8931">
      <x:c r="A8931" s="142"/>
    </x:row>
    <x:row r="8932">
      <x:c r="A8932" s="142"/>
    </x:row>
    <x:row r="8933">
      <x:c r="A8933" s="142"/>
    </x:row>
    <x:row r="8934">
      <x:c r="A8934" s="142"/>
    </x:row>
    <x:row r="8935">
      <x:c r="A8935" s="142"/>
    </x:row>
    <x:row r="8936">
      <x:c r="A8936" s="142"/>
    </x:row>
    <x:row r="8937">
      <x:c r="A8937" s="142"/>
    </x:row>
    <x:row r="8938">
      <x:c r="A8938" s="142"/>
    </x:row>
    <x:row r="8939">
      <x:c r="A8939" s="142"/>
    </x:row>
    <x:row r="8940">
      <x:c r="A8940" s="142"/>
    </x:row>
    <x:row r="8941">
      <x:c r="A8941" s="142"/>
    </x:row>
    <x:row r="8942">
      <x:c r="A8942" s="142"/>
    </x:row>
    <x:row r="8943">
      <x:c r="A8943" s="142"/>
    </x:row>
    <x:row r="8944">
      <x:c r="A8944" s="142"/>
    </x:row>
    <x:row r="8945">
      <x:c r="A8945" s="142"/>
    </x:row>
    <x:row r="8946">
      <x:c r="A8946" s="142"/>
    </x:row>
    <x:row r="8947">
      <x:c r="A8947" s="142"/>
    </x:row>
    <x:row r="8948">
      <x:c r="A8948" s="142"/>
    </x:row>
    <x:row r="8949">
      <x:c r="A8949" s="142"/>
    </x:row>
    <x:row r="8950">
      <x:c r="A8950" s="142"/>
    </x:row>
    <x:row r="8951">
      <x:c r="A8951" s="142"/>
    </x:row>
    <x:row r="8952">
      <x:c r="A8952" s="142"/>
    </x:row>
    <x:row r="8953">
      <x:c r="A8953" s="142"/>
    </x:row>
    <x:row r="8954">
      <x:c r="A8954" s="142"/>
    </x:row>
    <x:row r="8955">
      <x:c r="A8955" s="142"/>
    </x:row>
    <x:row r="8956">
      <x:c r="A8956" s="142"/>
    </x:row>
    <x:row r="8957">
      <x:c r="A8957" s="142"/>
    </x:row>
    <x:row r="8958">
      <x:c r="A8958" s="142"/>
    </x:row>
    <x:row r="8959">
      <x:c r="A8959" s="142"/>
    </x:row>
    <x:row r="8960">
      <x:c r="A8960" s="142"/>
    </x:row>
    <x:row r="8961">
      <x:c r="A8961" s="142"/>
    </x:row>
    <x:row r="8962">
      <x:c r="A8962" s="142"/>
    </x:row>
    <x:row r="8963">
      <x:c r="A8963" s="142"/>
    </x:row>
    <x:row r="8964">
      <x:c r="A8964" s="142"/>
    </x:row>
    <x:row r="8965">
      <x:c r="A8965" s="142"/>
    </x:row>
    <x:row r="8966">
      <x:c r="A8966" s="142"/>
    </x:row>
    <x:row r="8967">
      <x:c r="A8967" s="142"/>
    </x:row>
    <x:row r="8968">
      <x:c r="A8968" s="142"/>
    </x:row>
    <x:row r="8969">
      <x:c r="A8969" s="142"/>
    </x:row>
    <x:row r="8970">
      <x:c r="A8970" s="142"/>
    </x:row>
    <x:row r="8971">
      <x:c r="A8971" s="142"/>
    </x:row>
    <x:row r="8972">
      <x:c r="A8972" s="142"/>
    </x:row>
    <x:row r="8973">
      <x:c r="A8973" s="142"/>
    </x:row>
    <x:row r="8974">
      <x:c r="A8974" s="142"/>
    </x:row>
    <x:row r="8975">
      <x:c r="A8975" s="142"/>
    </x:row>
    <x:row r="8976">
      <x:c r="A8976" s="142"/>
    </x:row>
    <x:row r="8977">
      <x:c r="A8977" s="142"/>
    </x:row>
    <x:row r="8978">
      <x:c r="A8978" s="142"/>
    </x:row>
    <x:row r="8979">
      <x:c r="A8979" s="142"/>
    </x:row>
    <x:row r="8980">
      <x:c r="A8980" s="142"/>
    </x:row>
    <x:row r="8981">
      <x:c r="A8981" s="142"/>
    </x:row>
    <x:row r="8982">
      <x:c r="A8982" s="142"/>
    </x:row>
    <x:row r="8983">
      <x:c r="A8983" s="142"/>
    </x:row>
    <x:row r="8984">
      <x:c r="A8984" s="142"/>
    </x:row>
    <x:row r="8985">
      <x:c r="A8985" s="142"/>
    </x:row>
    <x:row r="8986">
      <x:c r="A8986" s="142"/>
    </x:row>
    <x:row r="8987">
      <x:c r="A8987" s="142"/>
    </x:row>
    <x:row r="8988">
      <x:c r="A8988" s="142"/>
    </x:row>
    <x:row r="8989">
      <x:c r="A8989" s="142"/>
    </x:row>
    <x:row r="8990">
      <x:c r="A8990" s="142"/>
    </x:row>
    <x:row r="8991">
      <x:c r="A8991" s="142"/>
    </x:row>
    <x:row r="8992">
      <x:c r="A8992" s="142"/>
    </x:row>
    <x:row r="8993">
      <x:c r="A8993" s="142"/>
    </x:row>
    <x:row r="8994">
      <x:c r="A8994" s="142"/>
    </x:row>
    <x:row r="8995">
      <x:c r="A8995" s="142"/>
    </x:row>
    <x:row r="8996">
      <x:c r="A8996" s="142"/>
    </x:row>
    <x:row r="8997">
      <x:c r="A8997" s="142"/>
    </x:row>
    <x:row r="8998">
      <x:c r="A8998" s="142"/>
    </x:row>
    <x:row r="8999">
      <x:c r="A8999" s="142"/>
    </x:row>
    <x:row r="9000">
      <x:c r="A9000" s="142"/>
    </x:row>
    <x:row r="9001">
      <x:c r="A9001" s="142"/>
    </x:row>
    <x:row r="9002">
      <x:c r="A9002" s="142"/>
    </x:row>
    <x:row r="9003">
      <x:c r="A9003" s="142"/>
    </x:row>
    <x:row r="9004">
      <x:c r="A9004" s="142"/>
    </x:row>
    <x:row r="9005">
      <x:c r="A9005" s="142"/>
    </x:row>
    <x:row r="9006">
      <x:c r="A9006" s="142"/>
    </x:row>
    <x:row r="9007">
      <x:c r="A9007" s="142"/>
    </x:row>
    <x:row r="9008">
      <x:c r="A9008" s="142"/>
    </x:row>
    <x:row r="9009">
      <x:c r="A9009" s="142"/>
    </x:row>
    <x:row r="9010">
      <x:c r="A9010" s="142"/>
    </x:row>
    <x:row r="9011">
      <x:c r="A9011" s="142"/>
    </x:row>
    <x:row r="9012">
      <x:c r="A9012" s="142"/>
    </x:row>
    <x:row r="9013">
      <x:c r="A9013" s="142"/>
    </x:row>
    <x:row r="9014">
      <x:c r="A9014" s="142"/>
    </x:row>
    <x:row r="9015">
      <x:c r="A9015" s="142"/>
    </x:row>
    <x:row r="9016">
      <x:c r="A9016" s="142"/>
    </x:row>
    <x:row r="9017">
      <x:c r="A9017" s="142"/>
    </x:row>
    <x:row r="9018">
      <x:c r="A9018" s="142"/>
    </x:row>
    <x:row r="9019">
      <x:c r="A9019" s="142"/>
    </x:row>
    <x:row r="9020">
      <x:c r="A9020" s="142"/>
    </x:row>
    <x:row r="9021">
      <x:c r="A9021" s="142"/>
    </x:row>
    <x:row r="9022">
      <x:c r="A9022" s="142"/>
    </x:row>
    <x:row r="9023">
      <x:c r="A9023" s="142"/>
    </x:row>
    <x:row r="9024">
      <x:c r="A9024" s="142"/>
    </x:row>
    <x:row r="9025">
      <x:c r="A9025" s="142"/>
    </x:row>
    <x:row r="9026">
      <x:c r="A9026" s="142"/>
    </x:row>
    <x:row r="9027">
      <x:c r="A9027" s="142"/>
    </x:row>
    <x:row r="9028">
      <x:c r="A9028" s="142"/>
    </x:row>
    <x:row r="9029">
      <x:c r="A9029" s="142"/>
    </x:row>
    <x:row r="9030">
      <x:c r="A9030" s="142"/>
    </x:row>
    <x:row r="9031">
      <x:c r="A9031" s="142"/>
    </x:row>
    <x:row r="9032">
      <x:c r="A9032" s="142"/>
    </x:row>
    <x:row r="9033">
      <x:c r="A9033" s="142"/>
    </x:row>
    <x:row r="9034">
      <x:c r="A9034" s="142"/>
    </x:row>
    <x:row r="9035">
      <x:c r="A9035" s="142"/>
    </x:row>
    <x:row r="9036">
      <x:c r="A9036" s="142"/>
    </x:row>
    <x:row r="9037">
      <x:c r="A9037" s="142"/>
    </x:row>
    <x:row r="9038">
      <x:c r="A9038" s="142"/>
    </x:row>
    <x:row r="9039">
      <x:c r="A9039" s="142"/>
    </x:row>
    <x:row r="9040">
      <x:c r="A9040" s="142"/>
    </x:row>
    <x:row r="9041">
      <x:c r="A9041" s="142"/>
    </x:row>
    <x:row r="9042">
      <x:c r="A9042" s="142"/>
    </x:row>
    <x:row r="9043">
      <x:c r="A9043" s="142"/>
    </x:row>
    <x:row r="9044">
      <x:c r="A9044" s="142"/>
    </x:row>
    <x:row r="9045">
      <x:c r="A9045" s="142"/>
    </x:row>
    <x:row r="9046">
      <x:c r="A9046" s="142"/>
    </x:row>
    <x:row r="9047">
      <x:c r="A9047" s="142"/>
    </x:row>
    <x:row r="9048">
      <x:c r="A9048" s="142"/>
    </x:row>
    <x:row r="9049">
      <x:c r="A9049" s="142"/>
    </x:row>
    <x:row r="9050">
      <x:c r="A9050" s="142"/>
    </x:row>
    <x:row r="9051">
      <x:c r="A9051" s="142"/>
    </x:row>
    <x:row r="9052">
      <x:c r="A9052" s="142"/>
    </x:row>
    <x:row r="9053">
      <x:c r="A9053" s="142"/>
    </x:row>
    <x:row r="9054">
      <x:c r="A9054" s="142"/>
    </x:row>
    <x:row r="9055">
      <x:c r="A9055" s="142"/>
    </x:row>
    <x:row r="9056">
      <x:c r="A9056" s="142"/>
    </x:row>
    <x:row r="9057">
      <x:c r="A9057" s="142"/>
    </x:row>
    <x:row r="9058">
      <x:c r="A9058" s="142"/>
    </x:row>
    <x:row r="9059">
      <x:c r="A9059" s="142"/>
    </x:row>
    <x:row r="9060">
      <x:c r="A9060" s="142"/>
    </x:row>
    <x:row r="9061">
      <x:c r="A9061" s="142"/>
    </x:row>
    <x:row r="9062">
      <x:c r="A9062" s="142"/>
    </x:row>
    <x:row r="9063">
      <x:c r="A9063" s="142"/>
    </x:row>
    <x:row r="9064">
      <x:c r="A9064" s="142"/>
    </x:row>
    <x:row r="9065">
      <x:c r="A9065" s="142"/>
    </x:row>
    <x:row r="9066">
      <x:c r="A9066" s="142"/>
    </x:row>
    <x:row r="9067">
      <x:c r="A9067" s="142"/>
    </x:row>
    <x:row r="9068">
      <x:c r="A9068" s="142"/>
    </x:row>
    <x:row r="9069">
      <x:c r="A9069" s="142"/>
    </x:row>
    <x:row r="9070">
      <x:c r="A9070" s="142"/>
    </x:row>
    <x:row r="9071">
      <x:c r="A9071" s="142"/>
    </x:row>
    <x:row r="9072">
      <x:c r="A9072" s="142"/>
    </x:row>
    <x:row r="9073">
      <x:c r="A9073" s="142"/>
    </x:row>
    <x:row r="9074">
      <x:c r="A9074" s="142"/>
    </x:row>
    <x:row r="9075">
      <x:c r="A9075" s="142"/>
    </x:row>
    <x:row r="9076">
      <x:c r="A9076" s="142"/>
    </x:row>
    <x:row r="9077">
      <x:c r="A9077" s="142"/>
    </x:row>
    <x:row r="9078">
      <x:c r="A9078" s="142"/>
    </x:row>
    <x:row r="9079">
      <x:c r="A9079" s="142"/>
    </x:row>
    <x:row r="9080">
      <x:c r="A9080" s="142"/>
    </x:row>
    <x:row r="9081">
      <x:c r="A9081" s="142"/>
    </x:row>
    <x:row r="9082">
      <x:c r="A9082" s="142"/>
    </x:row>
    <x:row r="9083">
      <x:c r="A9083" s="142"/>
    </x:row>
    <x:row r="9084">
      <x:c r="A9084" s="142"/>
    </x:row>
    <x:row r="9085">
      <x:c r="A9085" s="142"/>
    </x:row>
    <x:row r="9086">
      <x:c r="A9086" s="142"/>
    </x:row>
    <x:row r="9087">
      <x:c r="A9087" s="142"/>
    </x:row>
    <x:row r="9088">
      <x:c r="A9088" s="142"/>
    </x:row>
    <x:row r="9089">
      <x:c r="A9089" s="142"/>
    </x:row>
    <x:row r="9090">
      <x:c r="A9090" s="142"/>
    </x:row>
    <x:row r="9091">
      <x:c r="A9091" s="142"/>
    </x:row>
    <x:row r="9092">
      <x:c r="A9092" s="142"/>
    </x:row>
    <x:row r="9093">
      <x:c r="A9093" s="142"/>
    </x:row>
    <x:row r="9094">
      <x:c r="A9094" s="142"/>
    </x:row>
    <x:row r="9095">
      <x:c r="A9095" s="142"/>
    </x:row>
    <x:row r="9096">
      <x:c r="A9096" s="142"/>
    </x:row>
    <x:row r="9097">
      <x:c r="A9097" s="142"/>
    </x:row>
    <x:row r="9098">
      <x:c r="A9098" s="142"/>
    </x:row>
    <x:row r="9099">
      <x:c r="A9099" s="142"/>
    </x:row>
    <x:row r="9100">
      <x:c r="A9100" s="142"/>
    </x:row>
    <x:row r="9101">
      <x:c r="A9101" s="142"/>
    </x:row>
    <x:row r="9102">
      <x:c r="A9102" s="142"/>
    </x:row>
    <x:row r="9103">
      <x:c r="A9103" s="142"/>
    </x:row>
    <x:row r="9104">
      <x:c r="A9104" s="142"/>
    </x:row>
    <x:row r="9105">
      <x:c r="A9105" s="142"/>
    </x:row>
    <x:row r="9106">
      <x:c r="A9106" s="142"/>
    </x:row>
    <x:row r="9107">
      <x:c r="A9107" s="142"/>
    </x:row>
    <x:row r="9108">
      <x:c r="A9108" s="142"/>
    </x:row>
    <x:row r="9109">
      <x:c r="A9109" s="142"/>
    </x:row>
    <x:row r="9110">
      <x:c r="A9110" s="142"/>
    </x:row>
    <x:row r="9111">
      <x:c r="A9111" s="142"/>
    </x:row>
    <x:row r="9112">
      <x:c r="A9112" s="142"/>
    </x:row>
    <x:row r="9113">
      <x:c r="A9113" s="142"/>
    </x:row>
    <x:row r="9114">
      <x:c r="A9114" s="142"/>
    </x:row>
    <x:row r="9115">
      <x:c r="A9115" s="142"/>
    </x:row>
    <x:row r="9116">
      <x:c r="A9116" s="142"/>
    </x:row>
    <x:row r="9117">
      <x:c r="A9117" s="142"/>
    </x:row>
    <x:row r="9118">
      <x:c r="A9118" s="142"/>
    </x:row>
    <x:row r="9119">
      <x:c r="A9119" s="142"/>
    </x:row>
    <x:row r="9120">
      <x:c r="A9120" s="142"/>
    </x:row>
    <x:row r="9121">
      <x:c r="A9121" s="142"/>
    </x:row>
    <x:row r="9122">
      <x:c r="A9122" s="142"/>
    </x:row>
    <x:row r="9123">
      <x:c r="A9123" s="142"/>
    </x:row>
    <x:row r="9124">
      <x:c r="A9124" s="142"/>
    </x:row>
    <x:row r="9125">
      <x:c r="A9125" s="142"/>
    </x:row>
    <x:row r="9126">
      <x:c r="A9126" s="142"/>
    </x:row>
    <x:row r="9127">
      <x:c r="A9127" s="142"/>
    </x:row>
    <x:row r="9128">
      <x:c r="A9128" s="142"/>
    </x:row>
    <x:row r="9129">
      <x:c r="A9129" s="142"/>
    </x:row>
    <x:row r="9130">
      <x:c r="A9130" s="142"/>
    </x:row>
    <x:row r="9131">
      <x:c r="A9131" s="142"/>
    </x:row>
    <x:row r="9132">
      <x:c r="A9132" s="142"/>
    </x:row>
    <x:row r="9133">
      <x:c r="A9133" s="142"/>
    </x:row>
    <x:row r="9134">
      <x:c r="A9134" s="142"/>
    </x:row>
    <x:row r="9135">
      <x:c r="A9135" s="142"/>
    </x:row>
    <x:row r="9136">
      <x:c r="A9136" s="142"/>
    </x:row>
    <x:row r="9137">
      <x:c r="A9137" s="142"/>
    </x:row>
    <x:row r="9138">
      <x:c r="A9138" s="142"/>
    </x:row>
    <x:row r="9139">
      <x:c r="A9139" s="142"/>
    </x:row>
    <x:row r="9140">
      <x:c r="A9140" s="142"/>
    </x:row>
    <x:row r="9141">
      <x:c r="A9141" s="142"/>
    </x:row>
    <x:row r="9142">
      <x:c r="A9142" s="142"/>
    </x:row>
    <x:row r="9143">
      <x:c r="A9143" s="142"/>
    </x:row>
    <x:row r="9144">
      <x:c r="A9144" s="142"/>
    </x:row>
    <x:row r="9145">
      <x:c r="A9145" s="142"/>
    </x:row>
    <x:row r="9146">
      <x:c r="A9146" s="142"/>
    </x:row>
    <x:row r="9147">
      <x:c r="A9147" s="142"/>
    </x:row>
    <x:row r="9148">
      <x:c r="A9148" s="142"/>
    </x:row>
    <x:row r="9149">
      <x:c r="A9149" s="142"/>
    </x:row>
    <x:row r="9150">
      <x:c r="A9150" s="142"/>
    </x:row>
    <x:row r="9151">
      <x:c r="A9151" s="142"/>
    </x:row>
    <x:row r="9152">
      <x:c r="A9152" s="142"/>
    </x:row>
    <x:row r="9153">
      <x:c r="A9153" s="142"/>
    </x:row>
    <x:row r="9154">
      <x:c r="A9154" s="142"/>
    </x:row>
    <x:row r="9155">
      <x:c r="A9155" s="142"/>
    </x:row>
    <x:row r="9156">
      <x:c r="A9156" s="142"/>
    </x:row>
    <x:row r="9157">
      <x:c r="A9157" s="142"/>
    </x:row>
    <x:row r="9158">
      <x:c r="A9158" s="142"/>
    </x:row>
    <x:row r="9159">
      <x:c r="A9159" s="142"/>
    </x:row>
    <x:row r="9160">
      <x:c r="A9160" s="142"/>
    </x:row>
    <x:row r="9161">
      <x:c r="A9161" s="142"/>
    </x:row>
    <x:row r="9162">
      <x:c r="A9162" s="142"/>
    </x:row>
    <x:row r="9163">
      <x:c r="A9163" s="142"/>
    </x:row>
    <x:row r="9164">
      <x:c r="A9164" s="142"/>
    </x:row>
    <x:row r="9165">
      <x:c r="A9165" s="142"/>
    </x:row>
    <x:row r="9166">
      <x:c r="A9166" s="142"/>
    </x:row>
    <x:row r="9167">
      <x:c r="A9167" s="142"/>
    </x:row>
    <x:row r="9168">
      <x:c r="A9168" s="142"/>
    </x:row>
    <x:row r="9169">
      <x:c r="A9169" s="142"/>
    </x:row>
    <x:row r="9170">
      <x:c r="A9170" s="142"/>
    </x:row>
    <x:row r="9171">
      <x:c r="A9171" s="142"/>
    </x:row>
    <x:row r="9172">
      <x:c r="A9172" s="142"/>
    </x:row>
    <x:row r="9173">
      <x:c r="A9173" s="142"/>
    </x:row>
    <x:row r="9174">
      <x:c r="A9174" s="142"/>
    </x:row>
    <x:row r="9175">
      <x:c r="A9175" s="142"/>
    </x:row>
    <x:row r="9176">
      <x:c r="A9176" s="142"/>
    </x:row>
    <x:row r="9177">
      <x:c r="A9177" s="142"/>
    </x:row>
    <x:row r="9178">
      <x:c r="A9178" s="142"/>
    </x:row>
    <x:row r="9179">
      <x:c r="A9179" s="142"/>
    </x:row>
    <x:row r="9180">
      <x:c r="A9180" s="142"/>
    </x:row>
    <x:row r="9181">
      <x:c r="A9181" s="142"/>
    </x:row>
    <x:row r="9182">
      <x:c r="A9182" s="142"/>
    </x:row>
    <x:row r="9183">
      <x:c r="A9183" s="142"/>
    </x:row>
    <x:row r="9184">
      <x:c r="A9184" s="142"/>
    </x:row>
    <x:row r="9185">
      <x:c r="A9185" s="142"/>
    </x:row>
    <x:row r="9186">
      <x:c r="A9186" s="142"/>
    </x:row>
    <x:row r="9187">
      <x:c r="A9187" s="142"/>
    </x:row>
    <x:row r="9188">
      <x:c r="A9188" s="142"/>
    </x:row>
    <x:row r="9189">
      <x:c r="A9189" s="142"/>
    </x:row>
    <x:row r="9190">
      <x:c r="A9190" s="142"/>
    </x:row>
    <x:row r="9191">
      <x:c r="A9191" s="142"/>
    </x:row>
    <x:row r="9192">
      <x:c r="A9192" s="142"/>
    </x:row>
    <x:row r="9193">
      <x:c r="A9193" s="142"/>
    </x:row>
    <x:row r="9194">
      <x:c r="A9194" s="142"/>
    </x:row>
    <x:row r="9195">
      <x:c r="A9195" s="142"/>
    </x:row>
    <x:row r="9196">
      <x:c r="A9196" s="142"/>
    </x:row>
    <x:row r="9197">
      <x:c r="A9197" s="142"/>
    </x:row>
    <x:row r="9198">
      <x:c r="A9198" s="142"/>
    </x:row>
    <x:row r="9199">
      <x:c r="A9199" s="142"/>
    </x:row>
    <x:row r="9200">
      <x:c r="A9200" s="142"/>
    </x:row>
    <x:row r="9201">
      <x:c r="A9201" s="142"/>
    </x:row>
    <x:row r="9202">
      <x:c r="A9202" s="142"/>
    </x:row>
    <x:row r="9203">
      <x:c r="A9203" s="142"/>
    </x:row>
    <x:row r="9204">
      <x:c r="A9204" s="142"/>
    </x:row>
    <x:row r="9205">
      <x:c r="A9205" s="142"/>
    </x:row>
    <x:row r="9206">
      <x:c r="A9206" s="142"/>
    </x:row>
    <x:row r="9207">
      <x:c r="A9207" s="142"/>
    </x:row>
    <x:row r="9208">
      <x:c r="A9208" s="142"/>
    </x:row>
    <x:row r="9209">
      <x:c r="A9209" s="142"/>
    </x:row>
    <x:row r="9210">
      <x:c r="A9210" s="142"/>
    </x:row>
    <x:row r="9211">
      <x:c r="A9211" s="142"/>
    </x:row>
    <x:row r="9212">
      <x:c r="A9212" s="142"/>
    </x:row>
    <x:row r="9213">
      <x:c r="A9213" s="142"/>
    </x:row>
    <x:row r="9214">
      <x:c r="A9214" s="142"/>
    </x:row>
    <x:row r="9215">
      <x:c r="A9215" s="142"/>
    </x:row>
    <x:row r="9216">
      <x:c r="A9216" s="142"/>
    </x:row>
    <x:row r="9217">
      <x:c r="A9217" s="142"/>
    </x:row>
    <x:row r="9218">
      <x:c r="A9218" s="142"/>
    </x:row>
    <x:row r="9219">
      <x:c r="A9219" s="142"/>
    </x:row>
    <x:row r="9220">
      <x:c r="A9220" s="142"/>
    </x:row>
    <x:row r="9221">
      <x:c r="A9221" s="142"/>
    </x:row>
    <x:row r="9222">
      <x:c r="A9222" s="142"/>
    </x:row>
    <x:row r="9223">
      <x:c r="A9223" s="142"/>
    </x:row>
    <x:row r="9224">
      <x:c r="A9224" s="142"/>
    </x:row>
    <x:row r="9225">
      <x:c r="A9225" s="142"/>
    </x:row>
    <x:row r="9226">
      <x:c r="A9226" s="142"/>
    </x:row>
    <x:row r="9227">
      <x:c r="A9227" s="142"/>
    </x:row>
    <x:row r="9228">
      <x:c r="A9228" s="142"/>
    </x:row>
    <x:row r="9229">
      <x:c r="A9229" s="142"/>
    </x:row>
    <x:row r="9230">
      <x:c r="A9230" s="142"/>
    </x:row>
    <x:row r="9231">
      <x:c r="A9231" s="142"/>
    </x:row>
    <x:row r="9232">
      <x:c r="A9232" s="142"/>
    </x:row>
    <x:row r="9233">
      <x:c r="A9233" s="142"/>
    </x:row>
    <x:row r="9234">
      <x:c r="A9234" s="142"/>
    </x:row>
    <x:row r="9235">
      <x:c r="A9235" s="142"/>
    </x:row>
    <x:row r="9236">
      <x:c r="A9236" s="142"/>
    </x:row>
    <x:row r="9237">
      <x:c r="A9237" s="142"/>
    </x:row>
    <x:row r="9238">
      <x:c r="A9238" s="142"/>
    </x:row>
    <x:row r="9239">
      <x:c r="A9239" s="142"/>
    </x:row>
    <x:row r="9240">
      <x:c r="A9240" s="142"/>
    </x:row>
    <x:row r="9241">
      <x:c r="A9241" s="142"/>
    </x:row>
    <x:row r="9242">
      <x:c r="A9242" s="142"/>
    </x:row>
    <x:row r="9243">
      <x:c r="A9243" s="142"/>
    </x:row>
    <x:row r="9244">
      <x:c r="A9244" s="142"/>
    </x:row>
    <x:row r="9245">
      <x:c r="A9245" s="142"/>
    </x:row>
    <x:row r="9246">
      <x:c r="A9246" s="142"/>
    </x:row>
    <x:row r="9247">
      <x:c r="A9247" s="142"/>
    </x:row>
    <x:row r="9248">
      <x:c r="A9248" s="142"/>
    </x:row>
    <x:row r="9249">
      <x:c r="A9249" s="142"/>
    </x:row>
    <x:row r="9250">
      <x:c r="A9250" s="142"/>
    </x:row>
    <x:row r="9251">
      <x:c r="A9251" s="142"/>
    </x:row>
    <x:row r="9252">
      <x:c r="A9252" s="142"/>
    </x:row>
    <x:row r="9253">
      <x:c r="A9253" s="142"/>
    </x:row>
    <x:row r="9254">
      <x:c r="A9254" s="142"/>
    </x:row>
    <x:row r="9255">
      <x:c r="A9255" s="142"/>
    </x:row>
    <x:row r="9256">
      <x:c r="A9256" s="142"/>
    </x:row>
    <x:row r="9257">
      <x:c r="A9257" s="142"/>
    </x:row>
    <x:row r="9258">
      <x:c r="A9258" s="142"/>
    </x:row>
    <x:row r="9259">
      <x:c r="A9259" s="142"/>
    </x:row>
    <x:row r="9260">
      <x:c r="A9260" s="142"/>
    </x:row>
    <x:row r="9261">
      <x:c r="A9261" s="142"/>
    </x:row>
    <x:row r="9262">
      <x:c r="A9262" s="142"/>
    </x:row>
    <x:row r="9263">
      <x:c r="A9263" s="142"/>
    </x:row>
    <x:row r="9264">
      <x:c r="A9264" s="142"/>
    </x:row>
    <x:row r="9265">
      <x:c r="A9265" s="142"/>
    </x:row>
    <x:row r="9266">
      <x:c r="A9266" s="142"/>
    </x:row>
    <x:row r="9267">
      <x:c r="A9267" s="142"/>
    </x:row>
    <x:row r="9268">
      <x:c r="A9268" s="142"/>
    </x:row>
    <x:row r="9269">
      <x:c r="A9269" s="142"/>
    </x:row>
    <x:row r="9270">
      <x:c r="A9270" s="142"/>
    </x:row>
    <x:row r="9271">
      <x:c r="A9271" s="142"/>
    </x:row>
    <x:row r="9272">
      <x:c r="A9272" s="142"/>
    </x:row>
    <x:row r="9273">
      <x:c r="A9273" s="142"/>
    </x:row>
    <x:row r="9274">
      <x:c r="A9274" s="142"/>
    </x:row>
    <x:row r="9275">
      <x:c r="A9275" s="142"/>
    </x:row>
    <x:row r="9276">
      <x:c r="A9276" s="142"/>
    </x:row>
    <x:row r="9277">
      <x:c r="A9277" s="142"/>
    </x:row>
    <x:row r="9278">
      <x:c r="A9278" s="142"/>
    </x:row>
    <x:row r="9279">
      <x:c r="A9279" s="142"/>
    </x:row>
    <x:row r="9280">
      <x:c r="A9280" s="142"/>
    </x:row>
    <x:row r="9281">
      <x:c r="A9281" s="142"/>
    </x:row>
    <x:row r="9282">
      <x:c r="A9282" s="142"/>
    </x:row>
    <x:row r="9283">
      <x:c r="A9283" s="142"/>
    </x:row>
    <x:row r="9284">
      <x:c r="A9284" s="142"/>
    </x:row>
    <x:row r="9285">
      <x:c r="A9285" s="142"/>
    </x:row>
    <x:row r="9286">
      <x:c r="A9286" s="142"/>
    </x:row>
    <x:row r="9287">
      <x:c r="A9287" s="142"/>
    </x:row>
    <x:row r="9288">
      <x:c r="A9288" s="142"/>
    </x:row>
    <x:row r="9289">
      <x:c r="A9289" s="142"/>
    </x:row>
    <x:row r="9290">
      <x:c r="A9290" s="142"/>
    </x:row>
    <x:row r="9291">
      <x:c r="A9291" s="142"/>
    </x:row>
    <x:row r="9292">
      <x:c r="A9292" s="142"/>
    </x:row>
    <x:row r="9293">
      <x:c r="A9293" s="142"/>
    </x:row>
    <x:row r="9294">
      <x:c r="A9294" s="142"/>
    </x:row>
    <x:row r="9295">
      <x:c r="A9295" s="142"/>
    </x:row>
    <x:row r="9296">
      <x:c r="A9296" s="142"/>
    </x:row>
    <x:row r="9297">
      <x:c r="A9297" s="142"/>
    </x:row>
    <x:row r="9298">
      <x:c r="A9298" s="142"/>
    </x:row>
    <x:row r="9299">
      <x:c r="A9299" s="142"/>
    </x:row>
    <x:row r="9300">
      <x:c r="A9300" s="142"/>
    </x:row>
    <x:row r="9301">
      <x:c r="A9301" s="142"/>
    </x:row>
    <x:row r="9302">
      <x:c r="A9302" s="142"/>
    </x:row>
    <x:row r="9303">
      <x:c r="A9303" s="142"/>
    </x:row>
    <x:row r="9304">
      <x:c r="A9304" s="142"/>
    </x:row>
    <x:row r="9305">
      <x:c r="A9305" s="142"/>
    </x:row>
    <x:row r="9306">
      <x:c r="A9306" s="142"/>
    </x:row>
    <x:row r="9307">
      <x:c r="A9307" s="142"/>
    </x:row>
    <x:row r="9308">
      <x:c r="A9308" s="142"/>
    </x:row>
    <x:row r="9309">
      <x:c r="A9309" s="142"/>
    </x:row>
    <x:row r="9310">
      <x:c r="A9310" s="142"/>
    </x:row>
    <x:row r="9311">
      <x:c r="A9311" s="142"/>
    </x:row>
    <x:row r="9312">
      <x:c r="A9312" s="142"/>
    </x:row>
    <x:row r="9313">
      <x:c r="A9313" s="142"/>
    </x:row>
    <x:row r="9314">
      <x:c r="A9314" s="142"/>
    </x:row>
    <x:row r="9315">
      <x:c r="A9315" s="142"/>
    </x:row>
    <x:row r="9316">
      <x:c r="A9316" s="142"/>
    </x:row>
    <x:row r="9317">
      <x:c r="A9317" s="142"/>
    </x:row>
    <x:row r="9318">
      <x:c r="A9318" s="142"/>
    </x:row>
    <x:row r="9319">
      <x:c r="A9319" s="142"/>
    </x:row>
    <x:row r="9320">
      <x:c r="A9320" s="142"/>
    </x:row>
    <x:row r="9321">
      <x:c r="A9321" s="142"/>
    </x:row>
    <x:row r="9322">
      <x:c r="A9322" s="142"/>
    </x:row>
    <x:row r="9323">
      <x:c r="A9323" s="142"/>
    </x:row>
    <x:row r="9324">
      <x:c r="A9324" s="142"/>
    </x:row>
    <x:row r="9325">
      <x:c r="A9325" s="142"/>
    </x:row>
    <x:row r="9326">
      <x:c r="A9326" s="142"/>
    </x:row>
    <x:row r="9327">
      <x:c r="A9327" s="142"/>
    </x:row>
    <x:row r="9328">
      <x:c r="A9328" s="142"/>
    </x:row>
    <x:row r="9329">
      <x:c r="A9329" s="142"/>
    </x:row>
    <x:row r="9330">
      <x:c r="A9330" s="142"/>
    </x:row>
    <x:row r="9331">
      <x:c r="A9331" s="142"/>
    </x:row>
    <x:row r="9332">
      <x:c r="A9332" s="142"/>
    </x:row>
    <x:row r="9333">
      <x:c r="A9333" s="142"/>
    </x:row>
    <x:row r="9334">
      <x:c r="A9334" s="142"/>
    </x:row>
    <x:row r="9335">
      <x:c r="A9335" s="142"/>
    </x:row>
    <x:row r="9336">
      <x:c r="A9336" s="142"/>
    </x:row>
    <x:row r="9337">
      <x:c r="A9337" s="142"/>
    </x:row>
    <x:row r="9338">
      <x:c r="A9338" s="142"/>
    </x:row>
    <x:row r="9339">
      <x:c r="A9339" s="142"/>
    </x:row>
    <x:row r="9340">
      <x:c r="A9340" s="142"/>
    </x:row>
    <x:row r="9341">
      <x:c r="A9341" s="142"/>
    </x:row>
    <x:row r="9342">
      <x:c r="A9342" s="142"/>
    </x:row>
    <x:row r="9343">
      <x:c r="A9343" s="142"/>
    </x:row>
    <x:row r="9344">
      <x:c r="A9344" s="142"/>
    </x:row>
    <x:row r="9345">
      <x:c r="A9345" s="142"/>
    </x:row>
    <x:row r="9346">
      <x:c r="A9346" s="142"/>
    </x:row>
    <x:row r="9347">
      <x:c r="A9347" s="142"/>
    </x:row>
    <x:row r="9348">
      <x:c r="A9348" s="142"/>
    </x:row>
    <x:row r="9349">
      <x:c r="A9349" s="142"/>
    </x:row>
    <x:row r="9350">
      <x:c r="A9350" s="142"/>
    </x:row>
    <x:row r="9351">
      <x:c r="A9351" s="142"/>
    </x:row>
    <x:row r="9352">
      <x:c r="A9352" s="142"/>
    </x:row>
    <x:row r="9353">
      <x:c r="A9353" s="142"/>
    </x:row>
    <x:row r="9354">
      <x:c r="A9354" s="142"/>
    </x:row>
    <x:row r="9355">
      <x:c r="A9355" s="142"/>
    </x:row>
    <x:row r="9356">
      <x:c r="A9356" s="142"/>
    </x:row>
    <x:row r="9357">
      <x:c r="A9357" s="142"/>
    </x:row>
    <x:row r="9358">
      <x:c r="A9358" s="142"/>
    </x:row>
    <x:row r="9359">
      <x:c r="A9359" s="142"/>
    </x:row>
    <x:row r="9360">
      <x:c r="A9360" s="142"/>
    </x:row>
    <x:row r="9361">
      <x:c r="A9361" s="142"/>
    </x:row>
    <x:row r="9362">
      <x:c r="A9362" s="142"/>
    </x:row>
    <x:row r="9363">
      <x:c r="A9363" s="142"/>
    </x:row>
    <x:row r="9364">
      <x:c r="A9364" s="142"/>
    </x:row>
    <x:row r="9365">
      <x:c r="A9365" s="142"/>
    </x:row>
    <x:row r="9366">
      <x:c r="A9366" s="142"/>
    </x:row>
    <x:row r="9367">
      <x:c r="A9367" s="142"/>
    </x:row>
    <x:row r="9368">
      <x:c r="A9368" s="142"/>
    </x:row>
    <x:row r="9369">
      <x:c r="A9369" s="142"/>
    </x:row>
    <x:row r="9370">
      <x:c r="A9370" s="142"/>
    </x:row>
    <x:row r="9371">
      <x:c r="A9371" s="142"/>
    </x:row>
    <x:row r="9372">
      <x:c r="A9372" s="142"/>
    </x:row>
    <x:row r="9373">
      <x:c r="A9373" s="142"/>
    </x:row>
    <x:row r="9374">
      <x:c r="A9374" s="142"/>
    </x:row>
    <x:row r="9375">
      <x:c r="A9375" s="142"/>
    </x:row>
    <x:row r="9376">
      <x:c r="A9376" s="142"/>
    </x:row>
    <x:row r="9377">
      <x:c r="A9377" s="142"/>
    </x:row>
    <x:row r="9378">
      <x:c r="A9378" s="142"/>
    </x:row>
    <x:row r="9379">
      <x:c r="A9379" s="142"/>
    </x:row>
    <x:row r="9380">
      <x:c r="A9380" s="142"/>
    </x:row>
    <x:row r="9381">
      <x:c r="A9381" s="142"/>
    </x:row>
    <x:row r="9382">
      <x:c r="A9382" s="142"/>
    </x:row>
    <x:row r="9383">
      <x:c r="A9383" s="142"/>
    </x:row>
    <x:row r="9384">
      <x:c r="A9384" s="142"/>
    </x:row>
    <x:row r="9385">
      <x:c r="A9385" s="142"/>
    </x:row>
    <x:row r="9386">
      <x:c r="A9386" s="142"/>
    </x:row>
    <x:row r="9387">
      <x:c r="A9387" s="142"/>
    </x:row>
    <x:row r="9388">
      <x:c r="A9388" s="142"/>
    </x:row>
    <x:row r="9389">
      <x:c r="A9389" s="142"/>
    </x:row>
    <x:row r="9390">
      <x:c r="A9390" s="142"/>
    </x:row>
    <x:row r="9391">
      <x:c r="A9391" s="142"/>
    </x:row>
    <x:row r="9392">
      <x:c r="A9392" s="142"/>
    </x:row>
    <x:row r="9393">
      <x:c r="A9393" s="142"/>
    </x:row>
    <x:row r="9394">
      <x:c r="A9394" s="142"/>
    </x:row>
    <x:row r="9395">
      <x:c r="A9395" s="142"/>
    </x:row>
    <x:row r="9396">
      <x:c r="A9396" s="142"/>
    </x:row>
    <x:row r="9397">
      <x:c r="A9397" s="142"/>
    </x:row>
    <x:row r="9398">
      <x:c r="A9398" s="142"/>
    </x:row>
    <x:row r="9399">
      <x:c r="A9399" s="142"/>
    </x:row>
    <x:row r="9400">
      <x:c r="A9400" s="142"/>
    </x:row>
    <x:row r="9401">
      <x:c r="A9401" s="142"/>
    </x:row>
    <x:row r="9402">
      <x:c r="A9402" s="142"/>
    </x:row>
    <x:row r="9403">
      <x:c r="A9403" s="142"/>
    </x:row>
    <x:row r="9404">
      <x:c r="A9404" s="142"/>
    </x:row>
    <x:row r="9405">
      <x:c r="A9405" s="142"/>
    </x:row>
    <x:row r="9406">
      <x:c r="A9406" s="142"/>
    </x:row>
    <x:row r="9407">
      <x:c r="A9407" s="142"/>
    </x:row>
    <x:row r="9408">
      <x:c r="A9408" s="142"/>
    </x:row>
    <x:row r="9409">
      <x:c r="A9409" s="142"/>
    </x:row>
    <x:row r="9410">
      <x:c r="A9410" s="142"/>
    </x:row>
    <x:row r="9411">
      <x:c r="A9411" s="142"/>
    </x:row>
    <x:row r="9412">
      <x:c r="A9412" s="142"/>
    </x:row>
    <x:row r="9413">
      <x:c r="A9413" s="142"/>
    </x:row>
    <x:row r="9414">
      <x:c r="A9414" s="142"/>
    </x:row>
    <x:row r="9415">
      <x:c r="A9415" s="142"/>
    </x:row>
    <x:row r="9416">
      <x:c r="A9416" s="142"/>
    </x:row>
    <x:row r="9417">
      <x:c r="A9417" s="142"/>
    </x:row>
    <x:row r="9418">
      <x:c r="A9418" s="142"/>
    </x:row>
    <x:row r="9419">
      <x:c r="A9419" s="142"/>
    </x:row>
    <x:row r="9420">
      <x:c r="A9420" s="142"/>
    </x:row>
    <x:row r="9421">
      <x:c r="A9421" s="142"/>
    </x:row>
    <x:row r="9422">
      <x:c r="A9422" s="142"/>
    </x:row>
    <x:row r="9423">
      <x:c r="A9423" s="142"/>
    </x:row>
    <x:row r="9424">
      <x:c r="A9424" s="142"/>
    </x:row>
    <x:row r="9425">
      <x:c r="A9425" s="142"/>
    </x:row>
    <x:row r="9426">
      <x:c r="A9426" s="142"/>
    </x:row>
    <x:row r="9427">
      <x:c r="A9427" s="142"/>
    </x:row>
    <x:row r="9428">
      <x:c r="A9428" s="142"/>
    </x:row>
    <x:row r="9429">
      <x:c r="A9429" s="142"/>
    </x:row>
    <x:row r="9430">
      <x:c r="A9430" s="142"/>
    </x:row>
    <x:row r="9431">
      <x:c r="A9431" s="142"/>
    </x:row>
    <x:row r="9432">
      <x:c r="A9432" s="142"/>
    </x:row>
    <x:row r="9433">
      <x:c r="A9433" s="142"/>
    </x:row>
    <x:row r="9434">
      <x:c r="A9434" s="142"/>
    </x:row>
    <x:row r="9435">
      <x:c r="A9435" s="142"/>
    </x:row>
    <x:row r="9436">
      <x:c r="A9436" s="142"/>
    </x:row>
    <x:row r="9437">
      <x:c r="A9437" s="142"/>
    </x:row>
    <x:row r="9438">
      <x:c r="A9438" s="142"/>
    </x:row>
    <x:row r="9439">
      <x:c r="A9439" s="142"/>
    </x:row>
    <x:row r="9440">
      <x:c r="A9440" s="142"/>
    </x:row>
    <x:row r="9441">
      <x:c r="A9441" s="142"/>
    </x:row>
    <x:row r="9442">
      <x:c r="A9442" s="142"/>
    </x:row>
    <x:row r="9443">
      <x:c r="A9443" s="142"/>
    </x:row>
    <x:row r="9444">
      <x:c r="A9444" s="142"/>
    </x:row>
    <x:row r="9445">
      <x:c r="A9445" s="142"/>
    </x:row>
    <x:row r="9446">
      <x:c r="A9446" s="142"/>
    </x:row>
    <x:row r="9447">
      <x:c r="A9447" s="142"/>
    </x:row>
    <x:row r="9448">
      <x:c r="A9448" s="142"/>
    </x:row>
    <x:row r="9449">
      <x:c r="A9449" s="142"/>
    </x:row>
    <x:row r="9450">
      <x:c r="A9450" s="142"/>
    </x:row>
    <x:row r="9451">
      <x:c r="A9451" s="142"/>
    </x:row>
    <x:row r="9452">
      <x:c r="A9452" s="142"/>
    </x:row>
    <x:row r="9453">
      <x:c r="A9453" s="142"/>
    </x:row>
    <x:row r="9454">
      <x:c r="A9454" s="142"/>
    </x:row>
    <x:row r="9455">
      <x:c r="A9455" s="142"/>
    </x:row>
    <x:row r="9456">
      <x:c r="A9456" s="142"/>
    </x:row>
    <x:row r="9457">
      <x:c r="A9457" s="142"/>
    </x:row>
    <x:row r="9458">
      <x:c r="A9458" s="142"/>
    </x:row>
    <x:row r="9459">
      <x:c r="A9459" s="142"/>
    </x:row>
    <x:row r="9460">
      <x:c r="A9460" s="142"/>
    </x:row>
    <x:row r="9461">
      <x:c r="A9461" s="142"/>
    </x:row>
    <x:row r="9462">
      <x:c r="A9462" s="142"/>
    </x:row>
    <x:row r="9463">
      <x:c r="A9463" s="142"/>
    </x:row>
    <x:row r="9464">
      <x:c r="A9464" s="142"/>
    </x:row>
    <x:row r="9465">
      <x:c r="A9465" s="142"/>
    </x:row>
    <x:row r="9466">
      <x:c r="A9466" s="142"/>
    </x:row>
    <x:row r="9467">
      <x:c r="A9467" s="142"/>
    </x:row>
    <x:row r="9468">
      <x:c r="A9468" s="142"/>
    </x:row>
    <x:row r="9469">
      <x:c r="A9469" s="142"/>
    </x:row>
    <x:row r="9470">
      <x:c r="A9470" s="142"/>
    </x:row>
    <x:row r="9471">
      <x:c r="A9471" s="142"/>
    </x:row>
    <x:row r="9472">
      <x:c r="A9472" s="142"/>
    </x:row>
    <x:row r="9473">
      <x:c r="A9473" s="142"/>
    </x:row>
    <x:row r="9474">
      <x:c r="A9474" s="142"/>
    </x:row>
    <x:row r="9475">
      <x:c r="A9475" s="142"/>
    </x:row>
    <x:row r="9476">
      <x:c r="A9476" s="142"/>
    </x:row>
    <x:row r="9477">
      <x:c r="A9477" s="142"/>
    </x:row>
    <x:row r="9478">
      <x:c r="A9478" s="142"/>
    </x:row>
    <x:row r="9479">
      <x:c r="A9479" s="142"/>
    </x:row>
    <x:row r="9480">
      <x:c r="A9480" s="142"/>
    </x:row>
    <x:row r="9481">
      <x:c r="A9481" s="142"/>
    </x:row>
    <x:row r="9482">
      <x:c r="A9482" s="142"/>
    </x:row>
    <x:row r="9483">
      <x:c r="A9483" s="142"/>
    </x:row>
    <x:row r="9484">
      <x:c r="A9484" s="142"/>
    </x:row>
    <x:row r="9485">
      <x:c r="A9485" s="142"/>
    </x:row>
    <x:row r="9486">
      <x:c r="A9486" s="142"/>
    </x:row>
    <x:row r="9487">
      <x:c r="A9487" s="142"/>
    </x:row>
    <x:row r="9488">
      <x:c r="A9488" s="142"/>
    </x:row>
    <x:row r="9489">
      <x:c r="A9489" s="142"/>
    </x:row>
    <x:row r="9490">
      <x:c r="A9490" s="142"/>
    </x:row>
    <x:row r="9491">
      <x:c r="A9491" s="142"/>
    </x:row>
    <x:row r="9492">
      <x:c r="A9492" s="142"/>
    </x:row>
    <x:row r="9493">
      <x:c r="A9493" s="142"/>
    </x:row>
    <x:row r="9494">
      <x:c r="A9494" s="142"/>
    </x:row>
    <x:row r="9495">
      <x:c r="A9495" s="142"/>
    </x:row>
    <x:row r="9496">
      <x:c r="A9496" s="142"/>
    </x:row>
    <x:row r="9497">
      <x:c r="A9497" s="142"/>
    </x:row>
    <x:row r="9498">
      <x:c r="A9498" s="142"/>
    </x:row>
    <x:row r="9499">
      <x:c r="A9499" s="142"/>
    </x:row>
    <x:row r="9500">
      <x:c r="A9500" s="142"/>
    </x:row>
    <x:row r="9501">
      <x:c r="A9501" s="142"/>
    </x:row>
    <x:row r="9502">
      <x:c r="A9502" s="142"/>
    </x:row>
    <x:row r="9503">
      <x:c r="A9503" s="142"/>
    </x:row>
    <x:row r="9504">
      <x:c r="A9504" s="142"/>
    </x:row>
    <x:row r="9505">
      <x:c r="A9505" s="142"/>
    </x:row>
    <x:row r="9506">
      <x:c r="A9506" s="142"/>
    </x:row>
    <x:row r="9507">
      <x:c r="A9507" s="142"/>
    </x:row>
    <x:row r="9508">
      <x:c r="A9508" s="142"/>
    </x:row>
    <x:row r="9509">
      <x:c r="A9509" s="142"/>
    </x:row>
    <x:row r="9510">
      <x:c r="A9510" s="142"/>
    </x:row>
    <x:row r="9511">
      <x:c r="A9511" s="142"/>
    </x:row>
    <x:row r="9512">
      <x:c r="A9512" s="142"/>
    </x:row>
    <x:row r="9513">
      <x:c r="A9513" s="142"/>
    </x:row>
    <x:row r="9514">
      <x:c r="A9514" s="142"/>
    </x:row>
    <x:row r="9515">
      <x:c r="A9515" s="142"/>
    </x:row>
    <x:row r="9516">
      <x:c r="A9516" s="142"/>
    </x:row>
    <x:row r="9517">
      <x:c r="A9517" s="142"/>
    </x:row>
    <x:row r="9518">
      <x:c r="A9518" s="142"/>
    </x:row>
    <x:row r="9519">
      <x:c r="A9519" s="142"/>
    </x:row>
    <x:row r="9520">
      <x:c r="A9520" s="142"/>
    </x:row>
    <x:row r="9521">
      <x:c r="A9521" s="142"/>
    </x:row>
    <x:row r="9522">
      <x:c r="A9522" s="142"/>
    </x:row>
    <x:row r="9523">
      <x:c r="A9523" s="142"/>
    </x:row>
    <x:row r="9524">
      <x:c r="A9524" s="142"/>
    </x:row>
    <x:row r="9525">
      <x:c r="A9525" s="142"/>
    </x:row>
    <x:row r="9526">
      <x:c r="A9526" s="142"/>
    </x:row>
    <x:row r="9527">
      <x:c r="A9527" s="142"/>
    </x:row>
    <x:row r="9528">
      <x:c r="A9528" s="142"/>
    </x:row>
    <x:row r="9529">
      <x:c r="A9529" s="142"/>
    </x:row>
    <x:row r="9530">
      <x:c r="A9530" s="142"/>
    </x:row>
    <x:row r="9531">
      <x:c r="A9531" s="142"/>
    </x:row>
    <x:row r="9532">
      <x:c r="A9532" s="142"/>
    </x:row>
    <x:row r="9533">
      <x:c r="A9533" s="142"/>
    </x:row>
    <x:row r="9534">
      <x:c r="A9534" s="142"/>
    </x:row>
    <x:row r="9535">
      <x:c r="A9535" s="142"/>
    </x:row>
    <x:row r="9536">
      <x:c r="A9536" s="142"/>
    </x:row>
    <x:row r="9537">
      <x:c r="A9537" s="142"/>
    </x:row>
    <x:row r="9538">
      <x:c r="A9538" s="142"/>
    </x:row>
    <x:row r="9539">
      <x:c r="A9539" s="142"/>
    </x:row>
    <x:row r="9540">
      <x:c r="A9540" s="142"/>
    </x:row>
    <x:row r="9541">
      <x:c r="A9541" s="142"/>
    </x:row>
    <x:row r="9542">
      <x:c r="A9542" s="142"/>
    </x:row>
    <x:row r="9543">
      <x:c r="A9543" s="142"/>
    </x:row>
    <x:row r="9544">
      <x:c r="A9544" s="142"/>
    </x:row>
    <x:row r="9545">
      <x:c r="A9545" s="142"/>
    </x:row>
    <x:row r="9546">
      <x:c r="A9546" s="142"/>
    </x:row>
    <x:row r="9547">
      <x:c r="A9547" s="142"/>
    </x:row>
    <x:row r="9548">
      <x:c r="A9548" s="142"/>
    </x:row>
    <x:row r="9549">
      <x:c r="A9549" s="142"/>
    </x:row>
    <x:row r="9550">
      <x:c r="A9550" s="142"/>
    </x:row>
    <x:row r="9551">
      <x:c r="A9551" s="142"/>
    </x:row>
    <x:row r="9552">
      <x:c r="A9552" s="142"/>
    </x:row>
    <x:row r="9553">
      <x:c r="A9553" s="142"/>
    </x:row>
    <x:row r="9554">
      <x:c r="A9554" s="142"/>
    </x:row>
    <x:row r="9555">
      <x:c r="A9555" s="142"/>
    </x:row>
    <x:row r="9556">
      <x:c r="A9556" s="142"/>
    </x:row>
    <x:row r="9557">
      <x:c r="A9557" s="142"/>
    </x:row>
    <x:row r="9558">
      <x:c r="A9558" s="142"/>
    </x:row>
    <x:row r="9559">
      <x:c r="A9559" s="142"/>
    </x:row>
    <x:row r="9560">
      <x:c r="A9560" s="142"/>
    </x:row>
    <x:row r="9561">
      <x:c r="A9561" s="142"/>
    </x:row>
    <x:row r="9562">
      <x:c r="A9562" s="142"/>
    </x:row>
    <x:row r="9563">
      <x:c r="A9563" s="142"/>
    </x:row>
    <x:row r="9564">
      <x:c r="A9564" s="142"/>
    </x:row>
    <x:row r="9565">
      <x:c r="A9565" s="142"/>
    </x:row>
    <x:row r="9566">
      <x:c r="A9566" s="142"/>
    </x:row>
    <x:row r="9567">
      <x:c r="A9567" s="142"/>
    </x:row>
    <x:row r="9568">
      <x:c r="A9568" s="142"/>
    </x:row>
    <x:row r="9569">
      <x:c r="A9569" s="142"/>
    </x:row>
    <x:row r="9570">
      <x:c r="A9570" s="142"/>
    </x:row>
    <x:row r="9571">
      <x:c r="A9571" s="142"/>
    </x:row>
    <x:row r="9572">
      <x:c r="A9572" s="142"/>
    </x:row>
    <x:row r="9573">
      <x:c r="A9573" s="142"/>
    </x:row>
    <x:row r="9574">
      <x:c r="A9574" s="142"/>
    </x:row>
    <x:row r="9575">
      <x:c r="A9575" s="142"/>
    </x:row>
    <x:row r="9576">
      <x:c r="A9576" s="142"/>
    </x:row>
    <x:row r="9577">
      <x:c r="A9577" s="142"/>
    </x:row>
    <x:row r="9578">
      <x:c r="A9578" s="142"/>
    </x:row>
    <x:row r="9579">
      <x:c r="A9579" s="142"/>
    </x:row>
    <x:row r="9580">
      <x:c r="A9580" s="142"/>
    </x:row>
    <x:row r="9581">
      <x:c r="A9581" s="142"/>
    </x:row>
    <x:row r="9582">
      <x:c r="A9582" s="142"/>
    </x:row>
    <x:row r="9583">
      <x:c r="A9583" s="142"/>
    </x:row>
    <x:row r="9584">
      <x:c r="A9584" s="142"/>
    </x:row>
    <x:row r="9585">
      <x:c r="A9585" s="142"/>
    </x:row>
    <x:row r="9586">
      <x:c r="A9586" s="142"/>
    </x:row>
    <x:row r="9587">
      <x:c r="A9587" s="142"/>
    </x:row>
    <x:row r="9588">
      <x:c r="A9588" s="142"/>
    </x:row>
    <x:row r="9589">
      <x:c r="A9589" s="142"/>
    </x:row>
    <x:row r="9590">
      <x:c r="A9590" s="142"/>
    </x:row>
    <x:row r="9591">
      <x:c r="A9591" s="142"/>
    </x:row>
    <x:row r="9592">
      <x:c r="A9592" s="142"/>
    </x:row>
    <x:row r="9593">
      <x:c r="A9593" s="142"/>
    </x:row>
    <x:row r="9594">
      <x:c r="A9594" s="142"/>
    </x:row>
    <x:row r="9595">
      <x:c r="A9595" s="142"/>
    </x:row>
    <x:row r="9596">
      <x:c r="A9596" s="142"/>
    </x:row>
    <x:row r="9597">
      <x:c r="A9597" s="142"/>
    </x:row>
    <x:row r="9598">
      <x:c r="A9598" s="142"/>
    </x:row>
    <x:row r="9599">
      <x:c r="A9599" s="142"/>
    </x:row>
    <x:row r="9600">
      <x:c r="A9600" s="142"/>
    </x:row>
    <x:row r="9601">
      <x:c r="A9601" s="142"/>
    </x:row>
    <x:row r="9602">
      <x:c r="A9602" s="142"/>
    </x:row>
    <x:row r="9603">
      <x:c r="A9603" s="142"/>
    </x:row>
    <x:row r="9604">
      <x:c r="A9604" s="142"/>
    </x:row>
    <x:row r="9605">
      <x:c r="A9605" s="142"/>
    </x:row>
    <x:row r="9606">
      <x:c r="A9606" s="142"/>
    </x:row>
    <x:row r="9607">
      <x:c r="A9607" s="142"/>
    </x:row>
    <x:row r="9608">
      <x:c r="A9608" s="142"/>
    </x:row>
    <x:row r="9609">
      <x:c r="A9609" s="142"/>
    </x:row>
    <x:row r="9610">
      <x:c r="A9610" s="142"/>
    </x:row>
    <x:row r="9611">
      <x:c r="A9611" s="142"/>
    </x:row>
    <x:row r="9612">
      <x:c r="A9612" s="142"/>
    </x:row>
    <x:row r="9613">
      <x:c r="A9613" s="142"/>
    </x:row>
    <x:row r="9614">
      <x:c r="A9614" s="142"/>
    </x:row>
    <x:row r="9615">
      <x:c r="A9615" s="142"/>
    </x:row>
    <x:row r="9616">
      <x:c r="A9616" s="142"/>
    </x:row>
    <x:row r="9617">
      <x:c r="A9617" s="142"/>
    </x:row>
    <x:row r="9618">
      <x:c r="A9618" s="142"/>
    </x:row>
    <x:row r="9619">
      <x:c r="A9619" s="142"/>
    </x:row>
    <x:row r="9620">
      <x:c r="A9620" s="142"/>
    </x:row>
    <x:row r="9621">
      <x:c r="A9621" s="142"/>
    </x:row>
    <x:row r="9622">
      <x:c r="A9622" s="142"/>
    </x:row>
    <x:row r="9623">
      <x:c r="A9623" s="142"/>
    </x:row>
    <x:row r="9624">
      <x:c r="A9624" s="142"/>
    </x:row>
    <x:row r="9625">
      <x:c r="A9625" s="142"/>
    </x:row>
    <x:row r="9626">
      <x:c r="A9626" s="142"/>
    </x:row>
    <x:row r="9627">
      <x:c r="A9627" s="142"/>
    </x:row>
    <x:row r="9628">
      <x:c r="A9628" s="142"/>
    </x:row>
    <x:row r="9629">
      <x:c r="A9629" s="142"/>
    </x:row>
    <x:row r="9630">
      <x:c r="A9630" s="142"/>
    </x:row>
    <x:row r="9631">
      <x:c r="A9631" s="142"/>
    </x:row>
    <x:row r="9632">
      <x:c r="A9632" s="142"/>
    </x:row>
    <x:row r="9633">
      <x:c r="A9633" s="142"/>
    </x:row>
    <x:row r="9634">
      <x:c r="A9634" s="142"/>
    </x:row>
    <x:row r="9635">
      <x:c r="A9635" s="142"/>
    </x:row>
    <x:row r="9636">
      <x:c r="A9636" s="142"/>
    </x:row>
    <x:row r="9637">
      <x:c r="A9637" s="142"/>
    </x:row>
    <x:row r="9638">
      <x:c r="A9638" s="142"/>
    </x:row>
    <x:row r="9639">
      <x:c r="A9639" s="142"/>
    </x:row>
    <x:row r="9640">
      <x:c r="A9640" s="142"/>
    </x:row>
    <x:row r="9641">
      <x:c r="A9641" s="142"/>
    </x:row>
    <x:row r="9642">
      <x:c r="A9642" s="142"/>
    </x:row>
    <x:row r="9643">
      <x:c r="A9643" s="142"/>
    </x:row>
    <x:row r="9644">
      <x:c r="A9644" s="142"/>
    </x:row>
    <x:row r="9645">
      <x:c r="A9645" s="142"/>
    </x:row>
    <x:row r="9646">
      <x:c r="A9646" s="142"/>
    </x:row>
    <x:row r="9647">
      <x:c r="A9647" s="142"/>
    </x:row>
    <x:row r="9648">
      <x:c r="A9648" s="142"/>
    </x:row>
    <x:row r="9649">
      <x:c r="A9649" s="142"/>
    </x:row>
    <x:row r="9650">
      <x:c r="A9650" s="142"/>
    </x:row>
    <x:row r="9651">
      <x:c r="A9651" s="142"/>
    </x:row>
    <x:row r="9652">
      <x:c r="A9652" s="142"/>
    </x:row>
    <x:row r="9653">
      <x:c r="A9653" s="142"/>
    </x:row>
    <x:row r="9654">
      <x:c r="A9654" s="142"/>
    </x:row>
    <x:row r="9655">
      <x:c r="A9655" s="142"/>
    </x:row>
    <x:row r="9656">
      <x:c r="A9656" s="142"/>
    </x:row>
    <x:row r="9657">
      <x:c r="A9657" s="142"/>
    </x:row>
    <x:row r="9658">
      <x:c r="A9658" s="142"/>
    </x:row>
    <x:row r="9659">
      <x:c r="A9659" s="142"/>
    </x:row>
    <x:row r="9660">
      <x:c r="A9660" s="142"/>
    </x:row>
    <x:row r="9661">
      <x:c r="A9661" s="142"/>
    </x:row>
    <x:row r="9662">
      <x:c r="A9662" s="142"/>
    </x:row>
    <x:row r="9663">
      <x:c r="A9663" s="142"/>
    </x:row>
    <x:row r="9664">
      <x:c r="A9664" s="142"/>
    </x:row>
    <x:row r="9665">
      <x:c r="A9665" s="142"/>
    </x:row>
    <x:row r="9666">
      <x:c r="A9666" s="142"/>
    </x:row>
    <x:row r="9667">
      <x:c r="A9667" s="142"/>
    </x:row>
    <x:row r="9668">
      <x:c r="A9668" s="142"/>
    </x:row>
    <x:row r="9669">
      <x:c r="A9669" s="142"/>
    </x:row>
    <x:row r="9670">
      <x:c r="A9670" s="142"/>
    </x:row>
    <x:row r="9671">
      <x:c r="A9671" s="142"/>
    </x:row>
    <x:row r="9672">
      <x:c r="A9672" s="142"/>
    </x:row>
    <x:row r="9673">
      <x:c r="A9673" s="142"/>
    </x:row>
    <x:row r="9674">
      <x:c r="A9674" s="142"/>
    </x:row>
    <x:row r="9675">
      <x:c r="A9675" s="142"/>
    </x:row>
    <x:row r="9676">
      <x:c r="A9676" s="142"/>
    </x:row>
    <x:row r="9677">
      <x:c r="A9677" s="142"/>
    </x:row>
    <x:row r="9678">
      <x:c r="A9678" s="142"/>
    </x:row>
    <x:row r="9679">
      <x:c r="A9679" s="142"/>
    </x:row>
    <x:row r="9680">
      <x:c r="A9680" s="142"/>
    </x:row>
    <x:row r="9681">
      <x:c r="A9681" s="142"/>
    </x:row>
    <x:row r="9682">
      <x:c r="A9682" s="142"/>
    </x:row>
    <x:row r="9683">
      <x:c r="A9683" s="142"/>
    </x:row>
    <x:row r="9684">
      <x:c r="A9684" s="142"/>
    </x:row>
    <x:row r="9685">
      <x:c r="A9685" s="142"/>
    </x:row>
    <x:row r="9686">
      <x:c r="A9686" s="142"/>
    </x:row>
    <x:row r="9687">
      <x:c r="A9687" s="142"/>
    </x:row>
    <x:row r="9688">
      <x:c r="A9688" s="142"/>
    </x:row>
    <x:row r="9689">
      <x:c r="A9689" s="142"/>
    </x:row>
    <x:row r="9690">
      <x:c r="A9690" s="142"/>
    </x:row>
    <x:row r="9691">
      <x:c r="A9691" s="142"/>
    </x:row>
    <x:row r="9692">
      <x:c r="A9692" s="142"/>
    </x:row>
    <x:row r="9693">
      <x:c r="A9693" s="142"/>
    </x:row>
    <x:row r="9694">
      <x:c r="A9694" s="142"/>
    </x:row>
    <x:row r="9695">
      <x:c r="A9695" s="142"/>
    </x:row>
    <x:row r="9696">
      <x:c r="A9696" s="142"/>
    </x:row>
    <x:row r="9697">
      <x:c r="A9697" s="142"/>
    </x:row>
    <x:row r="9698">
      <x:c r="A9698" s="142"/>
    </x:row>
    <x:row r="9699">
      <x:c r="A9699" s="142"/>
    </x:row>
    <x:row r="9700">
      <x:c r="A9700" s="142"/>
    </x:row>
    <x:row r="9701">
      <x:c r="A9701" s="142"/>
    </x:row>
    <x:row r="9702">
      <x:c r="A9702" s="142"/>
    </x:row>
    <x:row r="9703">
      <x:c r="A9703" s="142"/>
    </x:row>
    <x:row r="9704">
      <x:c r="A9704" s="142"/>
    </x:row>
    <x:row r="9705">
      <x:c r="A9705" s="142"/>
    </x:row>
    <x:row r="9706">
      <x:c r="A9706" s="142"/>
    </x:row>
    <x:row r="9707">
      <x:c r="A9707" s="142"/>
    </x:row>
    <x:row r="9708">
      <x:c r="A9708" s="142"/>
    </x:row>
    <x:row r="9709">
      <x:c r="A9709" s="142"/>
    </x:row>
    <x:row r="9710">
      <x:c r="A9710" s="142"/>
    </x:row>
    <x:row r="9711">
      <x:c r="A9711" s="142"/>
    </x:row>
    <x:row r="9712">
      <x:c r="A9712" s="142"/>
    </x:row>
    <x:row r="9713">
      <x:c r="A9713" s="142"/>
    </x:row>
    <x:row r="9714">
      <x:c r="A9714" s="142"/>
    </x:row>
    <x:row r="9715">
      <x:c r="A9715" s="142"/>
    </x:row>
    <x:row r="9716">
      <x:c r="A9716" s="142"/>
    </x:row>
    <x:row r="9717">
      <x:c r="A9717" s="142"/>
    </x:row>
    <x:row r="9718">
      <x:c r="A9718" s="142"/>
    </x:row>
    <x:row r="9719">
      <x:c r="A9719" s="142"/>
    </x:row>
    <x:row r="9720">
      <x:c r="A9720" s="142"/>
    </x:row>
    <x:row r="9721">
      <x:c r="A9721" s="142"/>
    </x:row>
    <x:row r="9722">
      <x:c r="A9722" s="142"/>
    </x:row>
    <x:row r="9723">
      <x:c r="A9723" s="142"/>
    </x:row>
    <x:row r="9724">
      <x:c r="A9724" s="142"/>
    </x:row>
    <x:row r="9725">
      <x:c r="A9725" s="142"/>
    </x:row>
    <x:row r="9726">
      <x:c r="A9726" s="142"/>
    </x:row>
    <x:row r="9727">
      <x:c r="A9727" s="142"/>
    </x:row>
    <x:row r="9728">
      <x:c r="A9728" s="142"/>
    </x:row>
    <x:row r="9729">
      <x:c r="A9729" s="142"/>
    </x:row>
    <x:row r="9730">
      <x:c r="A9730" s="142"/>
    </x:row>
    <x:row r="9731">
      <x:c r="A9731" s="142"/>
    </x:row>
    <x:row r="9732">
      <x:c r="A9732" s="142"/>
    </x:row>
    <x:row r="9733">
      <x:c r="A9733" s="142"/>
    </x:row>
    <x:row r="9734">
      <x:c r="A9734" s="142"/>
    </x:row>
    <x:row r="9735">
      <x:c r="A9735" s="142"/>
    </x:row>
    <x:row r="9736">
      <x:c r="A9736" s="142"/>
    </x:row>
    <x:row r="9737">
      <x:c r="A9737" s="142"/>
    </x:row>
    <x:row r="9738">
      <x:c r="A9738" s="142"/>
    </x:row>
    <x:row r="9739">
      <x:c r="A9739" s="142"/>
    </x:row>
    <x:row r="9740">
      <x:c r="A9740" s="142"/>
    </x:row>
    <x:row r="9741">
      <x:c r="A9741" s="142"/>
    </x:row>
    <x:row r="9742">
      <x:c r="A9742" s="142"/>
    </x:row>
    <x:row r="9743">
      <x:c r="A9743" s="142"/>
    </x:row>
    <x:row r="9744">
      <x:c r="A9744" s="142"/>
    </x:row>
    <x:row r="9745">
      <x:c r="A9745" s="142"/>
    </x:row>
    <x:row r="9746">
      <x:c r="A9746" s="142"/>
    </x:row>
    <x:row r="9747">
      <x:c r="A9747" s="142"/>
    </x:row>
    <x:row r="9748">
      <x:c r="A9748" s="142"/>
    </x:row>
    <x:row r="9749">
      <x:c r="A9749" s="142"/>
    </x:row>
    <x:row r="9750">
      <x:c r="A9750" s="142"/>
    </x:row>
    <x:row r="9751">
      <x:c r="A9751" s="142"/>
    </x:row>
    <x:row r="9752">
      <x:c r="A9752" s="142"/>
    </x:row>
    <x:row r="9753">
      <x:c r="A9753" s="142"/>
    </x:row>
    <x:row r="9754">
      <x:c r="A9754" s="142"/>
    </x:row>
    <x:row r="9755">
      <x:c r="A9755" s="142"/>
    </x:row>
    <x:row r="9756">
      <x:c r="A9756" s="142"/>
    </x:row>
    <x:row r="9757">
      <x:c r="A9757" s="142"/>
    </x:row>
    <x:row r="9758">
      <x:c r="A9758" s="142"/>
    </x:row>
    <x:row r="9759">
      <x:c r="A9759" s="142"/>
    </x:row>
    <x:row r="9760">
      <x:c r="A9760" s="142"/>
    </x:row>
    <x:row r="9761">
      <x:c r="A9761" s="142"/>
    </x:row>
    <x:row r="9762">
      <x:c r="A9762" s="142"/>
    </x:row>
    <x:row r="9763">
      <x:c r="A9763" s="142"/>
    </x:row>
    <x:row r="9764">
      <x:c r="A9764" s="142"/>
    </x:row>
    <x:row r="9765">
      <x:c r="A9765" s="142"/>
    </x:row>
    <x:row r="9766">
      <x:c r="A9766" s="142"/>
    </x:row>
    <x:row r="9767">
      <x:c r="A9767" s="142"/>
    </x:row>
    <x:row r="9768">
      <x:c r="A9768" s="142"/>
    </x:row>
    <x:row r="9769">
      <x:c r="A9769" s="142"/>
    </x:row>
    <x:row r="9770">
      <x:c r="A9770" s="142"/>
    </x:row>
    <x:row r="9771">
      <x:c r="A9771" s="142"/>
    </x:row>
    <x:row r="9772">
      <x:c r="A9772" s="142"/>
    </x:row>
    <x:row r="9773">
      <x:c r="A9773" s="142"/>
    </x:row>
    <x:row r="9774">
      <x:c r="A9774" s="142"/>
    </x:row>
    <x:row r="9775">
      <x:c r="A9775" s="142"/>
    </x:row>
    <x:row r="9776">
      <x:c r="A9776" s="142"/>
    </x:row>
    <x:row r="9777">
      <x:c r="A9777" s="142"/>
    </x:row>
    <x:row r="9778">
      <x:c r="A9778" s="142"/>
    </x:row>
    <x:row r="9779">
      <x:c r="A9779" s="142"/>
    </x:row>
    <x:row r="9780">
      <x:c r="A9780" s="142"/>
    </x:row>
    <x:row r="9781">
      <x:c r="A9781" s="142"/>
    </x:row>
    <x:row r="9782">
      <x:c r="A9782" s="142"/>
    </x:row>
    <x:row r="9783">
      <x:c r="A9783" s="142"/>
    </x:row>
    <x:row r="9784">
      <x:c r="A9784" s="142"/>
    </x:row>
    <x:row r="9785">
      <x:c r="A9785" s="142"/>
    </x:row>
    <x:row r="9786">
      <x:c r="A9786" s="142"/>
    </x:row>
    <x:row r="9787">
      <x:c r="A9787" s="142"/>
    </x:row>
    <x:row r="9788">
      <x:c r="A9788" s="142"/>
    </x:row>
    <x:row r="9789">
      <x:c r="A9789" s="142"/>
    </x:row>
    <x:row r="9790">
      <x:c r="A9790" s="142"/>
    </x:row>
    <x:row r="9791">
      <x:c r="A9791" s="142"/>
    </x:row>
    <x:row r="9792">
      <x:c r="A9792" s="142"/>
    </x:row>
    <x:row r="9793">
      <x:c r="A9793" s="142"/>
    </x:row>
    <x:row r="9794">
      <x:c r="A9794" s="142"/>
    </x:row>
    <x:row r="9795">
      <x:c r="A9795" s="142"/>
    </x:row>
    <x:row r="9796">
      <x:c r="A9796" s="142"/>
    </x:row>
    <x:row r="9797">
      <x:c r="A9797" s="142"/>
    </x:row>
    <x:row r="9798">
      <x:c r="A9798" s="142"/>
    </x:row>
    <x:row r="9799">
      <x:c r="A9799" s="142"/>
    </x:row>
    <x:row r="9800">
      <x:c r="A9800" s="142"/>
    </x:row>
    <x:row r="9801">
      <x:c r="A9801" s="142"/>
    </x:row>
    <x:row r="9802">
      <x:c r="A9802" s="142"/>
    </x:row>
    <x:row r="9803">
      <x:c r="A9803" s="142"/>
    </x:row>
    <x:row r="9804">
      <x:c r="A9804" s="142"/>
    </x:row>
    <x:row r="9805">
      <x:c r="A9805" s="142"/>
    </x:row>
    <x:row r="9806">
      <x:c r="A9806" s="142"/>
    </x:row>
    <x:row r="9807">
      <x:c r="A9807" s="142"/>
    </x:row>
    <x:row r="9808">
      <x:c r="A9808" s="142"/>
    </x:row>
    <x:row r="9809">
      <x:c r="A9809" s="142"/>
    </x:row>
    <x:row r="9810">
      <x:c r="A9810" s="142"/>
    </x:row>
    <x:row r="9811">
      <x:c r="A9811" s="142"/>
    </x:row>
    <x:row r="9812">
      <x:c r="A9812" s="142"/>
    </x:row>
    <x:row r="9813">
      <x:c r="A9813" s="142"/>
    </x:row>
    <x:row r="9814">
      <x:c r="A9814" s="142"/>
    </x:row>
    <x:row r="9815">
      <x:c r="A9815" s="142"/>
    </x:row>
    <x:row r="9816">
      <x:c r="A9816" s="142"/>
    </x:row>
    <x:row r="9817">
      <x:c r="A9817" s="142"/>
    </x:row>
    <x:row r="9818">
      <x:c r="A9818" s="142"/>
    </x:row>
    <x:row r="9819">
      <x:c r="A9819" s="142"/>
    </x:row>
    <x:row r="9820">
      <x:c r="A9820" s="142"/>
    </x:row>
    <x:row r="9821">
      <x:c r="A9821" s="142"/>
    </x:row>
    <x:row r="9822">
      <x:c r="A9822" s="142"/>
    </x:row>
    <x:row r="9823">
      <x:c r="A9823" s="142"/>
    </x:row>
    <x:row r="9824">
      <x:c r="A9824" s="142"/>
    </x:row>
    <x:row r="9825">
      <x:c r="A9825" s="142"/>
    </x:row>
    <x:row r="9826">
      <x:c r="A9826" s="142"/>
    </x:row>
    <x:row r="9827">
      <x:c r="A9827" s="142"/>
    </x:row>
    <x:row r="9828">
      <x:c r="A9828" s="142"/>
    </x:row>
    <x:row r="9829">
      <x:c r="A9829" s="142"/>
    </x:row>
    <x:row r="9830">
      <x:c r="A9830" s="142"/>
    </x:row>
    <x:row r="9831">
      <x:c r="A9831" s="142"/>
    </x:row>
    <x:row r="9832">
      <x:c r="A9832" s="142"/>
    </x:row>
    <x:row r="9833">
      <x:c r="A9833" s="142"/>
    </x:row>
    <x:row r="9834">
      <x:c r="A9834" s="142"/>
    </x:row>
    <x:row r="9835">
      <x:c r="A9835" s="142"/>
    </x:row>
    <x:row r="9836">
      <x:c r="A9836" s="142"/>
    </x:row>
    <x:row r="9837">
      <x:c r="A9837" s="142"/>
    </x:row>
    <x:row r="9838">
      <x:c r="A9838" s="142"/>
    </x:row>
    <x:row r="9839">
      <x:c r="A9839" s="142"/>
    </x:row>
    <x:row r="9840">
      <x:c r="A9840" s="142"/>
    </x:row>
    <x:row r="9841">
      <x:c r="A9841" s="142"/>
    </x:row>
    <x:row r="9842">
      <x:c r="A9842" s="142"/>
    </x:row>
    <x:row r="9843">
      <x:c r="A9843" s="142"/>
    </x:row>
    <x:row r="9844">
      <x:c r="A9844" s="142"/>
    </x:row>
    <x:row r="9845">
      <x:c r="A9845" s="142"/>
    </x:row>
    <x:row r="9846">
      <x:c r="A9846" s="142"/>
    </x:row>
    <x:row r="9847">
      <x:c r="A9847" s="142"/>
    </x:row>
    <x:row r="9848">
      <x:c r="A9848" s="142"/>
    </x:row>
    <x:row r="9849">
      <x:c r="A9849" s="142"/>
    </x:row>
    <x:row r="9850">
      <x:c r="A9850" s="142"/>
    </x:row>
    <x:row r="9851">
      <x:c r="A9851" s="142"/>
    </x:row>
    <x:row r="9852">
      <x:c r="A9852" s="142"/>
    </x:row>
    <x:row r="9853">
      <x:c r="A9853" s="142"/>
    </x:row>
    <x:row r="9854">
      <x:c r="A9854" s="142"/>
    </x:row>
    <x:row r="9855">
      <x:c r="A9855" s="142"/>
    </x:row>
    <x:row r="9856">
      <x:c r="A9856" s="142"/>
    </x:row>
    <x:row r="9857">
      <x:c r="A9857" s="142"/>
    </x:row>
    <x:row r="9858">
      <x:c r="A9858" s="142"/>
    </x:row>
    <x:row r="9859">
      <x:c r="A9859" s="142"/>
    </x:row>
    <x:row r="9860">
      <x:c r="A9860" s="142"/>
    </x:row>
    <x:row r="9861">
      <x:c r="A9861" s="142"/>
    </x:row>
    <x:row r="9862">
      <x:c r="A9862" s="142"/>
    </x:row>
    <x:row r="9863">
      <x:c r="A9863" s="142"/>
    </x:row>
    <x:row r="9864">
      <x:c r="A9864" s="142"/>
    </x:row>
    <x:row r="9865">
      <x:c r="A9865" s="142"/>
    </x:row>
    <x:row r="9866">
      <x:c r="A9866" s="142"/>
    </x:row>
    <x:row r="9867">
      <x:c r="A9867" s="142"/>
    </x:row>
    <x:row r="9868">
      <x:c r="A9868" s="142"/>
    </x:row>
    <x:row r="9869">
      <x:c r="A9869" s="142"/>
    </x:row>
    <x:row r="9870">
      <x:c r="A9870" s="142"/>
    </x:row>
    <x:row r="9871">
      <x:c r="A9871" s="142"/>
    </x:row>
    <x:row r="9872">
      <x:c r="A9872" s="142"/>
    </x:row>
    <x:row r="9873">
      <x:c r="A9873" s="142"/>
    </x:row>
    <x:row r="9874">
      <x:c r="A9874" s="142"/>
    </x:row>
    <x:row r="9875">
      <x:c r="A9875" s="142"/>
    </x:row>
    <x:row r="9876">
      <x:c r="A9876" s="142"/>
    </x:row>
    <x:row r="9877">
      <x:c r="A9877" s="142"/>
    </x:row>
    <x:row r="9878">
      <x:c r="A9878" s="142"/>
    </x:row>
    <x:row r="9879">
      <x:c r="A9879" s="142"/>
    </x:row>
    <x:row r="9880">
      <x:c r="A9880" s="142"/>
    </x:row>
    <x:row r="9881">
      <x:c r="A9881" s="142"/>
    </x:row>
    <x:row r="9882">
      <x:c r="A9882" s="142"/>
    </x:row>
    <x:row r="9883">
      <x:c r="A9883" s="142"/>
    </x:row>
    <x:row r="9884">
      <x:c r="A9884" s="142"/>
    </x:row>
    <x:row r="9885">
      <x:c r="A9885" s="142"/>
    </x:row>
    <x:row r="9886">
      <x:c r="A9886" s="142"/>
    </x:row>
    <x:row r="9887">
      <x:c r="A9887" s="142"/>
    </x:row>
    <x:row r="9888">
      <x:c r="A9888" s="142"/>
    </x:row>
    <x:row r="9889">
      <x:c r="A9889" s="142"/>
    </x:row>
    <x:row r="9890">
      <x:c r="A9890" s="142"/>
    </x:row>
    <x:row r="9891">
      <x:c r="A9891" s="142"/>
    </x:row>
    <x:row r="9892">
      <x:c r="A9892" s="142"/>
    </x:row>
    <x:row r="9893">
      <x:c r="A9893" s="142"/>
    </x:row>
    <x:row r="9894">
      <x:c r="A9894" s="142"/>
    </x:row>
    <x:row r="9895">
      <x:c r="A9895" s="142"/>
    </x:row>
    <x:row r="9896">
      <x:c r="A9896" s="142"/>
    </x:row>
    <x:row r="9897">
      <x:c r="A9897" s="142"/>
    </x:row>
    <x:row r="9898">
      <x:c r="A9898" s="142"/>
    </x:row>
    <x:row r="9899">
      <x:c r="A9899" s="142"/>
    </x:row>
    <x:row r="9900">
      <x:c r="A9900" s="142"/>
    </x:row>
    <x:row r="9901">
      <x:c r="A9901" s="142"/>
    </x:row>
    <x:row r="9902">
      <x:c r="A9902" s="142"/>
    </x:row>
    <x:row r="9903">
      <x:c r="A9903" s="142"/>
    </x:row>
    <x:row r="9904">
      <x:c r="A9904" s="142"/>
    </x:row>
    <x:row r="9905">
      <x:c r="A9905" s="142"/>
    </x:row>
    <x:row r="9906">
      <x:c r="A9906" s="142"/>
    </x:row>
    <x:row r="9907">
      <x:c r="A9907" s="142"/>
    </x:row>
    <x:row r="9908">
      <x:c r="A9908" s="142"/>
    </x:row>
    <x:row r="9909">
      <x:c r="A9909" s="142"/>
    </x:row>
    <x:row r="9910">
      <x:c r="A9910" s="142"/>
    </x:row>
    <x:row r="9911">
      <x:c r="A9911" s="142"/>
    </x:row>
    <x:row r="9912">
      <x:c r="A9912" s="142"/>
    </x:row>
    <x:row r="9913">
      <x:c r="A9913" s="142"/>
    </x:row>
    <x:row r="9914">
      <x:c r="A9914" s="142"/>
    </x:row>
    <x:row r="9915">
      <x:c r="A9915" s="142"/>
    </x:row>
    <x:row r="9916">
      <x:c r="A9916" s="142"/>
    </x:row>
    <x:row r="9917">
      <x:c r="A9917" s="142"/>
    </x:row>
    <x:row r="9918">
      <x:c r="A9918" s="142"/>
    </x:row>
    <x:row r="9919">
      <x:c r="A9919" s="142"/>
    </x:row>
    <x:row r="9920">
      <x:c r="A9920" s="142"/>
    </x:row>
    <x:row r="9921">
      <x:c r="A9921" s="142"/>
    </x:row>
    <x:row r="9922">
      <x:c r="A9922" s="142"/>
    </x:row>
    <x:row r="9923">
      <x:c r="A9923" s="142"/>
    </x:row>
    <x:row r="9924">
      <x:c r="A9924" s="142"/>
    </x:row>
    <x:row r="9925">
      <x:c r="A9925" s="142"/>
    </x:row>
    <x:row r="9926">
      <x:c r="A9926" s="142"/>
    </x:row>
    <x:row r="9927">
      <x:c r="A9927" s="142"/>
    </x:row>
    <x:row r="9928">
      <x:c r="A9928" s="142"/>
    </x:row>
    <x:row r="9929">
      <x:c r="A9929" s="142"/>
    </x:row>
    <x:row r="9930">
      <x:c r="A9930" s="142"/>
    </x:row>
    <x:row r="9931">
      <x:c r="A9931" s="142"/>
    </x:row>
    <x:row r="9932">
      <x:c r="A9932" s="142"/>
    </x:row>
    <x:row r="9933">
      <x:c r="A9933" s="142"/>
    </x:row>
    <x:row r="9934">
      <x:c r="A9934" s="142"/>
    </x:row>
    <x:row r="9935">
      <x:c r="A9935" s="142"/>
    </x:row>
    <x:row r="9936">
      <x:c r="A9936" s="142"/>
    </x:row>
    <x:row r="9937">
      <x:c r="A9937" s="142"/>
    </x:row>
    <x:row r="9938">
      <x:c r="A9938" s="142"/>
    </x:row>
    <x:row r="9939">
      <x:c r="A9939" s="142"/>
    </x:row>
    <x:row r="9940">
      <x:c r="A9940" s="142"/>
    </x:row>
    <x:row r="9941">
      <x:c r="A9941" s="142"/>
    </x:row>
    <x:row r="9942">
      <x:c r="A9942" s="142"/>
    </x:row>
    <x:row r="9943">
      <x:c r="A9943" s="142"/>
    </x:row>
    <x:row r="9944">
      <x:c r="A9944" s="142"/>
    </x:row>
    <x:row r="9945">
      <x:c r="A9945" s="142"/>
    </x:row>
    <x:row r="9946">
      <x:c r="A9946" s="142"/>
    </x:row>
    <x:row r="9947">
      <x:c r="A9947" s="142"/>
    </x:row>
    <x:row r="9948">
      <x:c r="A9948" s="142"/>
    </x:row>
    <x:row r="9949">
      <x:c r="A9949" s="142"/>
    </x:row>
    <x:row r="9950">
      <x:c r="A9950" s="142"/>
    </x:row>
    <x:row r="9951">
      <x:c r="A9951" s="142"/>
    </x:row>
    <x:row r="9952">
      <x:c r="A9952" s="142"/>
    </x:row>
    <x:row r="9953">
      <x:c r="A9953" s="142"/>
    </x:row>
    <x:row r="9954">
      <x:c r="A9954" s="142"/>
    </x:row>
    <x:row r="9955">
      <x:c r="A9955" s="142"/>
    </x:row>
    <x:row r="9956">
      <x:c r="A9956" s="142"/>
    </x:row>
    <x:row r="9957">
      <x:c r="A9957" s="142"/>
    </x:row>
    <x:row r="9958">
      <x:c r="A9958" s="142"/>
    </x:row>
    <x:row r="9959">
      <x:c r="A9959" s="142"/>
    </x:row>
    <x:row r="9960">
      <x:c r="A9960" s="142"/>
    </x:row>
    <x:row r="9961">
      <x:c r="A9961" s="142"/>
    </x:row>
    <x:row r="9962">
      <x:c r="A9962" s="142"/>
    </x:row>
    <x:row r="9963">
      <x:c r="A9963" s="142"/>
    </x:row>
    <x:row r="9964">
      <x:c r="A9964" s="142"/>
    </x:row>
    <x:row r="9965">
      <x:c r="A9965" s="142"/>
    </x:row>
    <x:row r="9966">
      <x:c r="A9966" s="142"/>
    </x:row>
    <x:row r="9967">
      <x:c r="A9967" s="142"/>
    </x:row>
    <x:row r="9968">
      <x:c r="A9968" s="142"/>
    </x:row>
    <x:row r="9969">
      <x:c r="A9969" s="142"/>
    </x:row>
    <x:row r="9970">
      <x:c r="A9970" s="142"/>
    </x:row>
    <x:row r="9971">
      <x:c r="A9971" s="142"/>
    </x:row>
    <x:row r="9972">
      <x:c r="A9972" s="142"/>
    </x:row>
    <x:row r="9973">
      <x:c r="A9973" s="142"/>
    </x:row>
    <x:row r="9974">
      <x:c r="A9974" s="142"/>
    </x:row>
    <x:row r="9975">
      <x:c r="A9975" s="142"/>
    </x:row>
    <x:row r="9976">
      <x:c r="A9976" s="142"/>
    </x:row>
    <x:row r="9977">
      <x:c r="A9977" s="142"/>
    </x:row>
    <x:row r="9978">
      <x:c r="A9978" s="142"/>
    </x:row>
    <x:row r="9979">
      <x:c r="A9979" s="142"/>
    </x:row>
    <x:row r="9980">
      <x:c r="A9980" s="142"/>
    </x:row>
    <x:row r="9981">
      <x:c r="A9981" s="142"/>
    </x:row>
    <x:row r="9982">
      <x:c r="A9982" s="142"/>
    </x:row>
    <x:row r="9983">
      <x:c r="A9983" s="142"/>
    </x:row>
    <x:row r="9984">
      <x:c r="A9984" s="142"/>
    </x:row>
    <x:row r="9985">
      <x:c r="A9985" s="142"/>
    </x:row>
    <x:row r="9986">
      <x:c r="A9986" s="142"/>
    </x:row>
    <x:row r="9987">
      <x:c r="A9987" s="142"/>
    </x:row>
    <x:row r="9988">
      <x:c r="A9988" s="142"/>
    </x:row>
    <x:row r="9989">
      <x:c r="A9989" s="142"/>
    </x:row>
    <x:row r="9990">
      <x:c r="A9990" s="142"/>
    </x:row>
    <x:row r="9991">
      <x:c r="A9991" s="142"/>
    </x:row>
    <x:row r="9992">
      <x:c r="A9992" s="142"/>
    </x:row>
    <x:row r="9993">
      <x:c r="A9993" s="142"/>
    </x:row>
    <x:row r="9994">
      <x:c r="A9994" s="142"/>
    </x:row>
    <x:row r="9995">
      <x:c r="A9995" s="142"/>
    </x:row>
    <x:row r="9996">
      <x:c r="A9996" s="142"/>
    </x:row>
    <x:row r="9997">
      <x:c r="A9997" s="142"/>
    </x:row>
    <x:row r="9998">
      <x:c r="A9998" s="142"/>
    </x:row>
    <x:row r="9999">
      <x:c r="A9999" s="142"/>
    </x:row>
    <x:row r="10000">
      <x:c r="A10000" s="142"/>
    </x:row>
    <x:row r="10001">
      <x:c r="A10001" s="142"/>
    </x:row>
    <x:row r="10002">
      <x:c r="A10002" s="142"/>
    </x:row>
    <x:row r="10003">
      <x:c r="A10003" s="142"/>
    </x:row>
    <x:row r="10004">
      <x:c r="A10004" s="142"/>
    </x:row>
    <x:row r="10005">
      <x:c r="A10005" s="142"/>
    </x:row>
    <x:row r="10006">
      <x:c r="A10006" s="142"/>
    </x:row>
    <x:row r="10007">
      <x:c r="A10007" s="142"/>
    </x:row>
    <x:row r="10008">
      <x:c r="A10008" s="142"/>
    </x:row>
    <x:row r="10009">
      <x:c r="A10009" s="142"/>
    </x:row>
    <x:row r="10010">
      <x:c r="A10010" s="142"/>
    </x:row>
    <x:row r="10011">
      <x:c r="A10011" s="142"/>
    </x:row>
    <x:row r="10012">
      <x:c r="A10012" s="142"/>
    </x:row>
    <x:row r="10013">
      <x:c r="A10013" s="142"/>
    </x:row>
    <x:row r="10014">
      <x:c r="A10014" s="142"/>
    </x:row>
    <x:row r="10015">
      <x:c r="A10015" s="142"/>
    </x:row>
    <x:row r="10016">
      <x:c r="A10016" s="142"/>
    </x:row>
    <x:row r="10017">
      <x:c r="A10017" s="142"/>
    </x:row>
    <x:row r="10018">
      <x:c r="A10018" s="142"/>
    </x:row>
    <x:row r="10019">
      <x:c r="A10019" s="142"/>
    </x:row>
    <x:row r="10020">
      <x:c r="A10020" s="142"/>
    </x:row>
    <x:row r="10021">
      <x:c r="A10021" s="142"/>
    </x:row>
    <x:row r="10022">
      <x:c r="A10022" s="142"/>
    </x:row>
    <x:row r="10023">
      <x:c r="A10023" s="142"/>
    </x:row>
    <x:row r="10024">
      <x:c r="A10024" s="142"/>
    </x:row>
    <x:row r="10025">
      <x:c r="A10025" s="142"/>
    </x:row>
    <x:row r="10026">
      <x:c r="A10026" s="142"/>
    </x:row>
    <x:row r="10027">
      <x:c r="A10027" s="142"/>
    </x:row>
    <x:row r="10028">
      <x:c r="A10028" s="142"/>
    </x:row>
    <x:row r="10029">
      <x:c r="A10029" s="142"/>
    </x:row>
    <x:row r="10030">
      <x:c r="A10030" s="142"/>
    </x:row>
    <x:row r="10031">
      <x:c r="A10031" s="142"/>
    </x:row>
    <x:row r="10032">
      <x:c r="A10032" s="142"/>
    </x:row>
    <x:row r="10033">
      <x:c r="A10033" s="142"/>
    </x:row>
    <x:row r="10034">
      <x:c r="A10034" s="142"/>
    </x:row>
    <x:row r="10035">
      <x:c r="A10035" s="142"/>
    </x:row>
    <x:row r="10036">
      <x:c r="A10036" s="142"/>
    </x:row>
    <x:row r="10037">
      <x:c r="A10037" s="142"/>
    </x:row>
    <x:row r="10038">
      <x:c r="A10038" s="142"/>
    </x:row>
    <x:row r="10039">
      <x:c r="A10039" s="142"/>
    </x:row>
    <x:row r="10040">
      <x:c r="A10040" s="142"/>
    </x:row>
    <x:row r="10041">
      <x:c r="A10041" s="142"/>
    </x:row>
    <x:row r="10042">
      <x:c r="A10042" s="142"/>
    </x:row>
    <x:row r="10043">
      <x:c r="A10043" s="142"/>
    </x:row>
    <x:row r="10044">
      <x:c r="A10044" s="142"/>
    </x:row>
    <x:row r="10045">
      <x:c r="A10045" s="142"/>
    </x:row>
    <x:row r="10046">
      <x:c r="A10046" s="142"/>
    </x:row>
    <x:row r="10047">
      <x:c r="A10047" s="142"/>
    </x:row>
    <x:row r="10048">
      <x:c r="A10048" s="142"/>
    </x:row>
    <x:row r="10049">
      <x:c r="A10049" s="142"/>
    </x:row>
    <x:row r="10050">
      <x:c r="A10050" s="142"/>
    </x:row>
    <x:row r="10051">
      <x:c r="A10051" s="142"/>
    </x:row>
    <x:row r="10052">
      <x:c r="A10052" s="142"/>
    </x:row>
    <x:row r="10053">
      <x:c r="A10053" s="142"/>
    </x:row>
    <x:row r="10054">
      <x:c r="A10054" s="142"/>
    </x:row>
    <x:row r="10055">
      <x:c r="A10055" s="142"/>
    </x:row>
    <x:row r="10056">
      <x:c r="A10056" s="142"/>
    </x:row>
    <x:row r="10057">
      <x:c r="A10057" s="142"/>
    </x:row>
    <x:row r="10058">
      <x:c r="A10058" s="142"/>
    </x:row>
    <x:row r="10059">
      <x:c r="A10059" s="142"/>
    </x:row>
    <x:row r="10060">
      <x:c r="A10060" s="142"/>
    </x:row>
    <x:row r="10061">
      <x:c r="A10061" s="142"/>
    </x:row>
    <x:row r="10062">
      <x:c r="A10062" s="142"/>
    </x:row>
    <x:row r="10063">
      <x:c r="A10063" s="142"/>
    </x:row>
    <x:row r="10064">
      <x:c r="A10064" s="142"/>
    </x:row>
    <x:row r="10065">
      <x:c r="A10065" s="142"/>
    </x:row>
    <x:row r="10066">
      <x:c r="A10066" s="142"/>
    </x:row>
    <x:row r="10067">
      <x:c r="A10067" s="142"/>
    </x:row>
    <x:row r="10068">
      <x:c r="A10068" s="142"/>
    </x:row>
    <x:row r="10069">
      <x:c r="A10069" s="142"/>
    </x:row>
    <x:row r="10070">
      <x:c r="A10070" s="142"/>
    </x:row>
    <x:row r="10071">
      <x:c r="A10071" s="142"/>
    </x:row>
    <x:row r="10072">
      <x:c r="A10072" s="142"/>
    </x:row>
    <x:row r="10073">
      <x:c r="A10073" s="142"/>
    </x:row>
    <x:row r="10074">
      <x:c r="A10074" s="142"/>
    </x:row>
    <x:row r="10075">
      <x:c r="A10075" s="142"/>
    </x:row>
    <x:row r="10076">
      <x:c r="A10076" s="142"/>
    </x:row>
    <x:row r="10077">
      <x:c r="A10077" s="142"/>
    </x:row>
    <x:row r="10078">
      <x:c r="A10078" s="142"/>
    </x:row>
    <x:row r="10079">
      <x:c r="A10079" s="142"/>
    </x:row>
    <x:row r="10080">
      <x:c r="A10080" s="142"/>
    </x:row>
    <x:row r="10081">
      <x:c r="A10081" s="142"/>
    </x:row>
    <x:row r="10082">
      <x:c r="A10082" s="142"/>
    </x:row>
    <x:row r="10083">
      <x:c r="A10083" s="142"/>
    </x:row>
    <x:row r="10084">
      <x:c r="A10084" s="142"/>
    </x:row>
    <x:row r="10085">
      <x:c r="A10085" s="142"/>
    </x:row>
    <x:row r="10086">
      <x:c r="A10086" s="142"/>
    </x:row>
    <x:row r="10087">
      <x:c r="A10087" s="142"/>
    </x:row>
    <x:row r="10088">
      <x:c r="A10088" s="142"/>
    </x:row>
    <x:row r="10089">
      <x:c r="A10089" s="142"/>
    </x:row>
    <x:row r="10090">
      <x:c r="A10090" s="142"/>
    </x:row>
    <x:row r="10091">
      <x:c r="A10091" s="142"/>
    </x:row>
    <x:row r="10092">
      <x:c r="A10092" s="142"/>
    </x:row>
    <x:row r="10093">
      <x:c r="A10093" s="142"/>
    </x:row>
    <x:row r="10094">
      <x:c r="A10094" s="142"/>
    </x:row>
    <x:row r="10095">
      <x:c r="A10095" s="142"/>
    </x:row>
    <x:row r="10096">
      <x:c r="A10096" s="142"/>
    </x:row>
    <x:row r="10097">
      <x:c r="A10097" s="142"/>
    </x:row>
    <x:row r="10098">
      <x:c r="A10098" s="142"/>
    </x:row>
    <x:row r="10099">
      <x:c r="A10099" s="142"/>
    </x:row>
    <x:row r="10100">
      <x:c r="A10100" s="142"/>
    </x:row>
    <x:row r="10101">
      <x:c r="A10101" s="142"/>
    </x:row>
    <x:row r="10102">
      <x:c r="A10102" s="142"/>
    </x:row>
    <x:row r="10103">
      <x:c r="A10103" s="142"/>
    </x:row>
    <x:row r="10104">
      <x:c r="A10104" s="142"/>
    </x:row>
    <x:row r="10105">
      <x:c r="A10105" s="142"/>
    </x:row>
    <x:row r="10106">
      <x:c r="A10106" s="142"/>
    </x:row>
    <x:row r="10107">
      <x:c r="A10107" s="142"/>
    </x:row>
    <x:row r="10108">
      <x:c r="A10108" s="142"/>
    </x:row>
    <x:row r="10109">
      <x:c r="A10109" s="142"/>
    </x:row>
    <x:row r="10110">
      <x:c r="A10110" s="142"/>
    </x:row>
    <x:row r="10111">
      <x:c r="A10111" s="142"/>
    </x:row>
    <x:row r="10112">
      <x:c r="A10112" s="142"/>
    </x:row>
    <x:row r="10113">
      <x:c r="A10113" s="142"/>
    </x:row>
    <x:row r="10114">
      <x:c r="A10114" s="142"/>
    </x:row>
    <x:row r="10115">
      <x:c r="A10115" s="142"/>
    </x:row>
    <x:row r="10116">
      <x:c r="A10116" s="142"/>
    </x:row>
    <x:row r="10117">
      <x:c r="A10117" s="142"/>
    </x:row>
    <x:row r="10118">
      <x:c r="A10118" s="142"/>
    </x:row>
    <x:row r="10119">
      <x:c r="A10119" s="142"/>
    </x:row>
    <x:row r="10120">
      <x:c r="A10120" s="142"/>
    </x:row>
    <x:row r="10121">
      <x:c r="A10121" s="142"/>
    </x:row>
    <x:row r="10122">
      <x:c r="A10122" s="142"/>
    </x:row>
    <x:row r="10123">
      <x:c r="A10123" s="142"/>
    </x:row>
    <x:row r="10124">
      <x:c r="A10124" s="142"/>
    </x:row>
    <x:row r="10125">
      <x:c r="A10125" s="142"/>
    </x:row>
    <x:row r="10126">
      <x:c r="A10126" s="142"/>
    </x:row>
    <x:row r="10127">
      <x:c r="A10127" s="142"/>
    </x:row>
    <x:row r="10128">
      <x:c r="A10128" s="142"/>
    </x:row>
    <x:row r="10129">
      <x:c r="A10129" s="142"/>
    </x:row>
    <x:row r="10130">
      <x:c r="A10130" s="142"/>
    </x:row>
    <x:row r="10131">
      <x:c r="A10131" s="142"/>
    </x:row>
    <x:row r="10132">
      <x:c r="A10132" s="142"/>
    </x:row>
    <x:row r="10133">
      <x:c r="A10133" s="142"/>
    </x:row>
    <x:row r="10134">
      <x:c r="A10134" s="142"/>
    </x:row>
    <x:row r="10135">
      <x:c r="A10135" s="142"/>
    </x:row>
    <x:row r="10136">
      <x:c r="A10136" s="142"/>
    </x:row>
    <x:row r="10137">
      <x:c r="A10137" s="142"/>
    </x:row>
    <x:row r="10138">
      <x:c r="A10138" s="142"/>
    </x:row>
    <x:row r="10139">
      <x:c r="A10139" s="142"/>
    </x:row>
    <x:row r="10140">
      <x:c r="A10140" s="142"/>
    </x:row>
    <x:row r="10141">
      <x:c r="A10141" s="142"/>
    </x:row>
    <x:row r="10142">
      <x:c r="A10142" s="142"/>
    </x:row>
    <x:row r="10143">
      <x:c r="A10143" s="142"/>
    </x:row>
    <x:row r="10144">
      <x:c r="A10144" s="142"/>
    </x:row>
    <x:row r="10145">
      <x:c r="A10145" s="142"/>
    </x:row>
    <x:row r="10146">
      <x:c r="A10146" s="142"/>
    </x:row>
    <x:row r="10147">
      <x:c r="A10147" s="142"/>
    </x:row>
    <x:row r="10148">
      <x:c r="A10148" s="142"/>
    </x:row>
    <x:row r="10149">
      <x:c r="A10149" s="142"/>
    </x:row>
    <x:row r="10150">
      <x:c r="A10150" s="142"/>
    </x:row>
    <x:row r="10151">
      <x:c r="A10151" s="142"/>
    </x:row>
    <x:row r="10152">
      <x:c r="A10152" s="142"/>
    </x:row>
    <x:row r="10153">
      <x:c r="A10153" s="142"/>
    </x:row>
    <x:row r="10154">
      <x:c r="A10154" s="142"/>
    </x:row>
    <x:row r="10155">
      <x:c r="A10155" s="142"/>
    </x:row>
    <x:row r="10156">
      <x:c r="A10156" s="142"/>
    </x:row>
    <x:row r="10157">
      <x:c r="A10157" s="142"/>
    </x:row>
    <x:row r="10158">
      <x:c r="A10158" s="142"/>
    </x:row>
    <x:row r="10159">
      <x:c r="A10159" s="142"/>
    </x:row>
    <x:row r="10160">
      <x:c r="A10160" s="142"/>
    </x:row>
    <x:row r="10161">
      <x:c r="A10161" s="142"/>
    </x:row>
    <x:row r="10162">
      <x:c r="A10162" s="142"/>
    </x:row>
    <x:row r="10163">
      <x:c r="A10163" s="142"/>
    </x:row>
    <x:row r="10164">
      <x:c r="A10164" s="142"/>
    </x:row>
    <x:row r="10165">
      <x:c r="A10165" s="142"/>
    </x:row>
    <x:row r="10166">
      <x:c r="A10166" s="142"/>
    </x:row>
    <x:row r="10167">
      <x:c r="A10167" s="142"/>
    </x:row>
    <x:row r="10168">
      <x:c r="A10168" s="142"/>
    </x:row>
    <x:row r="10169">
      <x:c r="A10169" s="142"/>
    </x:row>
    <x:row r="10170">
      <x:c r="A10170" s="142"/>
    </x:row>
    <x:row r="10171">
      <x:c r="A10171" s="142"/>
    </x:row>
    <x:row r="10172">
      <x:c r="A10172" s="142"/>
    </x:row>
    <x:row r="10173">
      <x:c r="A10173" s="142"/>
    </x:row>
    <x:row r="10174">
      <x:c r="A10174" s="142"/>
    </x:row>
    <x:row r="10175">
      <x:c r="A10175" s="142"/>
    </x:row>
    <x:row r="10176">
      <x:c r="A10176" s="142"/>
    </x:row>
    <x:row r="10177">
      <x:c r="A10177" s="142"/>
    </x:row>
    <x:row r="10178">
      <x:c r="A10178" s="142"/>
    </x:row>
    <x:row r="10179">
      <x:c r="A10179" s="142"/>
    </x:row>
    <x:row r="10180">
      <x:c r="A10180" s="142"/>
    </x:row>
    <x:row r="10181">
      <x:c r="A10181" s="142"/>
    </x:row>
    <x:row r="10182">
      <x:c r="A10182" s="142"/>
    </x:row>
    <x:row r="10183">
      <x:c r="A10183" s="142"/>
    </x:row>
    <x:row r="10184">
      <x:c r="A10184" s="142"/>
    </x:row>
    <x:row r="10185">
      <x:c r="A10185" s="142"/>
    </x:row>
    <x:row r="10186">
      <x:c r="A10186" s="142"/>
    </x:row>
    <x:row r="10187">
      <x:c r="A10187" s="142"/>
    </x:row>
    <x:row r="10188">
      <x:c r="A10188" s="142"/>
    </x:row>
    <x:row r="10189">
      <x:c r="A10189" s="142"/>
    </x:row>
    <x:row r="10190">
      <x:c r="A10190" s="142"/>
    </x:row>
    <x:row r="10191">
      <x:c r="A10191" s="142"/>
    </x:row>
    <x:row r="10192">
      <x:c r="A10192" s="142"/>
    </x:row>
    <x:row r="10193">
      <x:c r="A10193" s="142"/>
    </x:row>
    <x:row r="10194">
      <x:c r="A10194" s="142"/>
    </x:row>
    <x:row r="10195">
      <x:c r="A10195" s="142"/>
    </x:row>
    <x:row r="10196">
      <x:c r="A10196" s="142"/>
    </x:row>
    <x:row r="10197">
      <x:c r="A10197" s="142"/>
    </x:row>
    <x:row r="10198">
      <x:c r="A10198" s="142"/>
    </x:row>
    <x:row r="10199">
      <x:c r="A10199" s="142"/>
    </x:row>
    <x:row r="10200">
      <x:c r="A10200" s="142"/>
    </x:row>
    <x:row r="10201">
      <x:c r="A10201" s="142"/>
    </x:row>
    <x:row r="10202">
      <x:c r="A10202" s="142"/>
    </x:row>
    <x:row r="10203">
      <x:c r="A10203" s="142"/>
    </x:row>
    <x:row r="10204">
      <x:c r="A10204" s="142"/>
    </x:row>
    <x:row r="10205">
      <x:c r="A10205" s="142"/>
    </x:row>
    <x:row r="10206">
      <x:c r="A10206" s="142"/>
    </x:row>
    <x:row r="10207">
      <x:c r="A10207" s="142"/>
    </x:row>
    <x:row r="10208">
      <x:c r="A10208" s="142"/>
    </x:row>
    <x:row r="10209">
      <x:c r="A10209" s="142"/>
    </x:row>
    <x:row r="10210">
      <x:c r="A10210" s="142"/>
    </x:row>
    <x:row r="10211">
      <x:c r="A10211" s="142"/>
    </x:row>
    <x:row r="10212">
      <x:c r="A10212" s="142"/>
    </x:row>
    <x:row r="10213">
      <x:c r="A10213" s="142"/>
    </x:row>
    <x:row r="10214">
      <x:c r="A10214" s="142"/>
    </x:row>
    <x:row r="10215">
      <x:c r="A10215" s="142"/>
    </x:row>
    <x:row r="10216">
      <x:c r="A10216" s="142"/>
    </x:row>
    <x:row r="10217">
      <x:c r="A10217" s="142"/>
    </x:row>
    <x:row r="10218">
      <x:c r="A10218" s="142"/>
    </x:row>
    <x:row r="10219">
      <x:c r="A10219" s="142"/>
    </x:row>
    <x:row r="10220">
      <x:c r="A10220" s="142"/>
    </x:row>
    <x:row r="10221">
      <x:c r="A10221" s="142"/>
    </x:row>
    <x:row r="10222">
      <x:c r="A10222" s="142"/>
    </x:row>
    <x:row r="10223">
      <x:c r="A10223" s="142"/>
    </x:row>
    <x:row r="10224">
      <x:c r="A10224" s="142"/>
    </x:row>
    <x:row r="10225">
      <x:c r="A10225" s="142"/>
    </x:row>
    <x:row r="10226">
      <x:c r="A10226" s="142"/>
    </x:row>
    <x:row r="10227">
      <x:c r="A10227" s="142"/>
    </x:row>
    <x:row r="10228">
      <x:c r="A10228" s="142"/>
    </x:row>
    <x:row r="10229">
      <x:c r="A10229" s="142"/>
    </x:row>
    <x:row r="10230">
      <x:c r="A10230" s="142"/>
    </x:row>
    <x:row r="10231">
      <x:c r="A10231" s="142"/>
    </x:row>
    <x:row r="10232">
      <x:c r="A10232" s="142"/>
    </x:row>
    <x:row r="10233">
      <x:c r="A10233" s="142"/>
    </x:row>
    <x:row r="10234">
      <x:c r="A10234" s="142"/>
    </x:row>
    <x:row r="10235">
      <x:c r="A10235" s="142"/>
    </x:row>
    <x:row r="10236">
      <x:c r="A10236" s="142"/>
    </x:row>
    <x:row r="10237">
      <x:c r="A10237" s="142"/>
    </x:row>
    <x:row r="10238">
      <x:c r="A10238" s="142"/>
    </x:row>
    <x:row r="10239">
      <x:c r="A10239" s="142"/>
    </x:row>
    <x:row r="10240">
      <x:c r="A10240" s="142"/>
    </x:row>
    <x:row r="10241">
      <x:c r="A10241" s="142"/>
    </x:row>
    <x:row r="10242">
      <x:c r="A10242" s="142"/>
    </x:row>
    <x:row r="10243">
      <x:c r="A10243" s="142"/>
    </x:row>
    <x:row r="10244">
      <x:c r="A10244" s="142"/>
    </x:row>
    <x:row r="10245">
      <x:c r="A10245" s="142"/>
    </x:row>
    <x:row r="10246">
      <x:c r="A10246" s="142"/>
    </x:row>
    <x:row r="10247">
      <x:c r="A10247" s="142"/>
    </x:row>
    <x:row r="10248">
      <x:c r="A10248" s="142"/>
    </x:row>
    <x:row r="10249">
      <x:c r="A10249" s="142"/>
    </x:row>
    <x:row r="10250">
      <x:c r="A10250" s="142"/>
    </x:row>
    <x:row r="10251">
      <x:c r="A10251" s="142"/>
    </x:row>
    <x:row r="10252">
      <x:c r="A10252" s="142"/>
    </x:row>
    <x:row r="10253">
      <x:c r="A10253" s="142"/>
    </x:row>
    <x:row r="10254">
      <x:c r="A10254" s="142"/>
    </x:row>
    <x:row r="10255">
      <x:c r="A10255" s="142"/>
    </x:row>
    <x:row r="10256">
      <x:c r="A10256" s="142"/>
    </x:row>
    <x:row r="10257">
      <x:c r="A10257" s="142"/>
    </x:row>
    <x:row r="10258">
      <x:c r="A10258" s="142"/>
    </x:row>
    <x:row r="10259">
      <x:c r="A10259" s="142"/>
    </x:row>
    <x:row r="10260">
      <x:c r="A10260" s="142"/>
    </x:row>
    <x:row r="10261">
      <x:c r="A10261" s="142"/>
    </x:row>
    <x:row r="10262">
      <x:c r="A10262" s="142"/>
    </x:row>
    <x:row r="10263">
      <x:c r="A10263" s="142"/>
    </x:row>
    <x:row r="10264">
      <x:c r="A10264" s="142"/>
    </x:row>
    <x:row r="10265">
      <x:c r="A10265" s="142"/>
    </x:row>
    <x:row r="10266">
      <x:c r="A10266" s="142"/>
    </x:row>
    <x:row r="10267">
      <x:c r="A10267" s="142"/>
    </x:row>
    <x:row r="10268">
      <x:c r="A10268" s="142"/>
    </x:row>
    <x:row r="10269">
      <x:c r="A10269" s="142"/>
    </x:row>
    <x:row r="10270">
      <x:c r="A10270" s="142"/>
    </x:row>
    <x:row r="10271">
      <x:c r="A10271" s="142"/>
    </x:row>
    <x:row r="10272">
      <x:c r="A10272" s="142"/>
    </x:row>
    <x:row r="10273">
      <x:c r="A10273" s="142"/>
    </x:row>
    <x:row r="10274">
      <x:c r="A10274" s="142"/>
    </x:row>
    <x:row r="10275">
      <x:c r="A10275" s="142"/>
    </x:row>
    <x:row r="10276">
      <x:c r="A10276" s="142"/>
    </x:row>
    <x:row r="10277">
      <x:c r="A10277" s="142"/>
    </x:row>
    <x:row r="10278">
      <x:c r="A10278" s="142"/>
    </x:row>
    <x:row r="10279">
      <x:c r="A10279" s="142"/>
    </x:row>
    <x:row r="10280">
      <x:c r="A10280" s="142"/>
    </x:row>
    <x:row r="10281">
      <x:c r="A10281" s="142"/>
    </x:row>
    <x:row r="10282">
      <x:c r="A10282" s="142"/>
    </x:row>
    <x:row r="10283">
      <x:c r="A10283" s="142"/>
    </x:row>
    <x:row r="10284">
      <x:c r="A10284" s="142"/>
    </x:row>
    <x:row r="10285">
      <x:c r="A10285" s="142"/>
    </x:row>
    <x:row r="10286">
      <x:c r="A10286" s="142"/>
    </x:row>
    <x:row r="10287">
      <x:c r="A10287" s="142"/>
    </x:row>
    <x:row r="10288">
      <x:c r="A10288" s="142"/>
    </x:row>
    <x:row r="10289">
      <x:c r="A10289" s="142"/>
    </x:row>
    <x:row r="10290">
      <x:c r="A10290" s="142"/>
    </x:row>
    <x:row r="10291">
      <x:c r="A10291" s="142"/>
    </x:row>
    <x:row r="10292">
      <x:c r="A10292" s="142"/>
    </x:row>
    <x:row r="10293">
      <x:c r="A10293" s="142"/>
    </x:row>
    <x:row r="10294">
      <x:c r="A10294" s="142"/>
    </x:row>
    <x:row r="10295">
      <x:c r="A10295" s="142"/>
    </x:row>
    <x:row r="10296">
      <x:c r="A10296" s="142"/>
    </x:row>
    <x:row r="10297">
      <x:c r="A10297" s="142"/>
    </x:row>
    <x:row r="10298">
      <x:c r="A10298" s="142"/>
    </x:row>
    <x:row r="10299">
      <x:c r="A10299" s="142"/>
    </x:row>
    <x:row r="10300">
      <x:c r="A10300" s="142"/>
    </x:row>
    <x:row r="10301">
      <x:c r="A10301" s="142"/>
    </x:row>
    <x:row r="10302">
      <x:c r="A10302" s="142"/>
    </x:row>
    <x:row r="10303">
      <x:c r="A10303" s="142"/>
    </x:row>
    <x:row r="10304">
      <x:c r="A10304" s="142"/>
    </x:row>
    <x:row r="10305">
      <x:c r="A10305" s="142"/>
    </x:row>
    <x:row r="10306">
      <x:c r="A10306" s="142"/>
    </x:row>
    <x:row r="10307">
      <x:c r="A10307" s="142"/>
    </x:row>
    <x:row r="10308">
      <x:c r="A10308" s="142"/>
    </x:row>
    <x:row r="10309">
      <x:c r="A10309" s="142"/>
    </x:row>
    <x:row r="10310">
      <x:c r="A10310" s="142"/>
    </x:row>
    <x:row r="10311">
      <x:c r="A10311" s="142"/>
    </x:row>
    <x:row r="10312">
      <x:c r="A10312" s="142"/>
    </x:row>
    <x:row r="10313">
      <x:c r="A10313" s="142"/>
    </x:row>
    <x:row r="10314">
      <x:c r="A10314" s="142"/>
    </x:row>
    <x:row r="10315">
      <x:c r="A10315" s="142"/>
    </x:row>
    <x:row r="10316">
      <x:c r="A10316" s="142"/>
    </x:row>
    <x:row r="10317">
      <x:c r="A10317" s="142"/>
    </x:row>
    <x:row r="10318">
      <x:c r="A10318" s="142"/>
    </x:row>
    <x:row r="10319">
      <x:c r="A10319" s="142"/>
    </x:row>
    <x:row r="10320">
      <x:c r="A10320" s="142"/>
    </x:row>
    <x:row r="10321">
      <x:c r="A10321" s="142"/>
    </x:row>
    <x:row r="10322">
      <x:c r="A10322" s="142"/>
    </x:row>
    <x:row r="10323">
      <x:c r="A10323" s="142"/>
    </x:row>
    <x:row r="10324">
      <x:c r="A10324" s="142"/>
    </x:row>
    <x:row r="10325">
      <x:c r="A10325" s="142"/>
    </x:row>
    <x:row r="10326">
      <x:c r="A10326" s="142"/>
    </x:row>
    <x:row r="10327">
      <x:c r="A10327" s="142"/>
    </x:row>
    <x:row r="10328">
      <x:c r="A10328" s="142"/>
    </x:row>
    <x:row r="10329">
      <x:c r="A10329" s="142"/>
    </x:row>
    <x:row r="10330">
      <x:c r="A10330" s="142"/>
    </x:row>
    <x:row r="10331">
      <x:c r="A10331" s="142"/>
    </x:row>
    <x:row r="10332">
      <x:c r="A10332" s="142"/>
    </x:row>
    <x:row r="10333">
      <x:c r="A10333" s="142"/>
    </x:row>
    <x:row r="10334">
      <x:c r="A10334" s="142"/>
    </x:row>
    <x:row r="10335">
      <x:c r="A10335" s="142"/>
    </x:row>
    <x:row r="10336">
      <x:c r="A10336" s="142"/>
    </x:row>
    <x:row r="10337">
      <x:c r="A10337" s="142"/>
    </x:row>
    <x:row r="10338">
      <x:c r="A10338" s="142"/>
    </x:row>
    <x:row r="10339">
      <x:c r="A10339" s="142"/>
    </x:row>
    <x:row r="10340">
      <x:c r="A10340" s="142"/>
    </x:row>
    <x:row r="10341">
      <x:c r="A10341" s="142"/>
    </x:row>
    <x:row r="10342">
      <x:c r="A10342" s="142"/>
    </x:row>
    <x:row r="10343">
      <x:c r="A10343" s="142"/>
    </x:row>
    <x:row r="10344">
      <x:c r="A10344" s="142"/>
    </x:row>
    <x:row r="10345">
      <x:c r="A10345" s="142"/>
    </x:row>
    <x:row r="10346">
      <x:c r="A10346" s="142"/>
    </x:row>
    <x:row r="10347">
      <x:c r="A10347" s="142"/>
    </x:row>
    <x:row r="10348">
      <x:c r="A10348" s="142"/>
    </x:row>
    <x:row r="10349">
      <x:c r="A10349" s="142"/>
    </x:row>
    <x:row r="10350">
      <x:c r="A10350" s="142"/>
    </x:row>
    <x:row r="10351">
      <x:c r="A10351" s="142"/>
    </x:row>
    <x:row r="10352">
      <x:c r="A10352" s="142"/>
    </x:row>
    <x:row r="10353">
      <x:c r="A10353" s="142"/>
    </x:row>
    <x:row r="10354">
      <x:c r="A10354" s="142"/>
    </x:row>
    <x:row r="10355">
      <x:c r="A10355" s="142"/>
    </x:row>
    <x:row r="10356">
      <x:c r="A10356" s="142"/>
    </x:row>
    <x:row r="10357">
      <x:c r="A10357" s="142"/>
    </x:row>
    <x:row r="10358">
      <x:c r="A10358" s="142"/>
    </x:row>
    <x:row r="10359">
      <x:c r="A10359" s="142"/>
    </x:row>
    <x:row r="10360">
      <x:c r="A10360" s="142"/>
    </x:row>
    <x:row r="10361">
      <x:c r="A10361" s="142"/>
    </x:row>
    <x:row r="10362">
      <x:c r="A10362" s="142"/>
    </x:row>
    <x:row r="10363">
      <x:c r="A10363" s="142"/>
    </x:row>
    <x:row r="10364">
      <x:c r="A10364" s="142"/>
    </x:row>
    <x:row r="10365">
      <x:c r="A10365" s="142"/>
    </x:row>
    <x:row r="10366">
      <x:c r="A10366" s="142"/>
    </x:row>
    <x:row r="10367">
      <x:c r="A10367" s="142"/>
    </x:row>
    <x:row r="10368">
      <x:c r="A10368" s="142"/>
    </x:row>
    <x:row r="10369">
      <x:c r="A10369" s="142"/>
    </x:row>
    <x:row r="10370">
      <x:c r="A10370" s="142"/>
    </x:row>
    <x:row r="10371">
      <x:c r="A10371" s="142"/>
    </x:row>
    <x:row r="10372">
      <x:c r="A10372" s="142"/>
    </x:row>
    <x:row r="10373">
      <x:c r="A10373" s="142"/>
    </x:row>
    <x:row r="10374">
      <x:c r="A10374" s="142"/>
    </x:row>
    <x:row r="10375">
      <x:c r="A10375" s="142"/>
    </x:row>
    <x:row r="10376">
      <x:c r="A10376" s="142"/>
    </x:row>
    <x:row r="10377">
      <x:c r="A10377" s="142"/>
    </x:row>
    <x:row r="10378">
      <x:c r="A10378" s="142"/>
    </x:row>
    <x:row r="10379">
      <x:c r="A10379" s="142"/>
    </x:row>
    <x:row r="10380">
      <x:c r="A10380" s="142"/>
    </x:row>
    <x:row r="10381">
      <x:c r="A10381" s="142"/>
    </x:row>
    <x:row r="10382">
      <x:c r="A10382" s="142"/>
    </x:row>
    <x:row r="10383">
      <x:c r="A10383" s="142"/>
    </x:row>
    <x:row r="10384">
      <x:c r="A10384" s="142"/>
    </x:row>
    <x:row r="10385">
      <x:c r="A10385" s="142"/>
    </x:row>
    <x:row r="10386">
      <x:c r="A10386" s="142"/>
    </x:row>
    <x:row r="10387">
      <x:c r="A10387" s="142"/>
    </x:row>
    <x:row r="10388">
      <x:c r="A10388" s="142"/>
    </x:row>
    <x:row r="10389">
      <x:c r="A10389" s="142"/>
    </x:row>
    <x:row r="10390">
      <x:c r="A10390" s="142"/>
    </x:row>
    <x:row r="10391">
      <x:c r="A10391" s="142"/>
    </x:row>
    <x:row r="10392">
      <x:c r="A10392" s="142"/>
    </x:row>
    <x:row r="10393">
      <x:c r="A10393" s="142"/>
    </x:row>
    <x:row r="10394">
      <x:c r="A10394" s="142"/>
    </x:row>
    <x:row r="10395">
      <x:c r="A10395" s="142"/>
    </x:row>
    <x:row r="10396">
      <x:c r="A10396" s="142"/>
    </x:row>
    <x:row r="10397">
      <x:c r="A10397" s="142"/>
    </x:row>
    <x:row r="10398">
      <x:c r="A10398" s="142"/>
    </x:row>
    <x:row r="10399">
      <x:c r="A10399" s="142"/>
    </x:row>
    <x:row r="10400">
      <x:c r="A10400" s="142"/>
    </x:row>
    <x:row r="10401">
      <x:c r="A10401" s="142"/>
    </x:row>
    <x:row r="10402">
      <x:c r="A10402" s="142"/>
    </x:row>
    <x:row r="10403">
      <x:c r="A10403" s="142"/>
    </x:row>
    <x:row r="10404">
      <x:c r="A10404" s="142"/>
    </x:row>
    <x:row r="10405">
      <x:c r="A10405" s="142"/>
    </x:row>
    <x:row r="10406">
      <x:c r="A10406" s="142"/>
    </x:row>
    <x:row r="10407">
      <x:c r="A10407" s="142"/>
    </x:row>
    <x:row r="10408">
      <x:c r="A10408" s="142"/>
    </x:row>
    <x:row r="10409">
      <x:c r="A10409" s="142"/>
    </x:row>
    <x:row r="10410">
      <x:c r="A10410" s="142"/>
    </x:row>
    <x:row r="10411">
      <x:c r="A10411" s="142"/>
    </x:row>
    <x:row r="10412">
      <x:c r="A10412" s="142"/>
    </x:row>
    <x:row r="10413">
      <x:c r="A10413" s="142"/>
    </x:row>
    <x:row r="10414">
      <x:c r="A10414" s="142"/>
    </x:row>
    <x:row r="10415">
      <x:c r="A10415" s="142"/>
    </x:row>
    <x:row r="10416">
      <x:c r="A10416" s="142"/>
    </x:row>
    <x:row r="10417">
      <x:c r="A10417" s="142"/>
    </x:row>
    <x:row r="10418">
      <x:c r="A10418" s="142"/>
    </x:row>
    <x:row r="10419">
      <x:c r="A10419" s="142"/>
    </x:row>
    <x:row r="10420">
      <x:c r="A10420" s="142"/>
    </x:row>
    <x:row r="10421">
      <x:c r="A10421" s="142"/>
    </x:row>
    <x:row r="10422">
      <x:c r="A10422" s="142"/>
    </x:row>
    <x:row r="10423">
      <x:c r="A10423" s="142"/>
    </x:row>
    <x:row r="10424">
      <x:c r="A10424" s="142"/>
    </x:row>
    <x:row r="10425">
      <x:c r="A10425" s="142"/>
    </x:row>
    <x:row r="10426">
      <x:c r="A10426" s="142"/>
    </x:row>
    <x:row r="10427">
      <x:c r="A10427" s="142"/>
    </x:row>
    <x:row r="10428">
      <x:c r="A10428" s="142"/>
    </x:row>
    <x:row r="10429">
      <x:c r="A10429" s="142"/>
    </x:row>
    <x:row r="10430">
      <x:c r="A10430" s="142"/>
    </x:row>
    <x:row r="10431">
      <x:c r="A10431" s="142"/>
    </x:row>
    <x:row r="10432">
      <x:c r="A10432" s="142"/>
    </x:row>
    <x:row r="10433">
      <x:c r="A10433" s="142"/>
    </x:row>
    <x:row r="10434">
      <x:c r="A10434" s="142"/>
    </x:row>
    <x:row r="10435">
      <x:c r="A10435" s="142"/>
    </x:row>
    <x:row r="10436">
      <x:c r="A10436" s="142"/>
    </x:row>
    <x:row r="10437">
      <x:c r="A10437" s="142"/>
    </x:row>
    <x:row r="10438">
      <x:c r="A10438" s="142"/>
    </x:row>
    <x:row r="10439">
      <x:c r="A10439" s="142"/>
    </x:row>
    <x:row r="10440">
      <x:c r="A10440" s="142"/>
    </x:row>
    <x:row r="10441">
      <x:c r="A10441" s="142"/>
    </x:row>
    <x:row r="10442">
      <x:c r="A10442" s="142"/>
    </x:row>
    <x:row r="10443">
      <x:c r="A10443" s="142"/>
    </x:row>
    <x:row r="10444">
      <x:c r="A10444" s="142"/>
    </x:row>
    <x:row r="10445">
      <x:c r="A10445" s="142"/>
    </x:row>
    <x:row r="10446">
      <x:c r="A10446" s="142"/>
    </x:row>
    <x:row r="10447">
      <x:c r="A10447" s="142"/>
    </x:row>
    <x:row r="10448">
      <x:c r="A10448" s="142"/>
    </x:row>
    <x:row r="10449">
      <x:c r="A10449" s="142"/>
    </x:row>
    <x:row r="10450">
      <x:c r="A10450" s="142"/>
    </x:row>
    <x:row r="10451">
      <x:c r="A10451" s="142"/>
    </x:row>
    <x:row r="10452">
      <x:c r="A10452" s="142"/>
    </x:row>
    <x:row r="10453">
      <x:c r="A10453" s="142"/>
    </x:row>
    <x:row r="10454">
      <x:c r="A10454" s="142"/>
    </x:row>
    <x:row r="10455">
      <x:c r="A10455" s="142"/>
    </x:row>
    <x:row r="10456">
      <x:c r="A10456" s="142"/>
    </x:row>
    <x:row r="10457">
      <x:c r="A10457" s="142"/>
    </x:row>
    <x:row r="10458">
      <x:c r="A10458" s="142"/>
    </x:row>
    <x:row r="10459">
      <x:c r="A10459" s="142"/>
    </x:row>
    <x:row r="10460">
      <x:c r="A10460" s="142"/>
    </x:row>
    <x:row r="10461">
      <x:c r="A10461" s="142"/>
    </x:row>
    <x:row r="10462">
      <x:c r="A10462" s="142"/>
    </x:row>
    <x:row r="10463">
      <x:c r="A10463" s="142"/>
    </x:row>
    <x:row r="10464">
      <x:c r="A10464" s="142"/>
    </x:row>
    <x:row r="10465">
      <x:c r="A10465" s="142"/>
    </x:row>
    <x:row r="10466">
      <x:c r="A10466" s="142"/>
    </x:row>
    <x:row r="10467">
      <x:c r="A10467" s="142"/>
    </x:row>
    <x:row r="10468">
      <x:c r="A10468" s="142"/>
    </x:row>
    <x:row r="10469">
      <x:c r="A10469" s="142"/>
    </x:row>
    <x:row r="10470">
      <x:c r="A10470" s="142"/>
    </x:row>
    <x:row r="10471">
      <x:c r="A10471" s="142"/>
    </x:row>
    <x:row r="10472">
      <x:c r="A10472" s="142"/>
    </x:row>
    <x:row r="10473">
      <x:c r="A10473" s="142"/>
    </x:row>
    <x:row r="10474">
      <x:c r="A10474" s="142"/>
    </x:row>
    <x:row r="10475">
      <x:c r="A10475" s="142"/>
    </x:row>
    <x:row r="10476">
      <x:c r="A10476" s="142"/>
    </x:row>
    <x:row r="10477">
      <x:c r="A10477" s="142"/>
    </x:row>
    <x:row r="10478">
      <x:c r="A10478" s="142"/>
    </x:row>
    <x:row r="10479">
      <x:c r="A10479" s="142"/>
    </x:row>
    <x:row r="10480">
      <x:c r="A10480" s="142"/>
    </x:row>
    <x:row r="10481">
      <x:c r="A10481" s="142"/>
    </x:row>
    <x:row r="10482">
      <x:c r="A10482" s="142"/>
    </x:row>
    <x:row r="10483">
      <x:c r="A10483" s="142"/>
    </x:row>
    <x:row r="10484">
      <x:c r="A10484" s="142"/>
    </x:row>
    <x:row r="10485">
      <x:c r="A10485" s="142"/>
    </x:row>
    <x:row r="10486">
      <x:c r="A10486" s="142"/>
    </x:row>
    <x:row r="10487">
      <x:c r="A10487" s="142"/>
    </x:row>
    <x:row r="10488">
      <x:c r="A10488" s="142"/>
    </x:row>
    <x:row r="10489">
      <x:c r="A10489" s="142"/>
    </x:row>
    <x:row r="10490">
      <x:c r="A10490" s="142"/>
    </x:row>
    <x:row r="10491">
      <x:c r="A10491" s="142"/>
    </x:row>
    <x:row r="10492">
      <x:c r="A10492" s="142"/>
    </x:row>
    <x:row r="10493">
      <x:c r="A10493" s="142"/>
    </x:row>
    <x:row r="10494">
      <x:c r="A10494" s="142"/>
    </x:row>
    <x:row r="10495">
      <x:c r="A10495" s="142"/>
    </x:row>
    <x:row r="10496">
      <x:c r="A10496" s="142"/>
    </x:row>
    <x:row r="10497">
      <x:c r="A10497" s="142"/>
    </x:row>
    <x:row r="10498">
      <x:c r="A10498" s="142"/>
    </x:row>
    <x:row r="10499">
      <x:c r="A10499" s="142"/>
    </x:row>
    <x:row r="10500">
      <x:c r="A10500" s="142"/>
    </x:row>
    <x:row r="10501">
      <x:c r="A10501" s="142"/>
    </x:row>
    <x:row r="10502">
      <x:c r="A10502" s="142"/>
    </x:row>
    <x:row r="10503">
      <x:c r="A10503" s="142"/>
    </x:row>
    <x:row r="10504">
      <x:c r="A10504" s="142"/>
    </x:row>
    <x:row r="10505">
      <x:c r="A10505" s="142"/>
    </x:row>
    <x:row r="10506">
      <x:c r="A10506" s="142"/>
    </x:row>
    <x:row r="10507">
      <x:c r="A10507" s="142"/>
    </x:row>
    <x:row r="10508">
      <x:c r="A10508" s="142"/>
    </x:row>
    <x:row r="10509">
      <x:c r="A10509" s="142"/>
    </x:row>
    <x:row r="10510">
      <x:c r="A10510" s="142"/>
    </x:row>
    <x:row r="10511">
      <x:c r="A10511" s="142"/>
    </x:row>
    <x:row r="10512">
      <x:c r="A10512" s="142"/>
    </x:row>
    <x:row r="10513">
      <x:c r="A10513" s="142"/>
    </x:row>
    <x:row r="10514">
      <x:c r="A10514" s="142"/>
    </x:row>
    <x:row r="10515">
      <x:c r="A10515" s="142"/>
    </x:row>
    <x:row r="10516">
      <x:c r="A10516" s="142"/>
    </x:row>
    <x:row r="10517">
      <x:c r="A10517" s="142"/>
    </x:row>
    <x:row r="10518">
      <x:c r="A10518" s="142"/>
    </x:row>
    <x:row r="10519">
      <x:c r="A10519" s="142"/>
    </x:row>
    <x:row r="10520">
      <x:c r="A10520" s="142"/>
    </x:row>
    <x:row r="10521">
      <x:c r="A10521" s="142"/>
    </x:row>
    <x:row r="10522">
      <x:c r="A10522" s="142"/>
    </x:row>
    <x:row r="10523">
      <x:c r="A10523" s="142"/>
    </x:row>
    <x:row r="10524">
      <x:c r="A10524" s="142"/>
    </x:row>
    <x:row r="10525">
      <x:c r="A10525" s="142"/>
    </x:row>
    <x:row r="10526">
      <x:c r="A10526" s="142"/>
    </x:row>
    <x:row r="10527">
      <x:c r="A10527" s="142"/>
    </x:row>
    <x:row r="10528">
      <x:c r="A10528" s="142"/>
    </x:row>
    <x:row r="10529">
      <x:c r="A10529" s="142"/>
    </x:row>
    <x:row r="10530">
      <x:c r="A10530" s="142"/>
    </x:row>
    <x:row r="10531">
      <x:c r="A10531" s="142"/>
    </x:row>
    <x:row r="10532">
      <x:c r="A10532" s="142"/>
    </x:row>
    <x:row r="10533">
      <x:c r="A10533" s="142"/>
    </x:row>
    <x:row r="10534">
      <x:c r="A10534" s="142"/>
    </x:row>
    <x:row r="10535">
      <x:c r="A10535" s="142"/>
    </x:row>
    <x:row r="10536">
      <x:c r="A10536" s="142"/>
    </x:row>
    <x:row r="10537">
      <x:c r="A10537" s="142"/>
    </x:row>
    <x:row r="10538">
      <x:c r="A10538" s="142"/>
    </x:row>
    <x:row r="10539">
      <x:c r="A10539" s="142"/>
    </x:row>
    <x:row r="10540">
      <x:c r="A10540" s="142"/>
    </x:row>
    <x:row r="10541">
      <x:c r="A10541" s="142"/>
    </x:row>
    <x:row r="10542">
      <x:c r="A10542" s="142"/>
    </x:row>
    <x:row r="10543">
      <x:c r="A10543" s="142"/>
    </x:row>
    <x:row r="10544">
      <x:c r="A10544" s="142"/>
    </x:row>
    <x:row r="10545">
      <x:c r="A10545" s="142"/>
    </x:row>
    <x:row r="10546">
      <x:c r="A10546" s="142"/>
    </x:row>
    <x:row r="10547">
      <x:c r="A10547" s="142"/>
    </x:row>
    <x:row r="10548">
      <x:c r="A10548" s="142"/>
    </x:row>
    <x:row r="10549">
      <x:c r="A10549" s="142"/>
    </x:row>
    <x:row r="10550">
      <x:c r="A10550" s="142"/>
    </x:row>
    <x:row r="10551">
      <x:c r="A10551" s="142"/>
    </x:row>
    <x:row r="10552">
      <x:c r="A10552" s="142"/>
    </x:row>
    <x:row r="10553">
      <x:c r="A10553" s="142"/>
    </x:row>
    <x:row r="10554">
      <x:c r="A10554" s="142"/>
    </x:row>
    <x:row r="10555">
      <x:c r="A10555" s="142"/>
    </x:row>
    <x:row r="10556">
      <x:c r="A10556" s="142"/>
    </x:row>
    <x:row r="10557">
      <x:c r="A10557" s="142"/>
    </x:row>
    <x:row r="10558">
      <x:c r="A10558" s="142"/>
    </x:row>
    <x:row r="10559">
      <x:c r="A10559" s="142"/>
    </x:row>
    <x:row r="10560">
      <x:c r="A10560" s="142"/>
    </x:row>
    <x:row r="10561">
      <x:c r="A10561" s="142"/>
    </x:row>
    <x:row r="10562">
      <x:c r="A10562" s="142"/>
    </x:row>
    <x:row r="10563">
      <x:c r="A10563" s="142"/>
    </x:row>
    <x:row r="10564">
      <x:c r="A10564" s="142"/>
    </x:row>
    <x:row r="10565">
      <x:c r="A10565" s="142"/>
    </x:row>
    <x:row r="10566">
      <x:c r="A10566" s="142"/>
    </x:row>
    <x:row r="10567">
      <x:c r="A10567" s="142"/>
    </x:row>
    <x:row r="10568">
      <x:c r="A10568" s="142"/>
    </x:row>
    <x:row r="10569">
      <x:c r="A10569" s="142"/>
    </x:row>
    <x:row r="10570">
      <x:c r="A10570" s="142"/>
    </x:row>
    <x:row r="10571">
      <x:c r="A10571" s="142"/>
    </x:row>
    <x:row r="10572">
      <x:c r="A10572" s="142"/>
    </x:row>
    <x:row r="10573">
      <x:c r="A10573" s="142"/>
    </x:row>
    <x:row r="10574">
      <x:c r="A10574" s="142"/>
    </x:row>
    <x:row r="10575">
      <x:c r="A10575" s="142"/>
    </x:row>
    <x:row r="10576">
      <x:c r="A10576" s="142"/>
    </x:row>
    <x:row r="10577">
      <x:c r="A10577" s="142"/>
    </x:row>
    <x:row r="10578">
      <x:c r="A10578" s="142"/>
    </x:row>
    <x:row r="10579">
      <x:c r="A10579" s="142"/>
    </x:row>
    <x:row r="10580">
      <x:c r="A10580" s="142"/>
    </x:row>
    <x:row r="10581">
      <x:c r="A10581" s="142"/>
    </x:row>
    <x:row r="10582">
      <x:c r="A10582" s="142"/>
    </x:row>
    <x:row r="10583">
      <x:c r="A10583" s="142"/>
    </x:row>
    <x:row r="10584">
      <x:c r="A10584" s="142"/>
    </x:row>
    <x:row r="10585">
      <x:c r="A10585" s="142"/>
    </x:row>
    <x:row r="10586">
      <x:c r="A10586" s="142"/>
    </x:row>
    <x:row r="10587">
      <x:c r="A10587" s="142"/>
    </x:row>
    <x:row r="10588">
      <x:c r="A10588" s="142"/>
    </x:row>
    <x:row r="10589">
      <x:c r="A10589" s="142"/>
    </x:row>
    <x:row r="10590">
      <x:c r="A10590" s="142"/>
    </x:row>
    <x:row r="10591">
      <x:c r="A10591" s="142"/>
    </x:row>
    <x:row r="10592">
      <x:c r="A10592" s="142"/>
    </x:row>
    <x:row r="10593">
      <x:c r="A10593" s="142"/>
    </x:row>
    <x:row r="10594">
      <x:c r="A10594" s="142"/>
    </x:row>
    <x:row r="10595">
      <x:c r="A10595" s="142"/>
    </x:row>
    <x:row r="10596">
      <x:c r="A10596" s="142"/>
    </x:row>
    <x:row r="10597">
      <x:c r="A10597" s="142"/>
    </x:row>
    <x:row r="10598">
      <x:c r="A10598" s="142"/>
    </x:row>
    <x:row r="10599">
      <x:c r="A10599" s="142"/>
    </x:row>
    <x:row r="10600">
      <x:c r="A10600" s="142"/>
    </x:row>
    <x:row r="10601">
      <x:c r="A10601" s="142"/>
    </x:row>
    <x:row r="10602">
      <x:c r="A10602" s="142"/>
    </x:row>
    <x:row r="10603">
      <x:c r="A10603" s="142"/>
    </x:row>
    <x:row r="10604">
      <x:c r="A10604" s="142"/>
    </x:row>
    <x:row r="10605">
      <x:c r="A10605" s="142"/>
    </x:row>
    <x:row r="10606">
      <x:c r="A10606" s="142"/>
    </x:row>
    <x:row r="10607">
      <x:c r="A10607" s="142"/>
    </x:row>
    <x:row r="10608">
      <x:c r="A10608" s="142"/>
    </x:row>
    <x:row r="10609">
      <x:c r="A10609" s="142"/>
    </x:row>
    <x:row r="10610">
      <x:c r="A10610" s="142"/>
    </x:row>
    <x:row r="10611">
      <x:c r="A10611" s="142"/>
    </x:row>
    <x:row r="10612">
      <x:c r="A10612" s="142"/>
    </x:row>
    <x:row r="10613">
      <x:c r="A10613" s="142"/>
    </x:row>
    <x:row r="10614">
      <x:c r="A10614" s="142"/>
    </x:row>
    <x:row r="10615">
      <x:c r="A10615" s="142"/>
    </x:row>
    <x:row r="10616">
      <x:c r="A10616" s="142"/>
    </x:row>
    <x:row r="10617">
      <x:c r="A10617" s="142"/>
    </x:row>
    <x:row r="10618">
      <x:c r="A10618" s="142"/>
    </x:row>
    <x:row r="10619">
      <x:c r="A10619" s="142"/>
    </x:row>
    <x:row r="10620">
      <x:c r="A10620" s="142"/>
    </x:row>
    <x:row r="10621">
      <x:c r="A10621" s="142"/>
    </x:row>
    <x:row r="10622">
      <x:c r="A10622" s="142"/>
    </x:row>
    <x:row r="10623">
      <x:c r="A10623" s="142"/>
    </x:row>
    <x:row r="10624">
      <x:c r="A10624" s="142"/>
    </x:row>
    <x:row r="10625">
      <x:c r="A10625" s="142"/>
    </x:row>
    <x:row r="10626">
      <x:c r="A10626" s="142"/>
    </x:row>
    <x:row r="10627">
      <x:c r="A10627" s="142"/>
    </x:row>
    <x:row r="10628">
      <x:c r="A10628" s="142"/>
    </x:row>
    <x:row r="10629">
      <x:c r="A10629" s="142"/>
    </x:row>
    <x:row r="10630">
      <x:c r="A10630" s="142"/>
    </x:row>
    <x:row r="10631">
      <x:c r="A10631" s="142"/>
    </x:row>
    <x:row r="10632">
      <x:c r="A10632" s="142"/>
    </x:row>
    <x:row r="10633">
      <x:c r="A10633" s="142"/>
    </x:row>
    <x:row r="10634">
      <x:c r="A10634" s="142"/>
    </x:row>
    <x:row r="10635">
      <x:c r="A10635" s="142"/>
    </x:row>
    <x:row r="10636">
      <x:c r="A10636" s="142"/>
    </x:row>
    <x:row r="10637">
      <x:c r="A10637" s="142"/>
    </x:row>
    <x:row r="10638">
      <x:c r="A10638" s="142"/>
    </x:row>
    <x:row r="10639">
      <x:c r="A10639" s="142"/>
    </x:row>
    <x:row r="10640">
      <x:c r="A10640" s="142"/>
    </x:row>
    <x:row r="10641">
      <x:c r="A10641" s="142"/>
    </x:row>
    <x:row r="10642">
      <x:c r="A10642" s="142"/>
    </x:row>
    <x:row r="10643">
      <x:c r="A10643" s="142"/>
    </x:row>
    <x:row r="10644">
      <x:c r="A10644" s="142"/>
    </x:row>
    <x:row r="10645">
      <x:c r="A10645" s="142"/>
    </x:row>
    <x:row r="10646">
      <x:c r="A10646" s="142"/>
    </x:row>
    <x:row r="10647">
      <x:c r="A10647" s="142"/>
    </x:row>
    <x:row r="10648">
      <x:c r="A10648" s="142"/>
    </x:row>
    <x:row r="10649">
      <x:c r="A10649" s="142"/>
    </x:row>
    <x:row r="10650">
      <x:c r="A10650" s="142"/>
    </x:row>
    <x:row r="10651">
      <x:c r="A10651" s="142"/>
    </x:row>
    <x:row r="10652">
      <x:c r="A10652" s="142"/>
    </x:row>
    <x:row r="10653">
      <x:c r="A10653" s="142"/>
    </x:row>
    <x:row r="10654">
      <x:c r="A10654" s="142"/>
    </x:row>
    <x:row r="10655">
      <x:c r="A10655" s="142"/>
    </x:row>
    <x:row r="10656">
      <x:c r="A10656" s="142"/>
    </x:row>
    <x:row r="10657">
      <x:c r="A10657" s="142"/>
    </x:row>
    <x:row r="10658">
      <x:c r="A10658" s="142"/>
    </x:row>
    <x:row r="10659">
      <x:c r="A10659" s="142"/>
    </x:row>
    <x:row r="10660">
      <x:c r="A10660" s="142"/>
    </x:row>
    <x:row r="10661">
      <x:c r="A10661" s="142"/>
    </x:row>
    <x:row r="10662">
      <x:c r="A10662" s="142"/>
    </x:row>
    <x:row r="10663">
      <x:c r="A10663" s="142"/>
    </x:row>
    <x:row r="10664">
      <x:c r="A10664" s="142"/>
    </x:row>
    <x:row r="10665">
      <x:c r="A10665" s="142"/>
    </x:row>
    <x:row r="10666">
      <x:c r="A10666" s="142"/>
    </x:row>
    <x:row r="10667">
      <x:c r="A10667" s="142"/>
    </x:row>
    <x:row r="10668">
      <x:c r="A10668" s="142"/>
    </x:row>
    <x:row r="10669">
      <x:c r="A10669" s="142"/>
    </x:row>
    <x:row r="10670">
      <x:c r="A10670" s="142"/>
    </x:row>
    <x:row r="10671">
      <x:c r="A10671" s="142"/>
    </x:row>
    <x:row r="10672">
      <x:c r="A10672" s="142"/>
    </x:row>
    <x:row r="10673">
      <x:c r="A10673" s="142"/>
    </x:row>
    <x:row r="10674">
      <x:c r="A10674" s="142"/>
    </x:row>
    <x:row r="10675">
      <x:c r="A10675" s="142"/>
    </x:row>
    <x:row r="10676">
      <x:c r="A10676" s="142"/>
    </x:row>
    <x:row r="10677">
      <x:c r="A10677" s="142"/>
    </x:row>
    <x:row r="10678">
      <x:c r="A10678" s="142"/>
    </x:row>
    <x:row r="10679">
      <x:c r="A10679" s="142"/>
    </x:row>
    <x:row r="10680">
      <x:c r="A10680" s="142"/>
    </x:row>
    <x:row r="10681">
      <x:c r="A10681" s="142"/>
    </x:row>
    <x:row r="10682">
      <x:c r="A10682" s="142"/>
    </x:row>
    <x:row r="10683">
      <x:c r="A10683" s="142"/>
    </x:row>
    <x:row r="10684">
      <x:c r="A10684" s="142"/>
    </x:row>
    <x:row r="10685">
      <x:c r="A10685" s="142"/>
    </x:row>
    <x:row r="10686">
      <x:c r="A10686" s="142"/>
    </x:row>
    <x:row r="10687">
      <x:c r="A10687" s="142"/>
    </x:row>
    <x:row r="10688">
      <x:c r="A10688" s="142"/>
    </x:row>
    <x:row r="10689">
      <x:c r="A10689" s="142"/>
    </x:row>
    <x:row r="10690">
      <x:c r="A10690" s="142"/>
    </x:row>
    <x:row r="10691">
      <x:c r="A10691" s="142"/>
    </x:row>
    <x:row r="10692">
      <x:c r="A10692" s="142"/>
    </x:row>
    <x:row r="10693">
      <x:c r="A10693" s="142"/>
    </x:row>
    <x:row r="10694">
      <x:c r="A10694" s="142"/>
    </x:row>
    <x:row r="10695">
      <x:c r="A10695" s="142"/>
    </x:row>
    <x:row r="10696">
      <x:c r="A10696" s="142"/>
    </x:row>
    <x:row r="10697">
      <x:c r="A10697" s="142"/>
    </x:row>
    <x:row r="10698">
      <x:c r="A10698" s="142"/>
    </x:row>
    <x:row r="10699">
      <x:c r="A10699" s="142"/>
    </x:row>
    <x:row r="10700">
      <x:c r="A10700" s="142"/>
    </x:row>
    <x:row r="10701">
      <x:c r="A10701" s="142"/>
    </x:row>
    <x:row r="10702">
      <x:c r="A10702" s="142"/>
    </x:row>
    <x:row r="10703">
      <x:c r="A10703" s="142"/>
    </x:row>
    <x:row r="10704">
      <x:c r="A10704" s="142"/>
    </x:row>
    <x:row r="10705">
      <x:c r="A10705" s="142"/>
    </x:row>
    <x:row r="10706">
      <x:c r="A10706" s="142"/>
    </x:row>
    <x:row r="10707">
      <x:c r="A10707" s="142"/>
    </x:row>
    <x:row r="10708">
      <x:c r="A10708" s="142"/>
    </x:row>
    <x:row r="10709">
      <x:c r="A10709" s="142"/>
    </x:row>
    <x:row r="10710">
      <x:c r="A10710" s="142"/>
    </x:row>
    <x:row r="10711">
      <x:c r="A10711" s="142"/>
    </x:row>
    <x:row r="10712">
      <x:c r="A10712" s="142"/>
    </x:row>
    <x:row r="10713">
      <x:c r="A10713" s="142"/>
    </x:row>
    <x:row r="10714">
      <x:c r="A10714" s="142"/>
    </x:row>
    <x:row r="10715">
      <x:c r="A10715" s="142"/>
    </x:row>
    <x:row r="10716">
      <x:c r="A10716" s="142"/>
    </x:row>
    <x:row r="10717">
      <x:c r="A10717" s="142"/>
    </x:row>
    <x:row r="10718">
      <x:c r="A10718" s="142"/>
    </x:row>
    <x:row r="10719">
      <x:c r="A10719" s="142"/>
    </x:row>
    <x:row r="10720">
      <x:c r="A10720" s="142"/>
    </x:row>
    <x:row r="10721">
      <x:c r="A10721" s="142"/>
    </x:row>
    <x:row r="10722">
      <x:c r="A10722" s="142"/>
    </x:row>
    <x:row r="10723">
      <x:c r="A10723" s="142"/>
    </x:row>
    <x:row r="10724">
      <x:c r="A10724" s="142"/>
    </x:row>
    <x:row r="10725">
      <x:c r="A10725" s="142"/>
    </x:row>
    <x:row r="10726">
      <x:c r="A10726" s="142"/>
    </x:row>
    <x:row r="10727">
      <x:c r="A10727" s="142"/>
    </x:row>
    <x:row r="10728">
      <x:c r="A10728" s="142"/>
    </x:row>
    <x:row r="10729">
      <x:c r="A10729" s="142"/>
    </x:row>
    <x:row r="10730">
      <x:c r="A10730" s="142"/>
    </x:row>
    <x:row r="10731">
      <x:c r="A10731" s="142"/>
    </x:row>
    <x:row r="10732">
      <x:c r="A10732" s="142"/>
    </x:row>
    <x:row r="10733">
      <x:c r="A10733" s="142"/>
    </x:row>
    <x:row r="10734">
      <x:c r="A10734" s="142"/>
    </x:row>
    <x:row r="10735">
      <x:c r="A10735" s="142"/>
    </x:row>
    <x:row r="10736">
      <x:c r="A10736" s="142"/>
    </x:row>
    <x:row r="10737">
      <x:c r="A10737" s="142"/>
    </x:row>
    <x:row r="10738">
      <x:c r="A10738" s="142"/>
    </x:row>
    <x:row r="10739">
      <x:c r="A10739" s="142"/>
    </x:row>
    <x:row r="10740">
      <x:c r="A10740" s="142"/>
    </x:row>
    <x:row r="10741">
      <x:c r="A10741" s="142"/>
    </x:row>
    <x:row r="10742">
      <x:c r="A10742" s="142"/>
    </x:row>
    <x:row r="10743">
      <x:c r="A10743" s="142"/>
    </x:row>
    <x:row r="10744">
      <x:c r="A10744" s="142"/>
    </x:row>
    <x:row r="10745">
      <x:c r="A10745" s="142"/>
    </x:row>
    <x:row r="10746">
      <x:c r="A10746" s="142"/>
    </x:row>
    <x:row r="10747">
      <x:c r="A10747" s="142"/>
    </x:row>
    <x:row r="10748">
      <x:c r="A10748" s="142"/>
    </x:row>
    <x:row r="10749">
      <x:c r="A10749" s="142"/>
    </x:row>
    <x:row r="10750">
      <x:c r="A10750" s="142"/>
    </x:row>
    <x:row r="10751">
      <x:c r="A10751" s="142"/>
    </x:row>
    <x:row r="10752">
      <x:c r="A10752" s="142"/>
    </x:row>
    <x:row r="10753">
      <x:c r="A10753" s="142"/>
    </x:row>
    <x:row r="10754">
      <x:c r="A10754" s="142"/>
    </x:row>
    <x:row r="10755">
      <x:c r="A10755" s="142"/>
    </x:row>
    <x:row r="10756">
      <x:c r="A10756" s="142"/>
    </x:row>
    <x:row r="10757">
      <x:c r="A10757" s="142"/>
    </x:row>
    <x:row r="10758">
      <x:c r="A10758" s="142"/>
    </x:row>
    <x:row r="10759">
      <x:c r="A10759" s="142"/>
    </x:row>
    <x:row r="10760">
      <x:c r="A10760" s="142"/>
    </x:row>
    <x:row r="10761">
      <x:c r="A10761" s="142"/>
    </x:row>
    <x:row r="10762">
      <x:c r="A10762" s="142"/>
    </x:row>
    <x:row r="10763">
      <x:c r="A10763" s="142"/>
    </x:row>
    <x:row r="10764">
      <x:c r="A10764" s="142"/>
    </x:row>
    <x:row r="10765">
      <x:c r="A10765" s="142"/>
    </x:row>
    <x:row r="10766">
      <x:c r="A10766" s="142"/>
    </x:row>
    <x:row r="10767">
      <x:c r="A10767" s="142"/>
    </x:row>
    <x:row r="10768">
      <x:c r="A10768" s="142"/>
    </x:row>
    <x:row r="10769">
      <x:c r="A10769" s="142"/>
    </x:row>
    <x:row r="10770">
      <x:c r="A10770" s="142"/>
    </x:row>
    <x:row r="10771">
      <x:c r="A10771" s="142"/>
    </x:row>
    <x:row r="10772">
      <x:c r="A10772" s="142"/>
    </x:row>
    <x:row r="10773">
      <x:c r="A10773" s="142"/>
    </x:row>
    <x:row r="10774">
      <x:c r="A10774" s="142"/>
    </x:row>
    <x:row r="10775">
      <x:c r="A10775" s="142"/>
    </x:row>
    <x:row r="10776">
      <x:c r="A10776" s="142"/>
    </x:row>
    <x:row r="10777">
      <x:c r="A10777" s="142"/>
    </x:row>
    <x:row r="10778">
      <x:c r="A10778" s="142"/>
    </x:row>
    <x:row r="10779">
      <x:c r="A10779" s="142"/>
    </x:row>
    <x:row r="10780">
      <x:c r="A10780" s="142"/>
    </x:row>
    <x:row r="10781">
      <x:c r="A10781" s="142"/>
    </x:row>
    <x:row r="10782">
      <x:c r="A10782" s="142"/>
    </x:row>
    <x:row r="10783">
      <x:c r="A10783" s="142"/>
    </x:row>
    <x:row r="10784">
      <x:c r="A10784" s="142"/>
    </x:row>
    <x:row r="10785">
      <x:c r="A10785" s="142"/>
    </x:row>
    <x:row r="10786">
      <x:c r="A10786" s="142"/>
    </x:row>
    <x:row r="10787">
      <x:c r="A10787" s="142"/>
    </x:row>
    <x:row r="10788">
      <x:c r="A10788" s="142"/>
    </x:row>
    <x:row r="10789">
      <x:c r="A10789" s="142"/>
    </x:row>
    <x:row r="10790">
      <x:c r="A10790" s="142"/>
    </x:row>
    <x:row r="10791">
      <x:c r="A10791" s="142"/>
    </x:row>
    <x:row r="10792">
      <x:c r="A10792" s="142"/>
    </x:row>
    <x:row r="10793">
      <x:c r="A10793" s="142"/>
    </x:row>
    <x:row r="10794">
      <x:c r="A10794" s="142"/>
    </x:row>
    <x:row r="10795">
      <x:c r="A10795" s="142"/>
    </x:row>
    <x:row r="10796">
      <x:c r="A10796" s="142"/>
    </x:row>
    <x:row r="10797">
      <x:c r="A10797" s="142"/>
    </x:row>
    <x:row r="10798">
      <x:c r="A10798" s="142"/>
    </x:row>
    <x:row r="10799">
      <x:c r="A10799" s="142"/>
    </x:row>
    <x:row r="10800">
      <x:c r="A10800" s="142"/>
    </x:row>
    <x:row r="10801">
      <x:c r="A10801" s="142"/>
    </x:row>
    <x:row r="10802">
      <x:c r="A10802" s="142"/>
    </x:row>
    <x:row r="10803">
      <x:c r="A10803" s="142"/>
    </x:row>
    <x:row r="10804">
      <x:c r="A10804" s="142"/>
    </x:row>
    <x:row r="10805">
      <x:c r="A10805" s="142"/>
    </x:row>
    <x:row r="10806">
      <x:c r="A10806" s="142"/>
    </x:row>
    <x:row r="10807">
      <x:c r="A10807" s="142"/>
    </x:row>
    <x:row r="10808">
      <x:c r="A10808" s="142"/>
    </x:row>
    <x:row r="10809">
      <x:c r="A10809" s="142"/>
    </x:row>
    <x:row r="10810">
      <x:c r="A10810" s="142"/>
    </x:row>
    <x:row r="10811">
      <x:c r="A10811" s="142"/>
    </x:row>
    <x:row r="10812">
      <x:c r="A10812" s="142"/>
    </x:row>
    <x:row r="10813">
      <x:c r="A10813" s="142"/>
    </x:row>
    <x:row r="10814">
      <x:c r="A10814" s="142"/>
    </x:row>
    <x:row r="10815">
      <x:c r="A10815" s="142"/>
    </x:row>
    <x:row r="10816">
      <x:c r="A10816" s="142"/>
    </x:row>
    <x:row r="10817">
      <x:c r="A10817" s="142"/>
    </x:row>
    <x:row r="10818">
      <x:c r="A10818" s="142"/>
    </x:row>
    <x:row r="10819">
      <x:c r="A10819" s="142"/>
    </x:row>
    <x:row r="10820">
      <x:c r="A10820" s="142"/>
    </x:row>
    <x:row r="10821">
      <x:c r="A10821" s="142"/>
    </x:row>
    <x:row r="10822">
      <x:c r="A10822" s="142"/>
    </x:row>
    <x:row r="10823">
      <x:c r="A10823" s="142"/>
    </x:row>
    <x:row r="10824">
      <x:c r="A10824" s="142"/>
    </x:row>
    <x:row r="10825">
      <x:c r="A10825" s="142"/>
    </x:row>
    <x:row r="10826">
      <x:c r="A10826" s="142"/>
    </x:row>
    <x:row r="10827">
      <x:c r="A10827" s="142"/>
    </x:row>
    <x:row r="10828">
      <x:c r="A10828" s="142"/>
    </x:row>
    <x:row r="10829">
      <x:c r="A10829" s="142"/>
    </x:row>
    <x:row r="10830">
      <x:c r="A10830" s="142"/>
    </x:row>
    <x:row r="10831">
      <x:c r="A10831" s="142"/>
    </x:row>
    <x:row r="10832">
      <x:c r="A10832" s="142"/>
    </x:row>
    <x:row r="10833">
      <x:c r="A10833" s="142"/>
    </x:row>
    <x:row r="10834">
      <x:c r="A10834" s="142"/>
    </x:row>
    <x:row r="10835">
      <x:c r="A10835" s="142"/>
    </x:row>
    <x:row r="10836">
      <x:c r="A10836" s="142"/>
    </x:row>
    <x:row r="10837">
      <x:c r="A10837" s="142"/>
    </x:row>
    <x:row r="10838">
      <x:c r="A10838" s="142"/>
    </x:row>
    <x:row r="10839">
      <x:c r="A10839" s="142"/>
    </x:row>
    <x:row r="10840">
      <x:c r="A10840" s="142"/>
    </x:row>
    <x:row r="10841">
      <x:c r="A10841" s="142"/>
    </x:row>
    <x:row r="10842">
      <x:c r="A10842" s="142"/>
    </x:row>
    <x:row r="10843">
      <x:c r="A10843" s="142"/>
    </x:row>
    <x:row r="10844">
      <x:c r="A10844" s="142"/>
    </x:row>
    <x:row r="10845">
      <x:c r="A10845" s="142"/>
    </x:row>
    <x:row r="10846">
      <x:c r="A10846" s="142"/>
    </x:row>
    <x:row r="10847">
      <x:c r="A10847" s="142"/>
    </x:row>
    <x:row r="10848">
      <x:c r="A10848" s="142"/>
    </x:row>
    <x:row r="10849">
      <x:c r="A10849" s="142"/>
    </x:row>
    <x:row r="10850">
      <x:c r="A10850" s="142"/>
    </x:row>
    <x:row r="10851">
      <x:c r="A10851" s="142"/>
    </x:row>
    <x:row r="10852">
      <x:c r="A10852" s="142"/>
    </x:row>
    <x:row r="10853">
      <x:c r="A10853" s="142"/>
    </x:row>
    <x:row r="10854">
      <x:c r="A10854" s="142"/>
    </x:row>
    <x:row r="10855">
      <x:c r="A10855" s="142"/>
    </x:row>
    <x:row r="10856">
      <x:c r="A10856" s="142"/>
    </x:row>
    <x:row r="10857">
      <x:c r="A10857" s="142"/>
    </x:row>
    <x:row r="10858">
      <x:c r="A10858" s="142"/>
    </x:row>
    <x:row r="10859">
      <x:c r="A10859" s="142"/>
    </x:row>
    <x:row r="10860">
      <x:c r="A10860" s="142"/>
    </x:row>
    <x:row r="10861">
      <x:c r="A10861" s="142"/>
    </x:row>
    <x:row r="10862">
      <x:c r="A10862" s="142"/>
    </x:row>
    <x:row r="10863">
      <x:c r="A10863" s="142"/>
    </x:row>
    <x:row r="10864">
      <x:c r="A10864" s="142"/>
    </x:row>
    <x:row r="10865">
      <x:c r="A10865" s="142"/>
    </x:row>
    <x:row r="10866">
      <x:c r="A10866" s="142"/>
    </x:row>
    <x:row r="10867">
      <x:c r="A10867" s="142"/>
    </x:row>
    <x:row r="10868">
      <x:c r="A10868" s="142"/>
    </x:row>
    <x:row r="10869">
      <x:c r="A10869" s="142"/>
    </x:row>
    <x:row r="10870">
      <x:c r="A10870" s="142"/>
    </x:row>
    <x:row r="10871">
      <x:c r="A10871" s="142"/>
    </x:row>
    <x:row r="10872">
      <x:c r="A10872" s="142"/>
    </x:row>
    <x:row r="10873">
      <x:c r="A10873" s="142"/>
    </x:row>
    <x:row r="10874">
      <x:c r="A10874" s="142"/>
    </x:row>
    <x:row r="10875">
      <x:c r="A10875" s="142"/>
    </x:row>
    <x:row r="10876">
      <x:c r="A10876" s="142"/>
    </x:row>
    <x:row r="10877">
      <x:c r="A10877" s="142"/>
    </x:row>
    <x:row r="10878">
      <x:c r="A10878" s="142"/>
    </x:row>
    <x:row r="10879">
      <x:c r="A10879" s="142"/>
    </x:row>
    <x:row r="10880">
      <x:c r="A10880" s="142"/>
    </x:row>
    <x:row r="10881">
      <x:c r="A10881" s="142"/>
    </x:row>
    <x:row r="10882">
      <x:c r="A10882" s="142"/>
    </x:row>
    <x:row r="10883">
      <x:c r="A10883" s="142"/>
    </x:row>
    <x:row r="10884">
      <x:c r="A10884" s="142"/>
    </x:row>
    <x:row r="10885">
      <x:c r="A10885" s="142"/>
    </x:row>
    <x:row r="10886">
      <x:c r="A10886" s="142"/>
    </x:row>
    <x:row r="10887">
      <x:c r="A10887" s="142"/>
    </x:row>
    <x:row r="10888">
      <x:c r="A10888" s="142"/>
    </x:row>
    <x:row r="10889">
      <x:c r="A10889" s="142"/>
    </x:row>
    <x:row r="10890">
      <x:c r="A10890" s="142"/>
    </x:row>
    <x:row r="10891">
      <x:c r="A10891" s="142"/>
    </x:row>
    <x:row r="10892">
      <x:c r="A10892" s="142"/>
    </x:row>
    <x:row r="10893">
      <x:c r="A10893" s="142"/>
    </x:row>
    <x:row r="10894">
      <x:c r="A10894" s="142"/>
    </x:row>
    <x:row r="10895">
      <x:c r="A10895" s="142"/>
    </x:row>
    <x:row r="10896">
      <x:c r="A10896" s="142"/>
    </x:row>
    <x:row r="10897">
      <x:c r="A10897" s="142"/>
    </x:row>
    <x:row r="10898">
      <x:c r="A10898" s="142"/>
    </x:row>
    <x:row r="10899">
      <x:c r="A10899" s="142"/>
    </x:row>
    <x:row r="10900">
      <x:c r="A10900" s="142"/>
    </x:row>
    <x:row r="10901">
      <x:c r="A10901" s="142"/>
    </x:row>
    <x:row r="10902">
      <x:c r="A10902" s="142"/>
    </x:row>
    <x:row r="10903">
      <x:c r="A10903" s="142"/>
    </x:row>
    <x:row r="10904">
      <x:c r="A10904" s="142"/>
    </x:row>
    <x:row r="10905">
      <x:c r="A10905" s="142"/>
    </x:row>
    <x:row r="10906">
      <x:c r="A10906" s="142"/>
    </x:row>
    <x:row r="10907">
      <x:c r="A10907" s="142"/>
    </x:row>
    <x:row r="10908">
      <x:c r="A10908" s="142"/>
    </x:row>
    <x:row r="10909">
      <x:c r="A10909" s="142"/>
    </x:row>
    <x:row r="10910">
      <x:c r="A10910" s="142"/>
    </x:row>
    <x:row r="10911">
      <x:c r="A10911" s="142"/>
    </x:row>
    <x:row r="10912">
      <x:c r="A10912" s="142"/>
    </x:row>
    <x:row r="10913">
      <x:c r="A10913" s="142"/>
    </x:row>
    <x:row r="10914">
      <x:c r="A10914" s="142"/>
    </x:row>
    <x:row r="10915">
      <x:c r="A10915" s="142"/>
    </x:row>
    <x:row r="10916">
      <x:c r="A10916" s="142"/>
    </x:row>
    <x:row r="10917">
      <x:c r="A10917" s="142"/>
    </x:row>
    <x:row r="10918">
      <x:c r="A10918" s="142"/>
    </x:row>
    <x:row r="10919">
      <x:c r="A10919" s="142"/>
    </x:row>
    <x:row r="10920">
      <x:c r="A10920" s="142"/>
    </x:row>
    <x:row r="10921">
      <x:c r="A10921" s="142"/>
    </x:row>
    <x:row r="10922">
      <x:c r="A10922" s="142"/>
    </x:row>
    <x:row r="10923">
      <x:c r="A10923" s="142"/>
    </x:row>
    <x:row r="10924">
      <x:c r="A10924" s="142"/>
    </x:row>
    <x:row r="10925">
      <x:c r="A10925" s="142"/>
    </x:row>
    <x:row r="10926">
      <x:c r="A10926" s="142"/>
    </x:row>
    <x:row r="10927">
      <x:c r="A10927" s="142"/>
    </x:row>
    <x:row r="10928">
      <x:c r="A10928" s="142"/>
    </x:row>
    <x:row r="10929">
      <x:c r="A10929" s="142"/>
    </x:row>
    <x:row r="10930">
      <x:c r="A10930" s="142"/>
    </x:row>
    <x:row r="10931">
      <x:c r="A10931" s="142"/>
    </x:row>
    <x:row r="10932">
      <x:c r="A10932" s="142"/>
    </x:row>
    <x:row r="10933">
      <x:c r="A10933" s="142"/>
    </x:row>
    <x:row r="10934">
      <x:c r="A10934" s="142"/>
    </x:row>
    <x:row r="10935">
      <x:c r="A10935" s="142"/>
    </x:row>
    <x:row r="10936">
      <x:c r="A10936" s="142"/>
    </x:row>
    <x:row r="10937">
      <x:c r="A10937" s="142"/>
    </x:row>
    <x:row r="10938">
      <x:c r="A10938" s="142"/>
    </x:row>
    <x:row r="10939">
      <x:c r="A10939" s="142"/>
    </x:row>
    <x:row r="10940">
      <x:c r="A10940" s="142"/>
    </x:row>
    <x:row r="10941">
      <x:c r="A10941" s="142"/>
    </x:row>
    <x:row r="10942">
      <x:c r="A10942" s="142"/>
    </x:row>
    <x:row r="10943">
      <x:c r="A10943" s="142"/>
    </x:row>
    <x:row r="10944">
      <x:c r="A10944" s="142"/>
    </x:row>
    <x:row r="10945">
      <x:c r="A10945" s="142"/>
    </x:row>
    <x:row r="10946">
      <x:c r="A10946" s="142"/>
    </x:row>
    <x:row r="10947">
      <x:c r="A10947" s="142"/>
    </x:row>
    <x:row r="10948">
      <x:c r="A10948" s="142"/>
    </x:row>
    <x:row r="10949">
      <x:c r="A10949" s="142"/>
    </x:row>
    <x:row r="10950">
      <x:c r="A10950" s="142"/>
    </x:row>
    <x:row r="10951">
      <x:c r="A10951" s="142"/>
    </x:row>
    <x:row r="10952">
      <x:c r="A10952" s="142"/>
    </x:row>
    <x:row r="10953">
      <x:c r="A10953" s="142"/>
    </x:row>
    <x:row r="10954">
      <x:c r="A10954" s="142"/>
    </x:row>
    <x:row r="10955">
      <x:c r="A10955" s="142"/>
    </x:row>
    <x:row r="10956">
      <x:c r="A10956" s="142"/>
    </x:row>
    <x:row r="10957">
      <x:c r="A10957" s="142"/>
    </x:row>
    <x:row r="10958">
      <x:c r="A10958" s="142"/>
    </x:row>
    <x:row r="10959">
      <x:c r="A10959" s="142"/>
    </x:row>
    <x:row r="10960">
      <x:c r="A10960" s="142"/>
    </x:row>
    <x:row r="10961">
      <x:c r="A10961" s="142"/>
    </x:row>
    <x:row r="10962">
      <x:c r="A10962" s="142"/>
    </x:row>
    <x:row r="10963">
      <x:c r="A10963" s="142"/>
    </x:row>
    <x:row r="10964">
      <x:c r="A10964" s="142"/>
    </x:row>
    <x:row r="10965">
      <x:c r="A10965" s="142"/>
    </x:row>
    <x:row r="10966">
      <x:c r="A10966" s="142"/>
    </x:row>
    <x:row r="10967">
      <x:c r="A10967" s="142"/>
    </x:row>
    <x:row r="10968">
      <x:c r="A10968" s="142"/>
    </x:row>
    <x:row r="10969">
      <x:c r="A10969" s="142"/>
    </x:row>
    <x:row r="10970">
      <x:c r="A10970" s="142"/>
    </x:row>
    <x:row r="10971">
      <x:c r="A10971" s="142"/>
    </x:row>
    <x:row r="10972">
      <x:c r="A10972" s="142"/>
    </x:row>
    <x:row r="10973">
      <x:c r="A10973" s="142"/>
    </x:row>
    <x:row r="10974">
      <x:c r="A10974" s="142"/>
    </x:row>
    <x:row r="10975">
      <x:c r="A10975" s="142"/>
    </x:row>
    <x:row r="10976">
      <x:c r="A10976" s="142"/>
    </x:row>
    <x:row r="10977">
      <x:c r="A10977" s="142"/>
    </x:row>
    <x:row r="10978">
      <x:c r="A10978" s="142"/>
    </x:row>
    <x:row r="10979">
      <x:c r="A10979" s="142"/>
    </x:row>
    <x:row r="10980">
      <x:c r="A10980" s="142"/>
    </x:row>
    <x:row r="10981">
      <x:c r="A10981" s="142"/>
    </x:row>
    <x:row r="10982">
      <x:c r="A10982" s="142"/>
    </x:row>
    <x:row r="10983">
      <x:c r="A10983" s="142"/>
    </x:row>
    <x:row r="10984">
      <x:c r="A10984" s="142"/>
    </x:row>
    <x:row r="10985">
      <x:c r="A10985" s="142"/>
    </x:row>
    <x:row r="10986">
      <x:c r="A10986" s="142"/>
    </x:row>
    <x:row r="10987">
      <x:c r="A10987" s="142"/>
    </x:row>
    <x:row r="10988">
      <x:c r="A10988" s="142"/>
    </x:row>
    <x:row r="10989">
      <x:c r="A10989" s="142"/>
    </x:row>
    <x:row r="10990">
      <x:c r="A10990" s="142"/>
    </x:row>
    <x:row r="10991">
      <x:c r="A10991" s="142"/>
    </x:row>
    <x:row r="10992">
      <x:c r="A10992" s="142"/>
    </x:row>
    <x:row r="10993">
      <x:c r="A10993" s="142"/>
    </x:row>
    <x:row r="10994">
      <x:c r="A10994" s="142"/>
    </x:row>
    <x:row r="10995">
      <x:c r="A10995" s="142"/>
    </x:row>
    <x:row r="10996">
      <x:c r="A10996" s="142"/>
    </x:row>
    <x:row r="10997">
      <x:c r="A10997" s="142"/>
    </x:row>
    <x:row r="10998">
      <x:c r="A10998" s="142"/>
    </x:row>
    <x:row r="10999">
      <x:c r="A10999" s="142"/>
    </x:row>
    <x:row r="11000">
      <x:c r="A11000" s="142"/>
    </x:row>
    <x:row r="11001">
      <x:c r="A11001" s="142"/>
    </x:row>
    <x:row r="11002">
      <x:c r="A11002" s="142"/>
    </x:row>
    <x:row r="11003">
      <x:c r="A11003" s="142"/>
    </x:row>
    <x:row r="11004">
      <x:c r="A11004" s="142"/>
    </x:row>
    <x:row r="11005">
      <x:c r="A11005" s="142"/>
    </x:row>
    <x:row r="11006">
      <x:c r="A11006" s="142"/>
    </x:row>
    <x:row r="11007">
      <x:c r="A11007" s="142"/>
    </x:row>
    <x:row r="11008">
      <x:c r="A11008" s="142"/>
    </x:row>
    <x:row r="11009">
      <x:c r="A11009" s="142"/>
    </x:row>
    <x:row r="11010">
      <x:c r="A11010" s="142"/>
    </x:row>
    <x:row r="11011">
      <x:c r="A11011" s="142"/>
    </x:row>
    <x:row r="11012">
      <x:c r="A11012" s="142"/>
    </x:row>
    <x:row r="11013">
      <x:c r="A11013" s="142"/>
    </x:row>
    <x:row r="11014">
      <x:c r="A11014" s="142"/>
    </x:row>
    <x:row r="11015">
      <x:c r="A11015" s="142"/>
    </x:row>
    <x:row r="11016">
      <x:c r="A11016" s="142"/>
    </x:row>
    <x:row r="11017">
      <x:c r="A11017" s="142"/>
    </x:row>
    <x:row r="11018">
      <x:c r="A11018" s="142"/>
    </x:row>
    <x:row r="11019">
      <x:c r="A11019" s="142"/>
    </x:row>
    <x:row r="11020">
      <x:c r="A11020" s="142"/>
    </x:row>
    <x:row r="11021">
      <x:c r="A11021" s="142"/>
    </x:row>
    <x:row r="11022">
      <x:c r="A11022" s="142"/>
    </x:row>
    <x:row r="11023">
      <x:c r="A11023" s="142"/>
    </x:row>
    <x:row r="11024">
      <x:c r="A11024" s="142"/>
    </x:row>
    <x:row r="11025">
      <x:c r="A11025" s="142"/>
    </x:row>
    <x:row r="11026">
      <x:c r="A11026" s="142"/>
    </x:row>
    <x:row r="11027">
      <x:c r="A11027" s="142"/>
    </x:row>
    <x:row r="11028">
      <x:c r="A11028" s="142"/>
    </x:row>
    <x:row r="11029">
      <x:c r="A11029" s="142"/>
    </x:row>
    <x:row r="11030">
      <x:c r="A11030" s="142"/>
    </x:row>
    <x:row r="11031">
      <x:c r="A11031" s="142"/>
    </x:row>
    <x:row r="11032">
      <x:c r="A11032" s="142"/>
    </x:row>
    <x:row r="11033">
      <x:c r="A11033" s="142"/>
    </x:row>
    <x:row r="11034">
      <x:c r="A11034" s="142"/>
    </x:row>
    <x:row r="11035">
      <x:c r="A11035" s="142"/>
    </x:row>
    <x:row r="11036">
      <x:c r="A11036" s="142"/>
    </x:row>
    <x:row r="11037">
      <x:c r="A11037" s="142"/>
    </x:row>
    <x:row r="11038">
      <x:c r="A11038" s="142"/>
    </x:row>
    <x:row r="11039">
      <x:c r="A11039" s="142"/>
    </x:row>
    <x:row r="11040">
      <x:c r="A11040" s="142"/>
    </x:row>
    <x:row r="11041">
      <x:c r="A11041" s="142"/>
    </x:row>
    <x:row r="11042">
      <x:c r="A11042" s="142"/>
    </x:row>
    <x:row r="11043">
      <x:c r="A11043" s="142"/>
    </x:row>
    <x:row r="11044">
      <x:c r="A11044" s="142"/>
    </x:row>
    <x:row r="11045">
      <x:c r="A11045" s="142"/>
    </x:row>
    <x:row r="11046">
      <x:c r="A11046" s="142"/>
    </x:row>
    <x:row r="11047">
      <x:c r="A11047" s="142"/>
    </x:row>
    <x:row r="11048">
      <x:c r="A11048" s="142"/>
    </x:row>
    <x:row r="11049">
      <x:c r="A11049" s="142"/>
    </x:row>
    <x:row r="11050">
      <x:c r="A11050" s="142"/>
    </x:row>
    <x:row r="11051">
      <x:c r="A11051" s="142"/>
    </x:row>
    <x:row r="11052">
      <x:c r="A11052" s="142"/>
    </x:row>
    <x:row r="11053">
      <x:c r="A11053" s="142"/>
    </x:row>
    <x:row r="11054">
      <x:c r="A11054" s="142"/>
    </x:row>
    <x:row r="11055">
      <x:c r="A11055" s="142"/>
    </x:row>
    <x:row r="11056">
      <x:c r="A11056" s="142"/>
    </x:row>
    <x:row r="11057">
      <x:c r="A11057" s="142"/>
    </x:row>
    <x:row r="11058">
      <x:c r="A11058" s="142"/>
    </x:row>
    <x:row r="11059">
      <x:c r="A11059" s="142"/>
    </x:row>
    <x:row r="11060">
      <x:c r="A11060" s="142"/>
    </x:row>
    <x:row r="11061">
      <x:c r="A11061" s="142"/>
    </x:row>
    <x:row r="11062">
      <x:c r="A11062" s="142"/>
    </x:row>
    <x:row r="11063">
      <x:c r="A11063" s="142"/>
    </x:row>
    <x:row r="11064">
      <x:c r="A11064" s="142"/>
    </x:row>
    <x:row r="11065">
      <x:c r="A11065" s="142"/>
    </x:row>
    <x:row r="11066">
      <x:c r="A11066" s="142"/>
    </x:row>
    <x:row r="11067">
      <x:c r="A11067" s="142"/>
    </x:row>
    <x:row r="11068">
      <x:c r="A11068" s="142"/>
    </x:row>
    <x:row r="11069">
      <x:c r="A11069" s="142"/>
    </x:row>
    <x:row r="11070">
      <x:c r="A11070" s="142"/>
    </x:row>
    <x:row r="11071">
      <x:c r="A11071" s="142"/>
    </x:row>
    <x:row r="11072">
      <x:c r="A11072" s="142"/>
    </x:row>
    <x:row r="11073">
      <x:c r="A11073" s="142"/>
    </x:row>
    <x:row r="11074">
      <x:c r="A11074" s="142"/>
    </x:row>
    <x:row r="11075">
      <x:c r="A11075" s="142"/>
    </x:row>
    <x:row r="11076">
      <x:c r="A11076" s="142"/>
    </x:row>
    <x:row r="11077">
      <x:c r="A11077" s="142"/>
    </x:row>
    <x:row r="11078">
      <x:c r="A11078" s="142"/>
    </x:row>
    <x:row r="11079">
      <x:c r="A11079" s="142"/>
    </x:row>
    <x:row r="11080">
      <x:c r="A11080" s="142"/>
    </x:row>
    <x:row r="11081">
      <x:c r="A11081" s="142"/>
    </x:row>
    <x:row r="11082">
      <x:c r="A11082" s="142"/>
    </x:row>
    <x:row r="11083">
      <x:c r="A11083" s="142"/>
    </x:row>
    <x:row r="11084">
      <x:c r="A11084" s="142"/>
    </x:row>
    <x:row r="11085">
      <x:c r="A11085" s="142"/>
    </x:row>
    <x:row r="11086">
      <x:c r="A11086" s="142"/>
    </x:row>
    <x:row r="11087">
      <x:c r="A11087" s="142"/>
    </x:row>
    <x:row r="11088">
      <x:c r="A11088" s="142"/>
    </x:row>
    <x:row r="11089">
      <x:c r="A11089" s="142"/>
    </x:row>
    <x:row r="11090">
      <x:c r="A11090" s="142"/>
    </x:row>
    <x:row r="11091">
      <x:c r="A11091" s="142"/>
    </x:row>
    <x:row r="11092">
      <x:c r="A11092" s="142"/>
    </x:row>
    <x:row r="11093">
      <x:c r="A11093" s="142"/>
    </x:row>
    <x:row r="11094">
      <x:c r="A11094" s="142"/>
    </x:row>
    <x:row r="11095">
      <x:c r="A11095" s="142"/>
    </x:row>
    <x:row r="11096">
      <x:c r="A11096" s="142"/>
    </x:row>
    <x:row r="11097">
      <x:c r="A11097" s="142"/>
    </x:row>
    <x:row r="11098">
      <x:c r="A11098" s="142"/>
    </x:row>
    <x:row r="11099">
      <x:c r="A11099" s="142"/>
    </x:row>
    <x:row r="11100">
      <x:c r="A11100" s="142"/>
    </x:row>
    <x:row r="11101">
      <x:c r="A11101" s="142"/>
    </x:row>
    <x:row r="11102">
      <x:c r="A11102" s="142"/>
    </x:row>
    <x:row r="11103">
      <x:c r="A11103" s="142"/>
    </x:row>
    <x:row r="11104">
      <x:c r="A11104" s="142"/>
    </x:row>
    <x:row r="11105">
      <x:c r="A11105" s="142"/>
    </x:row>
    <x:row r="11106">
      <x:c r="A11106" s="142"/>
    </x:row>
    <x:row r="11107">
      <x:c r="A11107" s="142"/>
    </x:row>
    <x:row r="11108">
      <x:c r="A11108" s="142"/>
    </x:row>
    <x:row r="11109">
      <x:c r="A11109" s="142"/>
    </x:row>
    <x:row r="11110">
      <x:c r="A11110" s="142"/>
    </x:row>
    <x:row r="11111">
      <x:c r="A11111" s="142"/>
    </x:row>
    <x:row r="11112">
      <x:c r="A11112" s="142"/>
    </x:row>
    <x:row r="11113">
      <x:c r="A11113" s="142"/>
    </x:row>
    <x:row r="11114">
      <x:c r="A11114" s="142"/>
    </x:row>
    <x:row r="11115">
      <x:c r="A11115" s="142"/>
    </x:row>
    <x:row r="11116">
      <x:c r="A11116" s="142"/>
    </x:row>
    <x:row r="11117">
      <x:c r="A11117" s="142"/>
    </x:row>
    <x:row r="11118">
      <x:c r="A11118" s="142"/>
    </x:row>
    <x:row r="11119">
      <x:c r="A11119" s="142"/>
    </x:row>
    <x:row r="11120">
      <x:c r="A11120" s="142"/>
    </x:row>
    <x:row r="11121">
      <x:c r="A11121" s="142"/>
    </x:row>
    <x:row r="11122">
      <x:c r="A11122" s="142"/>
    </x:row>
    <x:row r="11123">
      <x:c r="A11123" s="142"/>
    </x:row>
    <x:row r="11124">
      <x:c r="A11124" s="142"/>
    </x:row>
    <x:row r="11125">
      <x:c r="A11125" s="142"/>
    </x:row>
    <x:row r="11126">
      <x:c r="A11126" s="142"/>
    </x:row>
    <x:row r="11127">
      <x:c r="A11127" s="142"/>
    </x:row>
    <x:row r="11128">
      <x:c r="A11128" s="142"/>
    </x:row>
    <x:row r="11129">
      <x:c r="A11129" s="142"/>
    </x:row>
    <x:row r="11130">
      <x:c r="A11130" s="142"/>
    </x:row>
    <x:row r="11131">
      <x:c r="A11131" s="142"/>
    </x:row>
    <x:row r="11132">
      <x:c r="A11132" s="142"/>
    </x:row>
    <x:row r="11133">
      <x:c r="A11133" s="142"/>
    </x:row>
    <x:row r="11134">
      <x:c r="A11134" s="142"/>
    </x:row>
    <x:row r="11135">
      <x:c r="A11135" s="142"/>
    </x:row>
    <x:row r="11136">
      <x:c r="A11136" s="142"/>
    </x:row>
    <x:row r="11137">
      <x:c r="A11137" s="142"/>
    </x:row>
    <x:row r="11138">
      <x:c r="A11138" s="142"/>
    </x:row>
    <x:row r="11139">
      <x:c r="A11139" s="142"/>
    </x:row>
    <x:row r="11140">
      <x:c r="A11140" s="142"/>
    </x:row>
    <x:row r="11141">
      <x:c r="A11141" s="142"/>
    </x:row>
    <x:row r="11142">
      <x:c r="A11142" s="142"/>
    </x:row>
    <x:row r="11143">
      <x:c r="A11143" s="142"/>
    </x:row>
    <x:row r="11144">
      <x:c r="A11144" s="142"/>
    </x:row>
    <x:row r="11145">
      <x:c r="A11145" s="142"/>
    </x:row>
    <x:row r="11146">
      <x:c r="A11146" s="142"/>
    </x:row>
    <x:row r="11147">
      <x:c r="A11147" s="142"/>
    </x:row>
    <x:row r="11148">
      <x:c r="A11148" s="142"/>
    </x:row>
    <x:row r="11149">
      <x:c r="A11149" s="142"/>
    </x:row>
    <x:row r="11150">
      <x:c r="A11150" s="142"/>
    </x:row>
    <x:row r="11151">
      <x:c r="A11151" s="142"/>
    </x:row>
    <x:row r="11152">
      <x:c r="A11152" s="142"/>
    </x:row>
    <x:row r="11153">
      <x:c r="A11153" s="142"/>
    </x:row>
    <x:row r="11154">
      <x:c r="A11154" s="142"/>
    </x:row>
    <x:row r="11155">
      <x:c r="A11155" s="142"/>
    </x:row>
    <x:row r="11156">
      <x:c r="A11156" s="142"/>
    </x:row>
    <x:row r="11157">
      <x:c r="A11157" s="142"/>
    </x:row>
    <x:row r="11158">
      <x:c r="A11158" s="142"/>
    </x:row>
    <x:row r="11159">
      <x:c r="A11159" s="142"/>
    </x:row>
    <x:row r="11160">
      <x:c r="A11160" s="142"/>
    </x:row>
    <x:row r="11161">
      <x:c r="A11161" s="142"/>
    </x:row>
    <x:row r="11162">
      <x:c r="A11162" s="142"/>
    </x:row>
    <x:row r="11163">
      <x:c r="A11163" s="142"/>
    </x:row>
    <x:row r="11164">
      <x:c r="A11164" s="142"/>
    </x:row>
    <x:row r="11165">
      <x:c r="A11165" s="142"/>
    </x:row>
    <x:row r="11166">
      <x:c r="A11166" s="142"/>
    </x:row>
    <x:row r="11167">
      <x:c r="A11167" s="142"/>
    </x:row>
    <x:row r="11168">
      <x:c r="A11168" s="142"/>
    </x:row>
    <x:row r="11169">
      <x:c r="A11169" s="142"/>
    </x:row>
    <x:row r="11170">
      <x:c r="A11170" s="142"/>
    </x:row>
    <x:row r="11171">
      <x:c r="A11171" s="142"/>
    </x:row>
    <x:row r="11172">
      <x:c r="A11172" s="142"/>
    </x:row>
    <x:row r="11173">
      <x:c r="A11173" s="142"/>
    </x:row>
    <x:row r="11174">
      <x:c r="A11174" s="142"/>
    </x:row>
    <x:row r="11175">
      <x:c r="A11175" s="142"/>
    </x:row>
    <x:row r="11176">
      <x:c r="A11176" s="142"/>
    </x:row>
    <x:row r="11177">
      <x:c r="A11177" s="142"/>
    </x:row>
    <x:row r="11178">
      <x:c r="A11178" s="142"/>
    </x:row>
    <x:row r="11179">
      <x:c r="A11179" s="142"/>
    </x:row>
    <x:row r="11180">
      <x:c r="A11180" s="142"/>
    </x:row>
    <x:row r="11181">
      <x:c r="A11181" s="142"/>
    </x:row>
    <x:row r="11182">
      <x:c r="A11182" s="142"/>
    </x:row>
    <x:row r="11183">
      <x:c r="A11183" s="142"/>
    </x:row>
    <x:row r="11184">
      <x:c r="A11184" s="142"/>
    </x:row>
    <x:row r="11185">
      <x:c r="A11185" s="142"/>
    </x:row>
    <x:row r="11186">
      <x:c r="A11186" s="142"/>
    </x:row>
    <x:row r="11187">
      <x:c r="A11187" s="142"/>
    </x:row>
    <x:row r="11188">
      <x:c r="A11188" s="142"/>
    </x:row>
    <x:row r="11189">
      <x:c r="A11189" s="142"/>
    </x:row>
    <x:row r="11190">
      <x:c r="A11190" s="142"/>
    </x:row>
    <x:row r="11191">
      <x:c r="A11191" s="142"/>
    </x:row>
    <x:row r="11192">
      <x:c r="A11192" s="142"/>
    </x:row>
    <x:row r="11193">
      <x:c r="A11193" s="142"/>
    </x:row>
    <x:row r="11194">
      <x:c r="A11194" s="142"/>
    </x:row>
    <x:row r="11195">
      <x:c r="A11195" s="142"/>
    </x:row>
    <x:row r="11196">
      <x:c r="A11196" s="142"/>
    </x:row>
    <x:row r="11197">
      <x:c r="A11197" s="142"/>
    </x:row>
    <x:row r="11198">
      <x:c r="A11198" s="142"/>
    </x:row>
    <x:row r="11199">
      <x:c r="A11199" s="142"/>
    </x:row>
    <x:row r="11200">
      <x:c r="A11200" s="142"/>
    </x:row>
    <x:row r="11201">
      <x:c r="A11201" s="142"/>
    </x:row>
    <x:row r="11202">
      <x:c r="A11202" s="142"/>
    </x:row>
    <x:row r="11203">
      <x:c r="A11203" s="142"/>
    </x:row>
    <x:row r="11204">
      <x:c r="A11204" s="142"/>
    </x:row>
    <x:row r="11205">
      <x:c r="A11205" s="142"/>
    </x:row>
    <x:row r="11206">
      <x:c r="A11206" s="142"/>
    </x:row>
    <x:row r="11207">
      <x:c r="A11207" s="142"/>
    </x:row>
    <x:row r="11208">
      <x:c r="A11208" s="142"/>
    </x:row>
    <x:row r="11209">
      <x:c r="A11209" s="142"/>
    </x:row>
    <x:row r="11210">
      <x:c r="A11210" s="142"/>
    </x:row>
    <x:row r="11211">
      <x:c r="A11211" s="142"/>
    </x:row>
    <x:row r="11212">
      <x:c r="A11212" s="142"/>
    </x:row>
    <x:row r="11213">
      <x:c r="A11213" s="142"/>
    </x:row>
    <x:row r="11214">
      <x:c r="A11214" s="142"/>
    </x:row>
    <x:row r="11215">
      <x:c r="A11215" s="142"/>
    </x:row>
    <x:row r="11216">
      <x:c r="A11216" s="142"/>
    </x:row>
    <x:row r="11217">
      <x:c r="A11217" s="142"/>
    </x:row>
    <x:row r="11218">
      <x:c r="A11218" s="142"/>
    </x:row>
    <x:row r="11219">
      <x:c r="A11219" s="142"/>
    </x:row>
    <x:row r="11220">
      <x:c r="A11220" s="142"/>
    </x:row>
    <x:row r="11221">
      <x:c r="A11221" s="142"/>
    </x:row>
    <x:row r="11222">
      <x:c r="A11222" s="142"/>
    </x:row>
    <x:row r="11223">
      <x:c r="A11223" s="142"/>
    </x:row>
    <x:row r="11224">
      <x:c r="A11224" s="142"/>
    </x:row>
    <x:row r="11225">
      <x:c r="A11225" s="142"/>
    </x:row>
    <x:row r="11226">
      <x:c r="A11226" s="142"/>
    </x:row>
    <x:row r="11227">
      <x:c r="A11227" s="142"/>
    </x:row>
    <x:row r="11228">
      <x:c r="A11228" s="142"/>
    </x:row>
    <x:row r="11229">
      <x:c r="A11229" s="142"/>
    </x:row>
    <x:row r="11230">
      <x:c r="A11230" s="142"/>
    </x:row>
    <x:row r="11231">
      <x:c r="A11231" s="142"/>
    </x:row>
    <x:row r="11232">
      <x:c r="A11232" s="142"/>
    </x:row>
    <x:row r="11233">
      <x:c r="A11233" s="142"/>
    </x:row>
    <x:row r="11234">
      <x:c r="A11234" s="142"/>
    </x:row>
    <x:row r="11235">
      <x:c r="A11235" s="142"/>
    </x:row>
    <x:row r="11236">
      <x:c r="A11236" s="142"/>
    </x:row>
    <x:row r="11237">
      <x:c r="A11237" s="142"/>
    </x:row>
    <x:row r="11238">
      <x:c r="A11238" s="142"/>
    </x:row>
    <x:row r="11239">
      <x:c r="A11239" s="142"/>
    </x:row>
    <x:row r="11240">
      <x:c r="A11240" s="142"/>
    </x:row>
    <x:row r="11241">
      <x:c r="A11241" s="142"/>
    </x:row>
    <x:row r="11242">
      <x:c r="A11242" s="142"/>
    </x:row>
    <x:row r="11243">
      <x:c r="A11243" s="142"/>
    </x:row>
    <x:row r="11244">
      <x:c r="A11244" s="142"/>
    </x:row>
    <x:row r="11245">
      <x:c r="A11245" s="142"/>
    </x:row>
    <x:row r="11246">
      <x:c r="A11246" s="142"/>
    </x:row>
    <x:row r="11247">
      <x:c r="A11247" s="142"/>
    </x:row>
    <x:row r="11248">
      <x:c r="A11248" s="142"/>
    </x:row>
    <x:row r="11249">
      <x:c r="A11249" s="142"/>
    </x:row>
    <x:row r="11250">
      <x:c r="A11250" s="142"/>
    </x:row>
    <x:row r="11251">
      <x:c r="A11251" s="142"/>
    </x:row>
    <x:row r="11252">
      <x:c r="A11252" s="142"/>
    </x:row>
    <x:row r="11253">
      <x:c r="A11253" s="142"/>
    </x:row>
    <x:row r="11254">
      <x:c r="A11254" s="142"/>
    </x:row>
    <x:row r="11255">
      <x:c r="A11255" s="142"/>
    </x:row>
    <x:row r="11256">
      <x:c r="A11256" s="142"/>
    </x:row>
    <x:row r="11257">
      <x:c r="A11257" s="142"/>
    </x:row>
    <x:row r="11258">
      <x:c r="A11258" s="142"/>
    </x:row>
    <x:row r="11259">
      <x:c r="A11259" s="142"/>
    </x:row>
    <x:row r="11260">
      <x:c r="A11260" s="142"/>
    </x:row>
    <x:row r="11261">
      <x:c r="A11261" s="142"/>
    </x:row>
    <x:row r="11262">
      <x:c r="A11262" s="142"/>
    </x:row>
    <x:row r="11263">
      <x:c r="A11263" s="142"/>
    </x:row>
    <x:row r="11264">
      <x:c r="A11264" s="142"/>
    </x:row>
    <x:row r="11265">
      <x:c r="A11265" s="142"/>
    </x:row>
    <x:row r="11266">
      <x:c r="A11266" s="142"/>
    </x:row>
    <x:row r="11267">
      <x:c r="A11267" s="142"/>
    </x:row>
    <x:row r="11268">
      <x:c r="A11268" s="142"/>
    </x:row>
    <x:row r="11269">
      <x:c r="A11269" s="142"/>
    </x:row>
    <x:row r="11270">
      <x:c r="A11270" s="142"/>
    </x:row>
    <x:row r="11271">
      <x:c r="A11271" s="142"/>
    </x:row>
    <x:row r="11272">
      <x:c r="A11272" s="142"/>
    </x:row>
    <x:row r="11273">
      <x:c r="A11273" s="142"/>
    </x:row>
    <x:row r="11274">
      <x:c r="A11274" s="142"/>
    </x:row>
    <x:row r="11275">
      <x:c r="A11275" s="142"/>
    </x:row>
    <x:row r="11276">
      <x:c r="A11276" s="142"/>
    </x:row>
    <x:row r="11277">
      <x:c r="A11277" s="142"/>
    </x:row>
    <x:row r="11278">
      <x:c r="A11278" s="142"/>
    </x:row>
    <x:row r="11279">
      <x:c r="A11279" s="142"/>
    </x:row>
    <x:row r="11280">
      <x:c r="A11280" s="142"/>
    </x:row>
    <x:row r="11281">
      <x:c r="A11281" s="142"/>
    </x:row>
    <x:row r="11282">
      <x:c r="A11282" s="142"/>
    </x:row>
    <x:row r="11283">
      <x:c r="A11283" s="142"/>
    </x:row>
    <x:row r="11284">
      <x:c r="A11284" s="142"/>
    </x:row>
    <x:row r="11285">
      <x:c r="A11285" s="142"/>
    </x:row>
    <x:row r="11286">
      <x:c r="A11286" s="142"/>
    </x:row>
    <x:row r="11287">
      <x:c r="A11287" s="142"/>
    </x:row>
    <x:row r="11288">
      <x:c r="A11288" s="142"/>
    </x:row>
    <x:row r="11289">
      <x:c r="A11289" s="142"/>
    </x:row>
    <x:row r="11290">
      <x:c r="A11290" s="142"/>
    </x:row>
    <x:row r="11291">
      <x:c r="A11291" s="142"/>
    </x:row>
    <x:row r="11292">
      <x:c r="A11292" s="142"/>
    </x:row>
    <x:row r="11293">
      <x:c r="A11293" s="142"/>
    </x:row>
    <x:row r="11294">
      <x:c r="A11294" s="142"/>
    </x:row>
    <x:row r="11295">
      <x:c r="A11295" s="142"/>
    </x:row>
    <x:row r="11296">
      <x:c r="A11296" s="142"/>
    </x:row>
    <x:row r="11297">
      <x:c r="A11297" s="142"/>
    </x:row>
    <x:row r="11298">
      <x:c r="A11298" s="142"/>
    </x:row>
    <x:row r="11299">
      <x:c r="A11299" s="142"/>
    </x:row>
    <x:row r="11300">
      <x:c r="A11300" s="142"/>
    </x:row>
    <x:row r="11301">
      <x:c r="A11301" s="142"/>
    </x:row>
    <x:row r="11302">
      <x:c r="A11302" s="142"/>
    </x:row>
    <x:row r="11303">
      <x:c r="A11303" s="142"/>
    </x:row>
    <x:row r="11304">
      <x:c r="A11304" s="142"/>
    </x:row>
    <x:row r="11305">
      <x:c r="A11305" s="142"/>
    </x:row>
    <x:row r="11306">
      <x:c r="A11306" s="142"/>
    </x:row>
    <x:row r="11307">
      <x:c r="A11307" s="142"/>
    </x:row>
    <x:row r="11308">
      <x:c r="A11308" s="142"/>
    </x:row>
    <x:row r="11309">
      <x:c r="A11309" s="142"/>
    </x:row>
    <x:row r="11310">
      <x:c r="A11310" s="142"/>
    </x:row>
    <x:row r="11311">
      <x:c r="A11311" s="142"/>
    </x:row>
    <x:row r="11312">
      <x:c r="A11312" s="142"/>
    </x:row>
    <x:row r="11313">
      <x:c r="A11313" s="142"/>
    </x:row>
    <x:row r="11314">
      <x:c r="A11314" s="142"/>
    </x:row>
    <x:row r="11315">
      <x:c r="A11315" s="142"/>
    </x:row>
    <x:row r="11316">
      <x:c r="A11316" s="142"/>
    </x:row>
    <x:row r="11317">
      <x:c r="A11317" s="142"/>
    </x:row>
    <x:row r="11318">
      <x:c r="A11318" s="142"/>
    </x:row>
    <x:row r="11319">
      <x:c r="A11319" s="142"/>
    </x:row>
    <x:row r="11320">
      <x:c r="A11320" s="142"/>
    </x:row>
    <x:row r="11321">
      <x:c r="A11321" s="142"/>
    </x:row>
    <x:row r="11322">
      <x:c r="A11322" s="142"/>
    </x:row>
    <x:row r="11323">
      <x:c r="A11323" s="142"/>
    </x:row>
    <x:row r="11324">
      <x:c r="A11324" s="142"/>
    </x:row>
    <x:row r="11325">
      <x:c r="A11325" s="142"/>
    </x:row>
    <x:row r="11326">
      <x:c r="A11326" s="142"/>
    </x:row>
    <x:row r="11327">
      <x:c r="A11327" s="142"/>
    </x:row>
    <x:row r="11328">
      <x:c r="A11328" s="142"/>
    </x:row>
    <x:row r="11329">
      <x:c r="A11329" s="142"/>
    </x:row>
    <x:row r="11330">
      <x:c r="A11330" s="142"/>
    </x:row>
    <x:row r="11331">
      <x:c r="A11331" s="142"/>
    </x:row>
    <x:row r="11332">
      <x:c r="A11332" s="142"/>
    </x:row>
    <x:row r="11333">
      <x:c r="A11333" s="142"/>
    </x:row>
    <x:row r="11334">
      <x:c r="A11334" s="142"/>
    </x:row>
    <x:row r="11335">
      <x:c r="A11335" s="142"/>
    </x:row>
    <x:row r="11336">
      <x:c r="A11336" s="142"/>
    </x:row>
    <x:row r="11337">
      <x:c r="A11337" s="142"/>
    </x:row>
    <x:row r="11338">
      <x:c r="A11338" s="142"/>
    </x:row>
    <x:row r="11339">
      <x:c r="A11339" s="142"/>
    </x:row>
    <x:row r="11340">
      <x:c r="A11340" s="142"/>
    </x:row>
    <x:row r="11341">
      <x:c r="A11341" s="142"/>
    </x:row>
    <x:row r="11342">
      <x:c r="A11342" s="142"/>
    </x:row>
    <x:row r="11343">
      <x:c r="A11343" s="142"/>
    </x:row>
    <x:row r="11344">
      <x:c r="A11344" s="142"/>
    </x:row>
    <x:row r="11345">
      <x:c r="A11345" s="142"/>
    </x:row>
    <x:row r="11346">
      <x:c r="A11346" s="142"/>
    </x:row>
    <x:row r="11347">
      <x:c r="A11347" s="142"/>
    </x:row>
    <x:row r="11348">
      <x:c r="A11348" s="142"/>
    </x:row>
    <x:row r="11349">
      <x:c r="A11349" s="142"/>
    </x:row>
    <x:row r="11350">
      <x:c r="A11350" s="142"/>
    </x:row>
    <x:row r="11351">
      <x:c r="A11351" s="142"/>
    </x:row>
    <x:row r="11352">
      <x:c r="A11352" s="142"/>
    </x:row>
    <x:row r="11353">
      <x:c r="A11353" s="142"/>
    </x:row>
    <x:row r="11354">
      <x:c r="A11354" s="142"/>
    </x:row>
    <x:row r="11355">
      <x:c r="A11355" s="142"/>
    </x:row>
    <x:row r="11356">
      <x:c r="A11356" s="142"/>
    </x:row>
    <x:row r="11357">
      <x:c r="A11357" s="142"/>
    </x:row>
    <x:row r="11358">
      <x:c r="A11358" s="142"/>
    </x:row>
    <x:row r="11359">
      <x:c r="A11359" s="142"/>
    </x:row>
    <x:row r="11360">
      <x:c r="A11360" s="142"/>
    </x:row>
    <x:row r="11361">
      <x:c r="A11361" s="142"/>
    </x:row>
    <x:row r="11362">
      <x:c r="A11362" s="142"/>
    </x:row>
    <x:row r="11363">
      <x:c r="A11363" s="142"/>
    </x:row>
    <x:row r="11364">
      <x:c r="A11364" s="142"/>
    </x:row>
    <x:row r="11365">
      <x:c r="A11365" s="142"/>
    </x:row>
    <x:row r="11366">
      <x:c r="A11366" s="142"/>
    </x:row>
    <x:row r="11367">
      <x:c r="A11367" s="142"/>
    </x:row>
    <x:row r="11368">
      <x:c r="A11368" s="142"/>
    </x:row>
    <x:row r="11369">
      <x:c r="A11369" s="142"/>
    </x:row>
    <x:row r="11370">
      <x:c r="A11370" s="142"/>
    </x:row>
    <x:row r="11371">
      <x:c r="A11371" s="142"/>
    </x:row>
    <x:row r="11372">
      <x:c r="A11372" s="142"/>
    </x:row>
    <x:row r="11373">
      <x:c r="A11373" s="142"/>
    </x:row>
    <x:row r="11374">
      <x:c r="A11374" s="142"/>
    </x:row>
    <x:row r="11375">
      <x:c r="A11375" s="142"/>
    </x:row>
    <x:row r="11376">
      <x:c r="A11376" s="142"/>
    </x:row>
    <x:row r="11377">
      <x:c r="A11377" s="142"/>
    </x:row>
    <x:row r="11378">
      <x:c r="A11378" s="142"/>
    </x:row>
    <x:row r="11379">
      <x:c r="A11379" s="142"/>
    </x:row>
    <x:row r="11380">
      <x:c r="A11380" s="142"/>
    </x:row>
    <x:row r="11381">
      <x:c r="A11381" s="142"/>
    </x:row>
    <x:row r="11382">
      <x:c r="A11382" s="142"/>
    </x:row>
    <x:row r="11383">
      <x:c r="A11383" s="142"/>
    </x:row>
    <x:row r="11384">
      <x:c r="A11384" s="142"/>
    </x:row>
    <x:row r="11385">
      <x:c r="A11385" s="142"/>
    </x:row>
    <x:row r="11386">
      <x:c r="A11386" s="142"/>
    </x:row>
    <x:row r="11387">
      <x:c r="A11387" s="142"/>
    </x:row>
    <x:row r="11388">
      <x:c r="A11388" s="142"/>
    </x:row>
    <x:row r="11389">
      <x:c r="A11389" s="142"/>
    </x:row>
    <x:row r="11390">
      <x:c r="A11390" s="142"/>
    </x:row>
    <x:row r="11391">
      <x:c r="A11391" s="142"/>
    </x:row>
    <x:row r="11392">
      <x:c r="A11392" s="142"/>
    </x:row>
    <x:row r="11393">
      <x:c r="A11393" s="142"/>
    </x:row>
    <x:row r="11394">
      <x:c r="A11394" s="142"/>
    </x:row>
    <x:row r="11395">
      <x:c r="A11395" s="142"/>
    </x:row>
    <x:row r="11396">
      <x:c r="A11396" s="142"/>
    </x:row>
    <x:row r="11397">
      <x:c r="A11397" s="142"/>
    </x:row>
    <x:row r="11398">
      <x:c r="A11398" s="142"/>
    </x:row>
    <x:row r="11399">
      <x:c r="A11399" s="142"/>
    </x:row>
    <x:row r="11400">
      <x:c r="A11400" s="142"/>
    </x:row>
    <x:row r="11401">
      <x:c r="A11401" s="142"/>
    </x:row>
    <x:row r="11402">
      <x:c r="A11402" s="142"/>
    </x:row>
    <x:row r="11403">
      <x:c r="A11403" s="142"/>
    </x:row>
    <x:row r="11404">
      <x:c r="A11404" s="142"/>
    </x:row>
    <x:row r="11405">
      <x:c r="A11405" s="142"/>
    </x:row>
    <x:row r="11406">
      <x:c r="A11406" s="142"/>
    </x:row>
    <x:row r="11407">
      <x:c r="A11407" s="142"/>
    </x:row>
    <x:row r="11408">
      <x:c r="A11408" s="142"/>
    </x:row>
    <x:row r="11409">
      <x:c r="A11409" s="142"/>
    </x:row>
    <x:row r="11410">
      <x:c r="A11410" s="142"/>
    </x:row>
    <x:row r="11411">
      <x:c r="A11411" s="142"/>
    </x:row>
    <x:row r="11412">
      <x:c r="A11412" s="142"/>
    </x:row>
    <x:row r="11413">
      <x:c r="A11413" s="142"/>
    </x:row>
    <x:row r="11414">
      <x:c r="A11414" s="142"/>
    </x:row>
    <x:row r="11415">
      <x:c r="A11415" s="142"/>
    </x:row>
    <x:row r="11416">
      <x:c r="A11416" s="142"/>
    </x:row>
    <x:row r="11417">
      <x:c r="A11417" s="142"/>
    </x:row>
    <x:row r="11418">
      <x:c r="A11418" s="142"/>
    </x:row>
    <x:row r="11419">
      <x:c r="A11419" s="142"/>
    </x:row>
    <x:row r="11420">
      <x:c r="A11420" s="142"/>
    </x:row>
    <x:row r="11421">
      <x:c r="A11421" s="142"/>
    </x:row>
    <x:row r="11422">
      <x:c r="A11422" s="142"/>
    </x:row>
    <x:row r="11423">
      <x:c r="A11423" s="142"/>
    </x:row>
    <x:row r="11424">
      <x:c r="A11424" s="142"/>
    </x:row>
    <x:row r="11425">
      <x:c r="A11425" s="142"/>
    </x:row>
    <x:row r="11426">
      <x:c r="A11426" s="142"/>
    </x:row>
    <x:row r="11427">
      <x:c r="A11427" s="142"/>
    </x:row>
    <x:row r="11428">
      <x:c r="A11428" s="142"/>
    </x:row>
    <x:row r="11429">
      <x:c r="A11429" s="142"/>
    </x:row>
    <x:row r="11430">
      <x:c r="A11430" s="142"/>
    </x:row>
    <x:row r="11431">
      <x:c r="A11431" s="142"/>
    </x:row>
    <x:row r="11432">
      <x:c r="A11432" s="142"/>
    </x:row>
    <x:row r="11433">
      <x:c r="A11433" s="142"/>
    </x:row>
    <x:row r="11434">
      <x:c r="A11434" s="142"/>
    </x:row>
    <x:row r="11435">
      <x:c r="A11435" s="142"/>
    </x:row>
    <x:row r="11436">
      <x:c r="A11436" s="142"/>
    </x:row>
    <x:row r="11437">
      <x:c r="A11437" s="142"/>
    </x:row>
    <x:row r="11438">
      <x:c r="A11438" s="142"/>
    </x:row>
    <x:row r="11439">
      <x:c r="A11439" s="142"/>
    </x:row>
    <x:row r="11440">
      <x:c r="A11440" s="142"/>
    </x:row>
    <x:row r="11441">
      <x:c r="A11441" s="142"/>
    </x:row>
    <x:row r="11442">
      <x:c r="A11442" s="142"/>
    </x:row>
    <x:row r="11443">
      <x:c r="A11443" s="142"/>
    </x:row>
    <x:row r="11444">
      <x:c r="A11444" s="142"/>
    </x:row>
    <x:row r="11445">
      <x:c r="A11445" s="142"/>
    </x:row>
    <x:row r="11446">
      <x:c r="A11446" s="142"/>
    </x:row>
    <x:row r="11447">
      <x:c r="A11447" s="142"/>
    </x:row>
    <x:row r="11448">
      <x:c r="A11448" s="142"/>
    </x:row>
    <x:row r="11449">
      <x:c r="A11449" s="142"/>
    </x:row>
    <x:row r="11450">
      <x:c r="A11450" s="142"/>
    </x:row>
    <x:row r="11451">
      <x:c r="A11451" s="142"/>
    </x:row>
    <x:row r="11452">
      <x:c r="A11452" s="142"/>
    </x:row>
    <x:row r="11453">
      <x:c r="A11453" s="142"/>
    </x:row>
    <x:row r="11454">
      <x:c r="A11454" s="142"/>
    </x:row>
    <x:row r="11455">
      <x:c r="A11455" s="142"/>
    </x:row>
    <x:row r="11456">
      <x:c r="A11456" s="142"/>
    </x:row>
    <x:row r="11457">
      <x:c r="A11457" s="142"/>
    </x:row>
    <x:row r="11458">
      <x:c r="A11458" s="142"/>
    </x:row>
    <x:row r="11459">
      <x:c r="A11459" s="142"/>
    </x:row>
    <x:row r="11460">
      <x:c r="A11460" s="142"/>
    </x:row>
    <x:row r="11461">
      <x:c r="A11461" s="142"/>
    </x:row>
    <x:row r="11462">
      <x:c r="A11462" s="142"/>
    </x:row>
    <x:row r="11463">
      <x:c r="A11463" s="142"/>
    </x:row>
    <x:row r="11464">
      <x:c r="A11464" s="142"/>
    </x:row>
    <x:row r="11465">
      <x:c r="A11465" s="142"/>
    </x:row>
    <x:row r="11466">
      <x:c r="A11466" s="142"/>
    </x:row>
    <x:row r="11467">
      <x:c r="A11467" s="142"/>
    </x:row>
    <x:row r="11468">
      <x:c r="A11468" s="142"/>
    </x:row>
    <x:row r="11469">
      <x:c r="A11469" s="142"/>
    </x:row>
    <x:row r="11470">
      <x:c r="A11470" s="142"/>
    </x:row>
    <x:row r="11471">
      <x:c r="A11471" s="142"/>
    </x:row>
    <x:row r="11472">
      <x:c r="A11472" s="142"/>
    </x:row>
    <x:row r="11473">
      <x:c r="A11473" s="142"/>
    </x:row>
    <x:row r="11474">
      <x:c r="A11474" s="142"/>
    </x:row>
    <x:row r="11475">
      <x:c r="A11475" s="142"/>
    </x:row>
    <x:row r="11476">
      <x:c r="A11476" s="142"/>
    </x:row>
    <x:row r="11477">
      <x:c r="A11477" s="142"/>
    </x:row>
    <x:row r="11478">
      <x:c r="A11478" s="142"/>
    </x:row>
    <x:row r="11479">
      <x:c r="A11479" s="142"/>
    </x:row>
    <x:row r="11480">
      <x:c r="A11480" s="142"/>
    </x:row>
    <x:row r="11481">
      <x:c r="A11481" s="142"/>
    </x:row>
    <x:row r="11482">
      <x:c r="A11482" s="142"/>
    </x:row>
    <x:row r="11483">
      <x:c r="A11483" s="142"/>
    </x:row>
    <x:row r="11484">
      <x:c r="A11484" s="142"/>
    </x:row>
    <x:row r="11485">
      <x:c r="A11485" s="142"/>
    </x:row>
    <x:row r="11486">
      <x:c r="A11486" s="142"/>
    </x:row>
    <x:row r="11487">
      <x:c r="A11487" s="142"/>
    </x:row>
    <x:row r="11488">
      <x:c r="A11488" s="142"/>
    </x:row>
    <x:row r="11489">
      <x:c r="A11489" s="142"/>
    </x:row>
    <x:row r="11490">
      <x:c r="A11490" s="142"/>
    </x:row>
    <x:row r="11491">
      <x:c r="A11491" s="142"/>
    </x:row>
    <x:row r="11492">
      <x:c r="A11492" s="142"/>
    </x:row>
    <x:row r="11493">
      <x:c r="A11493" s="142"/>
    </x:row>
    <x:row r="11494">
      <x:c r="A11494" s="142"/>
    </x:row>
    <x:row r="11495">
      <x:c r="A11495" s="142"/>
    </x:row>
    <x:row r="11496">
      <x:c r="A11496" s="142"/>
    </x:row>
    <x:row r="11497">
      <x:c r="A11497" s="142"/>
    </x:row>
    <x:row r="11498">
      <x:c r="A11498" s="142"/>
    </x:row>
    <x:row r="11499">
      <x:c r="A11499" s="142"/>
    </x:row>
    <x:row r="11500">
      <x:c r="A11500" s="142"/>
    </x:row>
    <x:row r="11501">
      <x:c r="A11501" s="142"/>
    </x:row>
    <x:row r="11502">
      <x:c r="A11502" s="142"/>
    </x:row>
    <x:row r="11503">
      <x:c r="A11503" s="142"/>
    </x:row>
    <x:row r="11504">
      <x:c r="A11504" s="142"/>
    </x:row>
    <x:row r="11505">
      <x:c r="A11505" s="142"/>
    </x:row>
    <x:row r="11506">
      <x:c r="A11506" s="142"/>
    </x:row>
    <x:row r="11507">
      <x:c r="A11507" s="142"/>
    </x:row>
    <x:row r="11508">
      <x:c r="A11508" s="142"/>
    </x:row>
    <x:row r="11509">
      <x:c r="A11509" s="142"/>
    </x:row>
    <x:row r="11510">
      <x:c r="A11510" s="142"/>
    </x:row>
    <x:row r="11511">
      <x:c r="A11511" s="142"/>
    </x:row>
    <x:row r="11512">
      <x:c r="A11512" s="142"/>
    </x:row>
    <x:row r="11513">
      <x:c r="A11513" s="142"/>
    </x:row>
    <x:row r="11514">
      <x:c r="A11514" s="142"/>
    </x:row>
    <x:row r="11515">
      <x:c r="A11515" s="142"/>
    </x:row>
    <x:row r="11516">
      <x:c r="A11516" s="142"/>
    </x:row>
    <x:row r="11517">
      <x:c r="A11517" s="142"/>
    </x:row>
    <x:row r="11518">
      <x:c r="A11518" s="142"/>
    </x:row>
    <x:row r="11519">
      <x:c r="A11519" s="142"/>
    </x:row>
    <x:row r="11520">
      <x:c r="A11520" s="142"/>
    </x:row>
    <x:row r="11521">
      <x:c r="A11521" s="142"/>
    </x:row>
    <x:row r="11522">
      <x:c r="A11522" s="142"/>
    </x:row>
    <x:row r="11523">
      <x:c r="A11523" s="142"/>
    </x:row>
    <x:row r="11524">
      <x:c r="A11524" s="142"/>
    </x:row>
    <x:row r="11525">
      <x:c r="A11525" s="142"/>
    </x:row>
    <x:row r="11526">
      <x:c r="A11526" s="142"/>
    </x:row>
    <x:row r="11527">
      <x:c r="A11527" s="142"/>
    </x:row>
    <x:row r="11528">
      <x:c r="A11528" s="142"/>
    </x:row>
    <x:row r="11529">
      <x:c r="A11529" s="142"/>
    </x:row>
    <x:row r="11530">
      <x:c r="A11530" s="142"/>
    </x:row>
    <x:row r="11531">
      <x:c r="A11531" s="142"/>
    </x:row>
    <x:row r="11532">
      <x:c r="A11532" s="142"/>
    </x:row>
    <x:row r="11533">
      <x:c r="A11533" s="142"/>
    </x:row>
    <x:row r="11534">
      <x:c r="A11534" s="142"/>
    </x:row>
    <x:row r="11535">
      <x:c r="A11535" s="142"/>
    </x:row>
    <x:row r="11536">
      <x:c r="A11536" s="142"/>
    </x:row>
    <x:row r="11537">
      <x:c r="A11537" s="142"/>
    </x:row>
    <x:row r="11538">
      <x:c r="A11538" s="142"/>
    </x:row>
    <x:row r="11539">
      <x:c r="A11539" s="142"/>
    </x:row>
    <x:row r="11540">
      <x:c r="A11540" s="142"/>
    </x:row>
    <x:row r="11541">
      <x:c r="A11541" s="142"/>
    </x:row>
    <x:row r="11542">
      <x:c r="A11542" s="142"/>
    </x:row>
    <x:row r="11543">
      <x:c r="A11543" s="142"/>
    </x:row>
    <x:row r="11544">
      <x:c r="A11544" s="142"/>
    </x:row>
    <x:row r="11545">
      <x:c r="A11545" s="142"/>
    </x:row>
    <x:row r="11546">
      <x:c r="A11546" s="142"/>
    </x:row>
    <x:row r="11547">
      <x:c r="A11547" s="142"/>
    </x:row>
    <x:row r="11548">
      <x:c r="A11548" s="142"/>
    </x:row>
    <x:row r="11549">
      <x:c r="A11549" s="142"/>
    </x:row>
    <x:row r="11550">
      <x:c r="A11550" s="142"/>
    </x:row>
    <x:row r="11551">
      <x:c r="A11551" s="142"/>
    </x:row>
    <x:row r="11552">
      <x:c r="A11552" s="142"/>
    </x:row>
    <x:row r="11553">
      <x:c r="A11553" s="142"/>
    </x:row>
    <x:row r="11554">
      <x:c r="A11554" s="142"/>
    </x:row>
    <x:row r="11555">
      <x:c r="A11555" s="142"/>
    </x:row>
    <x:row r="11556">
      <x:c r="A11556" s="142"/>
    </x:row>
    <x:row r="11557">
      <x:c r="A11557" s="142"/>
    </x:row>
    <x:row r="11558">
      <x:c r="A11558" s="142"/>
    </x:row>
    <x:row r="11559">
      <x:c r="A11559" s="142"/>
    </x:row>
    <x:row r="11560">
      <x:c r="A11560" s="142"/>
    </x:row>
    <x:row r="11561">
      <x:c r="A11561" s="142"/>
    </x:row>
    <x:row r="11562">
      <x:c r="A11562" s="142"/>
    </x:row>
    <x:row r="11563">
      <x:c r="A11563" s="142"/>
    </x:row>
    <x:row r="11564">
      <x:c r="A11564" s="142"/>
    </x:row>
    <x:row r="11565">
      <x:c r="A11565" s="142"/>
    </x:row>
    <x:row r="11566">
      <x:c r="A11566" s="142"/>
    </x:row>
    <x:row r="11567">
      <x:c r="A11567" s="142"/>
    </x:row>
    <x:row r="11568">
      <x:c r="A11568" s="142"/>
    </x:row>
    <x:row r="11569">
      <x:c r="A11569" s="142"/>
    </x:row>
    <x:row r="11570">
      <x:c r="A11570" s="142"/>
    </x:row>
    <x:row r="11571">
      <x:c r="A11571" s="142"/>
    </x:row>
    <x:row r="11572">
      <x:c r="A11572" s="142"/>
    </x:row>
    <x:row r="11573">
      <x:c r="A11573" s="142"/>
    </x:row>
    <x:row r="11574">
      <x:c r="A11574" s="142"/>
    </x:row>
    <x:row r="11575">
      <x:c r="A11575" s="142"/>
    </x:row>
    <x:row r="11576">
      <x:c r="A11576" s="142"/>
    </x:row>
    <x:row r="11577">
      <x:c r="A11577" s="142"/>
    </x:row>
    <x:row r="11578">
      <x:c r="A11578" s="142"/>
    </x:row>
    <x:row r="11579">
      <x:c r="A11579" s="142"/>
    </x:row>
    <x:row r="11580">
      <x:c r="A11580" s="142"/>
    </x:row>
    <x:row r="11581">
      <x:c r="A11581" s="142"/>
    </x:row>
    <x:row r="11582">
      <x:c r="A11582" s="142"/>
    </x:row>
    <x:row r="11583">
      <x:c r="A11583" s="142"/>
    </x:row>
    <x:row r="11584">
      <x:c r="A11584" s="142"/>
    </x:row>
    <x:row r="11585">
      <x:c r="A11585" s="142"/>
    </x:row>
    <x:row r="11586">
      <x:c r="A11586" s="142"/>
    </x:row>
    <x:row r="11587">
      <x:c r="A11587" s="142"/>
    </x:row>
    <x:row r="11588">
      <x:c r="A11588" s="142"/>
    </x:row>
    <x:row r="11589">
      <x:c r="A11589" s="142"/>
    </x:row>
    <x:row r="11590">
      <x:c r="A11590" s="142"/>
    </x:row>
    <x:row r="11591">
      <x:c r="A11591" s="142"/>
    </x:row>
    <x:row r="11592">
      <x:c r="A11592" s="142"/>
    </x:row>
    <x:row r="11593">
      <x:c r="A11593" s="142"/>
    </x:row>
    <x:row r="11594">
      <x:c r="A11594" s="142"/>
    </x:row>
    <x:row r="11595">
      <x:c r="A11595" s="142"/>
    </x:row>
    <x:row r="11596">
      <x:c r="A11596" s="142"/>
    </x:row>
    <x:row r="11597">
      <x:c r="A11597" s="142"/>
    </x:row>
    <x:row r="11598">
      <x:c r="A11598" s="142"/>
    </x:row>
    <x:row r="11599">
      <x:c r="A11599" s="142"/>
    </x:row>
    <x:row r="11600">
      <x:c r="A11600" s="142"/>
    </x:row>
    <x:row r="11601">
      <x:c r="A11601" s="142"/>
    </x:row>
    <x:row r="11602">
      <x:c r="A11602" s="142"/>
    </x:row>
    <x:row r="11603">
      <x:c r="A11603" s="142"/>
    </x:row>
    <x:row r="11604">
      <x:c r="A11604" s="142"/>
    </x:row>
    <x:row r="11605">
      <x:c r="A11605" s="142"/>
    </x:row>
    <x:row r="11606">
      <x:c r="A11606" s="142"/>
    </x:row>
    <x:row r="11607">
      <x:c r="A11607" s="142"/>
    </x:row>
    <x:row r="11608">
      <x:c r="A11608" s="142"/>
    </x:row>
    <x:row r="11609">
      <x:c r="A11609" s="142"/>
    </x:row>
    <x:row r="11610">
      <x:c r="A11610" s="142"/>
    </x:row>
    <x:row r="11611">
      <x:c r="A11611" s="142"/>
    </x:row>
    <x:row r="11612">
      <x:c r="A11612" s="142"/>
    </x:row>
    <x:row r="11613">
      <x:c r="A11613" s="142"/>
    </x:row>
    <x:row r="11614">
      <x:c r="A11614" s="142"/>
    </x:row>
    <x:row r="11615">
      <x:c r="A11615" s="142"/>
    </x:row>
    <x:row r="11616">
      <x:c r="A11616" s="142"/>
    </x:row>
    <x:row r="11617">
      <x:c r="A11617" s="142"/>
    </x:row>
    <x:row r="11618">
      <x:c r="A11618" s="142"/>
    </x:row>
    <x:row r="11619">
      <x:c r="A11619" s="142"/>
    </x:row>
    <x:row r="11620">
      <x:c r="A11620" s="142"/>
    </x:row>
    <x:row r="11621">
      <x:c r="A11621" s="142"/>
    </x:row>
    <x:row r="11622">
      <x:c r="A11622" s="142"/>
    </x:row>
    <x:row r="11623">
      <x:c r="A11623" s="142"/>
    </x:row>
    <x:row r="11624">
      <x:c r="A11624" s="142"/>
    </x:row>
    <x:row r="11625">
      <x:c r="A11625" s="142"/>
    </x:row>
    <x:row r="11626">
      <x:c r="A11626" s="142"/>
    </x:row>
    <x:row r="11627">
      <x:c r="A11627" s="142"/>
    </x:row>
    <x:row r="11628">
      <x:c r="A11628" s="142"/>
    </x:row>
    <x:row r="11629">
      <x:c r="A11629" s="142"/>
    </x:row>
    <x:row r="11630">
      <x:c r="A11630" s="142"/>
    </x:row>
    <x:row r="11631">
      <x:c r="A11631" s="142"/>
    </x:row>
    <x:row r="11632">
      <x:c r="A11632" s="142"/>
    </x:row>
    <x:row r="11633">
      <x:c r="A11633" s="142"/>
    </x:row>
    <x:row r="11634">
      <x:c r="A11634" s="142"/>
    </x:row>
    <x:row r="11635">
      <x:c r="A11635" s="142"/>
    </x:row>
    <x:row r="11636">
      <x:c r="A11636" s="142"/>
    </x:row>
    <x:row r="11637">
      <x:c r="A11637" s="142"/>
    </x:row>
    <x:row r="11638">
      <x:c r="A11638" s="142"/>
    </x:row>
    <x:row r="11639">
      <x:c r="A11639" s="142"/>
    </x:row>
    <x:row r="11640">
      <x:c r="A11640" s="142"/>
    </x:row>
    <x:row r="11641">
      <x:c r="A11641" s="142"/>
    </x:row>
    <x:row r="11642">
      <x:c r="A11642" s="142"/>
    </x:row>
    <x:row r="11643">
      <x:c r="A11643" s="142"/>
    </x:row>
    <x:row r="11644">
      <x:c r="A11644" s="142"/>
    </x:row>
    <x:row r="11645">
      <x:c r="A11645" s="142"/>
    </x:row>
    <x:row r="11646">
      <x:c r="A11646" s="142"/>
    </x:row>
    <x:row r="11647">
      <x:c r="A11647" s="142"/>
    </x:row>
    <x:row r="11648">
      <x:c r="A11648" s="142"/>
    </x:row>
    <x:row r="11649">
      <x:c r="A11649" s="142"/>
    </x:row>
    <x:row r="11650">
      <x:c r="A11650" s="142"/>
    </x:row>
    <x:row r="11651">
      <x:c r="A11651" s="142"/>
    </x:row>
    <x:row r="11652">
      <x:c r="A11652" s="142"/>
    </x:row>
    <x:row r="11653">
      <x:c r="A11653" s="142"/>
    </x:row>
    <x:row r="11654">
      <x:c r="A11654" s="142"/>
    </x:row>
    <x:row r="11655">
      <x:c r="A11655" s="142"/>
    </x:row>
    <x:row r="11656">
      <x:c r="A11656" s="142"/>
    </x:row>
    <x:row r="11657">
      <x:c r="A11657" s="142"/>
    </x:row>
    <x:row r="11658">
      <x:c r="A11658" s="142"/>
    </x:row>
    <x:row r="11659">
      <x:c r="A11659" s="142"/>
    </x:row>
    <x:row r="11660">
      <x:c r="A11660" s="142"/>
    </x:row>
    <x:row r="11661">
      <x:c r="A11661" s="142"/>
    </x:row>
    <x:row r="11662">
      <x:c r="A11662" s="142"/>
    </x:row>
    <x:row r="11663">
      <x:c r="A11663" s="142"/>
    </x:row>
    <x:row r="11664">
      <x:c r="A11664" s="142"/>
    </x:row>
    <x:row r="11665">
      <x:c r="A11665" s="142"/>
    </x:row>
    <x:row r="11666">
      <x:c r="A11666" s="142"/>
    </x:row>
    <x:row r="11667">
      <x:c r="A11667" s="142"/>
    </x:row>
    <x:row r="11668">
      <x:c r="A11668" s="142"/>
    </x:row>
    <x:row r="11669">
      <x:c r="A11669" s="142"/>
    </x:row>
    <x:row r="11670">
      <x:c r="A11670" s="142"/>
    </x:row>
    <x:row r="11671">
      <x:c r="A11671" s="142"/>
    </x:row>
    <x:row r="11672">
      <x:c r="A11672" s="142"/>
    </x:row>
    <x:row r="11673">
      <x:c r="A11673" s="142"/>
    </x:row>
    <x:row r="11674">
      <x:c r="A11674" s="142"/>
    </x:row>
    <x:row r="11675">
      <x:c r="A11675" s="142"/>
    </x:row>
    <x:row r="11676">
      <x:c r="A11676" s="142"/>
    </x:row>
    <x:row r="11677">
      <x:c r="A11677" s="142"/>
    </x:row>
    <x:row r="11678">
      <x:c r="A11678" s="142"/>
    </x:row>
    <x:row r="11679">
      <x:c r="A11679" s="142"/>
    </x:row>
    <x:row r="11680">
      <x:c r="A11680" s="142"/>
    </x:row>
    <x:row r="11681">
      <x:c r="A11681" s="142"/>
    </x:row>
    <x:row r="11682">
      <x:c r="A11682" s="142"/>
    </x:row>
    <x:row r="11683">
      <x:c r="A11683" s="142"/>
    </x:row>
    <x:row r="11684">
      <x:c r="A11684" s="142"/>
    </x:row>
    <x:row r="11685">
      <x:c r="A11685" s="142"/>
    </x:row>
    <x:row r="11686">
      <x:c r="A11686" s="142"/>
    </x:row>
    <x:row r="11687">
      <x:c r="A11687" s="142"/>
    </x:row>
    <x:row r="11688">
      <x:c r="A11688" s="142"/>
    </x:row>
    <x:row r="11689">
      <x:c r="A11689" s="142"/>
    </x:row>
    <x:row r="11690">
      <x:c r="A11690" s="142"/>
    </x:row>
    <x:row r="11691">
      <x:c r="A11691" s="142"/>
    </x:row>
    <x:row r="11692">
      <x:c r="A11692" s="142"/>
    </x:row>
    <x:row r="11693">
      <x:c r="A11693" s="142"/>
    </x:row>
    <x:row r="11694">
      <x:c r="A11694" s="142"/>
    </x:row>
    <x:row r="11695">
      <x:c r="A11695" s="142"/>
    </x:row>
    <x:row r="11696">
      <x:c r="A11696" s="142"/>
    </x:row>
    <x:row r="11697">
      <x:c r="A11697" s="142"/>
    </x:row>
    <x:row r="11698">
      <x:c r="A11698" s="142"/>
    </x:row>
    <x:row r="11699">
      <x:c r="A11699" s="142"/>
    </x:row>
    <x:row r="11700">
      <x:c r="A11700" s="142"/>
    </x:row>
    <x:row r="11701">
      <x:c r="A11701" s="142"/>
    </x:row>
    <x:row r="11702">
      <x:c r="A11702" s="142"/>
    </x:row>
    <x:row r="11703">
      <x:c r="A11703" s="142"/>
    </x:row>
    <x:row r="11704">
      <x:c r="A11704" s="142"/>
    </x:row>
    <x:row r="11705">
      <x:c r="A11705" s="142"/>
    </x:row>
    <x:row r="11706">
      <x:c r="A11706" s="142"/>
    </x:row>
    <x:row r="11707">
      <x:c r="A11707" s="142"/>
    </x:row>
    <x:row r="11708">
      <x:c r="A11708" s="142"/>
    </x:row>
    <x:row r="11709">
      <x:c r="A11709" s="142"/>
    </x:row>
    <x:row r="11710">
      <x:c r="A11710" s="142"/>
    </x:row>
    <x:row r="11711">
      <x:c r="A11711" s="142"/>
    </x:row>
    <x:row r="11712">
      <x:c r="A11712" s="142"/>
    </x:row>
    <x:row r="11713">
      <x:c r="A11713" s="142"/>
    </x:row>
    <x:row r="11714">
      <x:c r="A11714" s="142"/>
    </x:row>
    <x:row r="11715">
      <x:c r="A11715" s="142"/>
    </x:row>
    <x:row r="11716">
      <x:c r="A11716" s="142"/>
    </x:row>
    <x:row r="11717">
      <x:c r="A11717" s="142"/>
    </x:row>
    <x:row r="11718">
      <x:c r="A11718" s="142"/>
    </x:row>
    <x:row r="11719">
      <x:c r="A11719" s="142"/>
    </x:row>
    <x:row r="11720">
      <x:c r="A11720" s="142"/>
    </x:row>
    <x:row r="11721">
      <x:c r="A11721" s="142"/>
    </x:row>
    <x:row r="11722">
      <x:c r="A11722" s="142"/>
    </x:row>
    <x:row r="11723">
      <x:c r="A11723" s="142"/>
    </x:row>
    <x:row r="11724">
      <x:c r="A11724" s="142"/>
    </x:row>
    <x:row r="11725">
      <x:c r="A11725" s="142"/>
    </x:row>
    <x:row r="11726">
      <x:c r="A11726" s="142"/>
    </x:row>
    <x:row r="11727">
      <x:c r="A11727" s="142"/>
    </x:row>
    <x:row r="11728">
      <x:c r="A11728" s="142"/>
    </x:row>
    <x:row r="11729">
      <x:c r="A11729" s="142"/>
    </x:row>
    <x:row r="11730">
      <x:c r="A11730" s="142"/>
    </x:row>
    <x:row r="11731">
      <x:c r="A11731" s="142"/>
    </x:row>
    <x:row r="11732">
      <x:c r="A11732" s="142"/>
    </x:row>
    <x:row r="11733">
      <x:c r="A11733" s="142"/>
    </x:row>
    <x:row r="11734">
      <x:c r="A11734" s="142"/>
    </x:row>
    <x:row r="11735">
      <x:c r="A11735" s="142"/>
    </x:row>
    <x:row r="11736">
      <x:c r="A11736" s="142"/>
    </x:row>
    <x:row r="11737">
      <x:c r="A11737" s="142"/>
    </x:row>
    <x:row r="11738">
      <x:c r="A11738" s="142"/>
    </x:row>
    <x:row r="11739">
      <x:c r="A11739" s="142"/>
    </x:row>
    <x:row r="11740">
      <x:c r="A11740" s="142"/>
    </x:row>
    <x:row r="11741">
      <x:c r="A11741" s="142"/>
    </x:row>
    <x:row r="11742">
      <x:c r="A11742" s="142"/>
    </x:row>
    <x:row r="11743">
      <x:c r="A11743" s="142"/>
    </x:row>
    <x:row r="11744">
      <x:c r="A11744" s="142"/>
    </x:row>
    <x:row r="11745">
      <x:c r="A11745" s="142"/>
    </x:row>
    <x:row r="11746">
      <x:c r="A11746" s="142"/>
    </x:row>
    <x:row r="11747">
      <x:c r="A11747" s="142"/>
    </x:row>
    <x:row r="11748">
      <x:c r="A11748" s="142"/>
    </x:row>
    <x:row r="11749">
      <x:c r="A11749" s="142"/>
    </x:row>
    <x:row r="11750">
      <x:c r="A11750" s="142"/>
    </x:row>
    <x:row r="11751">
      <x:c r="A11751" s="142"/>
    </x:row>
    <x:row r="11752">
      <x:c r="A11752" s="142"/>
    </x:row>
    <x:row r="11753">
      <x:c r="A11753" s="142"/>
    </x:row>
    <x:row r="11754">
      <x:c r="A11754" s="142"/>
    </x:row>
    <x:row r="11755">
      <x:c r="A11755" s="142"/>
    </x:row>
    <x:row r="11756">
      <x:c r="A11756" s="142"/>
    </x:row>
    <x:row r="11757">
      <x:c r="A11757" s="142"/>
    </x:row>
    <x:row r="11758">
      <x:c r="A11758" s="142"/>
    </x:row>
    <x:row r="11759">
      <x:c r="A11759" s="142"/>
    </x:row>
    <x:row r="11760">
      <x:c r="A11760" s="142"/>
    </x:row>
    <x:row r="11761">
      <x:c r="A11761" s="142"/>
    </x:row>
    <x:row r="11762">
      <x:c r="A11762" s="142"/>
    </x:row>
    <x:row r="11763">
      <x:c r="A11763" s="142"/>
    </x:row>
    <x:row r="11764">
      <x:c r="A11764" s="142"/>
    </x:row>
    <x:row r="11765">
      <x:c r="A11765" s="142"/>
    </x:row>
    <x:row r="11766">
      <x:c r="A11766" s="142"/>
    </x:row>
    <x:row r="11767">
      <x:c r="A11767" s="142"/>
    </x:row>
    <x:row r="11768">
      <x:c r="A11768" s="142"/>
    </x:row>
    <x:row r="11769">
      <x:c r="A11769" s="142"/>
    </x:row>
    <x:row r="11770">
      <x:c r="A11770" s="142"/>
    </x:row>
    <x:row r="11771">
      <x:c r="A11771" s="142"/>
    </x:row>
    <x:row r="11772">
      <x:c r="A11772" s="142"/>
    </x:row>
    <x:row r="11773">
      <x:c r="A11773" s="142"/>
    </x:row>
    <x:row r="11774">
      <x:c r="A11774" s="142"/>
    </x:row>
    <x:row r="11775">
      <x:c r="A11775" s="142"/>
    </x:row>
    <x:row r="11776">
      <x:c r="A11776" s="142"/>
    </x:row>
    <x:row r="11777">
      <x:c r="A11777" s="142"/>
    </x:row>
    <x:row r="11778">
      <x:c r="A11778" s="142"/>
    </x:row>
    <x:row r="11779">
      <x:c r="A11779" s="142"/>
    </x:row>
    <x:row r="11780">
      <x:c r="A11780" s="142"/>
    </x:row>
    <x:row r="11781">
      <x:c r="A11781" s="142"/>
    </x:row>
    <x:row r="11782">
      <x:c r="A11782" s="142"/>
    </x:row>
    <x:row r="11783">
      <x:c r="A11783" s="142"/>
    </x:row>
    <x:row r="11784">
      <x:c r="A11784" s="142"/>
    </x:row>
    <x:row r="11785">
      <x:c r="A11785" s="142"/>
    </x:row>
    <x:row r="11786">
      <x:c r="A11786" s="142"/>
    </x:row>
    <x:row r="11787">
      <x:c r="A11787" s="142"/>
    </x:row>
    <x:row r="11788">
      <x:c r="A11788" s="142"/>
    </x:row>
    <x:row r="11789">
      <x:c r="A11789" s="142"/>
    </x:row>
    <x:row r="11790">
      <x:c r="A11790" s="142"/>
    </x:row>
    <x:row r="11791">
      <x:c r="A11791" s="142"/>
    </x:row>
    <x:row r="11792">
      <x:c r="A11792" s="142"/>
    </x:row>
    <x:row r="11793">
      <x:c r="A11793" s="142"/>
    </x:row>
    <x:row r="11794">
      <x:c r="A11794" s="142"/>
    </x:row>
    <x:row r="11795">
      <x:c r="A11795" s="142"/>
    </x:row>
    <x:row r="11796">
      <x:c r="A11796" s="142"/>
    </x:row>
    <x:row r="11797">
      <x:c r="A11797" s="142"/>
    </x:row>
    <x:row r="11798">
      <x:c r="A11798" s="142"/>
    </x:row>
    <x:row r="11799">
      <x:c r="A11799" s="142"/>
    </x:row>
    <x:row r="11800">
      <x:c r="A11800" s="142"/>
    </x:row>
    <x:row r="11801">
      <x:c r="A11801" s="142"/>
    </x:row>
    <x:row r="11802">
      <x:c r="A11802" s="142"/>
    </x:row>
    <x:row r="11803">
      <x:c r="A11803" s="142"/>
    </x:row>
    <x:row r="11804">
      <x:c r="A11804" s="142"/>
    </x:row>
    <x:row r="11805">
      <x:c r="A11805" s="142"/>
    </x:row>
    <x:row r="11806">
      <x:c r="A11806" s="142"/>
    </x:row>
    <x:row r="11807">
      <x:c r="A11807" s="142"/>
    </x:row>
    <x:row r="11808">
      <x:c r="A11808" s="142"/>
    </x:row>
    <x:row r="11809">
      <x:c r="A11809" s="142"/>
    </x:row>
    <x:row r="11810">
      <x:c r="A11810" s="142"/>
    </x:row>
    <x:row r="11811">
      <x:c r="A11811" s="142"/>
    </x:row>
    <x:row r="11812">
      <x:c r="A11812" s="142"/>
    </x:row>
    <x:row r="11813">
      <x:c r="A11813" s="142"/>
    </x:row>
    <x:row r="11814">
      <x:c r="A11814" s="142"/>
    </x:row>
    <x:row r="11815">
      <x:c r="A11815" s="142"/>
    </x:row>
    <x:row r="11816">
      <x:c r="A11816" s="142"/>
    </x:row>
    <x:row r="11817">
      <x:c r="A11817" s="142"/>
    </x:row>
    <x:row r="11818">
      <x:c r="A11818" s="142"/>
    </x:row>
    <x:row r="11819">
      <x:c r="A11819" s="142"/>
    </x:row>
    <x:row r="11820">
      <x:c r="A11820" s="142"/>
    </x:row>
    <x:row r="11821">
      <x:c r="A11821" s="142"/>
    </x:row>
    <x:row r="11822">
      <x:c r="A11822" s="142"/>
    </x:row>
    <x:row r="11823">
      <x:c r="A11823" s="142"/>
    </x:row>
    <x:row r="11824">
      <x:c r="A11824" s="142"/>
    </x:row>
    <x:row r="11825">
      <x:c r="A11825" s="142"/>
    </x:row>
    <x:row r="11826">
      <x:c r="A11826" s="142"/>
    </x:row>
    <x:row r="11827">
      <x:c r="A11827" s="142"/>
    </x:row>
    <x:row r="11828">
      <x:c r="A11828" s="142"/>
    </x:row>
    <x:row r="11829">
      <x:c r="A11829" s="142"/>
    </x:row>
    <x:row r="11830">
      <x:c r="A11830" s="142"/>
    </x:row>
    <x:row r="11831">
      <x:c r="A11831" s="142"/>
    </x:row>
    <x:row r="11832">
      <x:c r="A11832" s="142"/>
    </x:row>
    <x:row r="11833">
      <x:c r="A11833" s="142"/>
    </x:row>
    <x:row r="11834">
      <x:c r="A11834" s="142"/>
    </x:row>
    <x:row r="11835">
      <x:c r="A11835" s="142"/>
    </x:row>
    <x:row r="11836">
      <x:c r="A11836" s="142"/>
    </x:row>
    <x:row r="11837">
      <x:c r="A11837" s="142"/>
    </x:row>
    <x:row r="11838">
      <x:c r="A11838" s="142"/>
    </x:row>
    <x:row r="11839">
      <x:c r="A11839" s="142"/>
    </x:row>
    <x:row r="11840">
      <x:c r="A11840" s="142"/>
    </x:row>
    <x:row r="11841">
      <x:c r="A11841" s="142"/>
    </x:row>
    <x:row r="11842">
      <x:c r="A11842" s="142"/>
    </x:row>
    <x:row r="11843">
      <x:c r="A11843" s="142"/>
    </x:row>
    <x:row r="11844">
      <x:c r="A11844" s="142"/>
    </x:row>
    <x:row r="11845">
      <x:c r="A11845" s="142"/>
    </x:row>
    <x:row r="11846">
      <x:c r="A11846" s="142"/>
    </x:row>
    <x:row r="11847">
      <x:c r="A11847" s="142"/>
    </x:row>
    <x:row r="11848">
      <x:c r="A11848" s="142"/>
    </x:row>
    <x:row r="11849">
      <x:c r="A11849" s="142"/>
    </x:row>
    <x:row r="11850">
      <x:c r="A11850" s="142"/>
    </x:row>
    <x:row r="11851">
      <x:c r="A11851" s="142"/>
    </x:row>
    <x:row r="11852">
      <x:c r="A11852" s="142"/>
    </x:row>
    <x:row r="11853">
      <x:c r="A11853" s="142"/>
    </x:row>
    <x:row r="11854">
      <x:c r="A11854" s="142"/>
    </x:row>
    <x:row r="11855">
      <x:c r="A11855" s="142"/>
    </x:row>
    <x:row r="11856">
      <x:c r="A11856" s="142"/>
    </x:row>
    <x:row r="11857">
      <x:c r="A11857" s="142"/>
    </x:row>
    <x:row r="11858">
      <x:c r="A11858" s="142"/>
    </x:row>
    <x:row r="11859">
      <x:c r="A11859" s="142"/>
    </x:row>
    <x:row r="11860">
      <x:c r="A11860" s="142"/>
    </x:row>
    <x:row r="11861">
      <x:c r="A11861" s="142"/>
    </x:row>
    <x:row r="11862">
      <x:c r="A11862" s="142"/>
    </x:row>
    <x:row r="11863">
      <x:c r="A11863" s="142"/>
    </x:row>
    <x:row r="11864">
      <x:c r="A11864" s="142"/>
    </x:row>
    <x:row r="11865">
      <x:c r="A11865" s="142"/>
    </x:row>
    <x:row r="11866">
      <x:c r="A11866" s="142"/>
    </x:row>
    <x:row r="11867">
      <x:c r="A11867" s="142"/>
    </x:row>
    <x:row r="11868">
      <x:c r="A11868" s="142"/>
    </x:row>
    <x:row r="11869">
      <x:c r="A11869" s="142"/>
    </x:row>
    <x:row r="11870">
      <x:c r="A11870" s="142"/>
    </x:row>
    <x:row r="11871">
      <x:c r="A11871" s="142"/>
    </x:row>
    <x:row r="11872">
      <x:c r="A11872" s="142"/>
    </x:row>
    <x:row r="11873">
      <x:c r="A11873" s="142"/>
    </x:row>
    <x:row r="11874">
      <x:c r="A11874" s="142"/>
    </x:row>
    <x:row r="11875">
      <x:c r="A11875" s="142"/>
    </x:row>
    <x:row r="11876">
      <x:c r="A11876" s="142"/>
    </x:row>
    <x:row r="11877">
      <x:c r="A11877" s="142"/>
    </x:row>
    <x:row r="11878">
      <x:c r="A11878" s="142"/>
    </x:row>
    <x:row r="11879">
      <x:c r="A11879" s="142"/>
    </x:row>
    <x:row r="11880">
      <x:c r="A11880" s="142"/>
    </x:row>
    <x:row r="11881">
      <x:c r="A11881" s="142"/>
    </x:row>
    <x:row r="11882">
      <x:c r="A11882" s="142"/>
    </x:row>
    <x:row r="11883">
      <x:c r="A11883" s="142"/>
    </x:row>
    <x:row r="11884">
      <x:c r="A11884" s="142"/>
    </x:row>
    <x:row r="11885">
      <x:c r="A11885" s="142"/>
    </x:row>
    <x:row r="11886">
      <x:c r="A11886" s="142"/>
    </x:row>
    <x:row r="11887">
      <x:c r="A11887" s="142"/>
    </x:row>
    <x:row r="11888">
      <x:c r="A11888" s="142"/>
    </x:row>
    <x:row r="11889">
      <x:c r="A11889" s="142"/>
    </x:row>
    <x:row r="11890">
      <x:c r="A11890" s="142"/>
    </x:row>
    <x:row r="11891">
      <x:c r="A11891" s="142"/>
    </x:row>
    <x:row r="11892">
      <x:c r="A11892" s="142"/>
    </x:row>
    <x:row r="11893">
      <x:c r="A11893" s="142"/>
    </x:row>
    <x:row r="11894">
      <x:c r="A11894" s="142"/>
    </x:row>
    <x:row r="11895">
      <x:c r="A11895" s="142"/>
    </x:row>
    <x:row r="11896">
      <x:c r="A11896" s="142"/>
    </x:row>
    <x:row r="11897">
      <x:c r="A11897" s="142"/>
    </x:row>
    <x:row r="11898">
      <x:c r="A11898" s="142"/>
    </x:row>
    <x:row r="11899">
      <x:c r="A11899" s="142"/>
    </x:row>
    <x:row r="11900">
      <x:c r="A11900" s="142"/>
    </x:row>
    <x:row r="11901">
      <x:c r="A11901" s="142"/>
    </x:row>
    <x:row r="11902">
      <x:c r="A11902" s="142"/>
    </x:row>
    <x:row r="11903">
      <x:c r="A11903" s="142"/>
    </x:row>
    <x:row r="11904">
      <x:c r="A11904" s="142"/>
    </x:row>
    <x:row r="11905">
      <x:c r="A11905" s="142"/>
    </x:row>
    <x:row r="11906">
      <x:c r="A11906" s="142"/>
    </x:row>
    <x:row r="11907">
      <x:c r="A11907" s="142"/>
    </x:row>
    <x:row r="11908">
      <x:c r="A11908" s="142"/>
    </x:row>
    <x:row r="11909">
      <x:c r="A11909" s="142"/>
    </x:row>
    <x:row r="11910">
      <x:c r="A11910" s="142"/>
    </x:row>
    <x:row r="11911">
      <x:c r="A11911" s="142"/>
    </x:row>
    <x:row r="11912">
      <x:c r="A11912" s="142"/>
    </x:row>
    <x:row r="11913">
      <x:c r="A11913" s="142"/>
    </x:row>
    <x:row r="11914">
      <x:c r="A11914" s="142"/>
    </x:row>
    <x:row r="11915">
      <x:c r="A11915" s="142"/>
    </x:row>
    <x:row r="11916">
      <x:c r="A11916" s="142"/>
    </x:row>
    <x:row r="11917">
      <x:c r="A11917" s="142"/>
    </x:row>
    <x:row r="11918">
      <x:c r="A11918" s="142"/>
    </x:row>
    <x:row r="11919">
      <x:c r="A11919" s="142"/>
    </x:row>
    <x:row r="11920">
      <x:c r="A11920" s="142"/>
    </x:row>
    <x:row r="11921">
      <x:c r="A11921" s="142"/>
    </x:row>
    <x:row r="11922">
      <x:c r="A11922" s="142"/>
    </x:row>
    <x:row r="11923">
      <x:c r="A11923" s="142"/>
    </x:row>
    <x:row r="11924">
      <x:c r="A11924" s="142"/>
    </x:row>
    <x:row r="11925">
      <x:c r="A11925" s="142"/>
    </x:row>
    <x:row r="11926">
      <x:c r="A11926" s="142"/>
    </x:row>
    <x:row r="11927">
      <x:c r="A11927" s="142"/>
    </x:row>
    <x:row r="11928">
      <x:c r="A11928" s="142"/>
    </x:row>
    <x:row r="11929">
      <x:c r="A11929" s="142"/>
    </x:row>
    <x:row r="11930">
      <x:c r="A11930" s="142"/>
    </x:row>
    <x:row r="11931">
      <x:c r="A11931" s="142"/>
    </x:row>
    <x:row r="11932">
      <x:c r="A11932" s="142"/>
    </x:row>
    <x:row r="11933">
      <x:c r="A11933" s="142"/>
    </x:row>
    <x:row r="11934">
      <x:c r="A11934" s="142"/>
    </x:row>
    <x:row r="11935">
      <x:c r="A11935" s="142"/>
    </x:row>
    <x:row r="11936">
      <x:c r="A11936" s="142"/>
    </x:row>
    <x:row r="11937">
      <x:c r="A11937" s="142"/>
    </x:row>
    <x:row r="11938">
      <x:c r="A11938" s="142"/>
    </x:row>
    <x:row r="11939">
      <x:c r="A11939" s="142"/>
    </x:row>
    <x:row r="11940">
      <x:c r="A11940" s="142"/>
    </x:row>
    <x:row r="11941">
      <x:c r="A11941" s="142"/>
    </x:row>
    <x:row r="11942">
      <x:c r="A11942" s="142"/>
    </x:row>
    <x:row r="11943">
      <x:c r="A11943" s="142"/>
    </x:row>
    <x:row r="11944">
      <x:c r="A11944" s="142"/>
    </x:row>
    <x:row r="11945">
      <x:c r="A11945" s="142"/>
    </x:row>
    <x:row r="11946">
      <x:c r="A11946" s="142"/>
    </x:row>
    <x:row r="11947">
      <x:c r="A11947" s="142"/>
    </x:row>
    <x:row r="11948">
      <x:c r="A11948" s="142"/>
    </x:row>
    <x:row r="11949">
      <x:c r="A11949" s="142"/>
    </x:row>
    <x:row r="11950">
      <x:c r="A11950" s="142"/>
    </x:row>
    <x:row r="11951">
      <x:c r="A11951" s="142"/>
    </x:row>
    <x:row r="11952">
      <x:c r="A11952" s="142"/>
    </x:row>
    <x:row r="11953">
      <x:c r="A11953" s="142"/>
    </x:row>
    <x:row r="11954">
      <x:c r="A11954" s="142"/>
    </x:row>
    <x:row r="11955">
      <x:c r="A11955" s="142"/>
    </x:row>
    <x:row r="11956">
      <x:c r="A11956" s="142"/>
    </x:row>
    <x:row r="11957">
      <x:c r="A11957" s="142"/>
    </x:row>
    <x:row r="11958">
      <x:c r="A11958" s="142"/>
    </x:row>
    <x:row r="11959">
      <x:c r="A11959" s="142"/>
    </x:row>
    <x:row r="11960">
      <x:c r="A11960" s="142"/>
    </x:row>
    <x:row r="11961">
      <x:c r="A11961" s="142"/>
    </x:row>
    <x:row r="11962">
      <x:c r="A11962" s="142"/>
    </x:row>
    <x:row r="11963">
      <x:c r="A11963" s="142"/>
    </x:row>
    <x:row r="11964">
      <x:c r="A11964" s="142"/>
    </x:row>
    <x:row r="11965">
      <x:c r="A11965" s="142"/>
    </x:row>
    <x:row r="11966">
      <x:c r="A11966" s="142"/>
    </x:row>
    <x:row r="11967">
      <x:c r="A11967" s="142"/>
    </x:row>
    <x:row r="11968">
      <x:c r="A11968" s="142"/>
    </x:row>
    <x:row r="11969">
      <x:c r="A11969" s="142"/>
    </x:row>
    <x:row r="11970">
      <x:c r="A11970" s="142"/>
    </x:row>
    <x:row r="11971">
      <x:c r="A11971" s="142"/>
    </x:row>
    <x:row r="11972">
      <x:c r="A11972" s="142"/>
    </x:row>
    <x:row r="11973">
      <x:c r="A11973" s="142"/>
    </x:row>
    <x:row r="11974">
      <x:c r="A11974" s="142"/>
    </x:row>
    <x:row r="11975">
      <x:c r="A11975" s="142"/>
    </x:row>
    <x:row r="11976">
      <x:c r="A11976" s="142"/>
    </x:row>
    <x:row r="11977">
      <x:c r="A11977" s="142"/>
    </x:row>
    <x:row r="11978">
      <x:c r="A11978" s="142"/>
    </x:row>
    <x:row r="11979">
      <x:c r="A11979" s="142"/>
    </x:row>
    <x:row r="11980">
      <x:c r="A11980" s="142"/>
    </x:row>
    <x:row r="11981">
      <x:c r="A11981" s="142"/>
    </x:row>
    <x:row r="11982">
      <x:c r="A11982" s="142"/>
    </x:row>
    <x:row r="11983">
      <x:c r="A11983" s="142"/>
    </x:row>
    <x:row r="11984">
      <x:c r="A11984" s="142"/>
    </x:row>
    <x:row r="11985">
      <x:c r="A11985" s="142"/>
    </x:row>
    <x:row r="11986">
      <x:c r="A11986" s="142"/>
    </x:row>
    <x:row r="11987">
      <x:c r="A11987" s="142"/>
    </x:row>
    <x:row r="11988">
      <x:c r="A11988" s="142"/>
    </x:row>
    <x:row r="11989">
      <x:c r="A11989" s="142"/>
    </x:row>
    <x:row r="11990">
      <x:c r="A11990" s="142"/>
    </x:row>
    <x:row r="11991">
      <x:c r="A11991" s="142"/>
    </x:row>
    <x:row r="11992">
      <x:c r="A11992" s="142"/>
    </x:row>
    <x:row r="11993">
      <x:c r="A11993" s="142"/>
    </x:row>
    <x:row r="11994">
      <x:c r="A11994" s="142"/>
    </x:row>
    <x:row r="11995">
      <x:c r="A11995" s="142"/>
    </x:row>
    <x:row r="11996">
      <x:c r="A11996" s="142"/>
    </x:row>
    <x:row r="11997">
      <x:c r="A11997" s="142"/>
    </x:row>
    <x:row r="11998">
      <x:c r="A11998" s="142"/>
    </x:row>
    <x:row r="11999">
      <x:c r="A11999" s="142"/>
    </x:row>
    <x:row r="12000">
      <x:c r="A12000" s="142"/>
    </x:row>
    <x:row r="12001">
      <x:c r="A12001" s="142"/>
    </x:row>
    <x:row r="12002">
      <x:c r="A12002" s="142"/>
    </x:row>
    <x:row r="12003">
      <x:c r="A12003" s="142"/>
    </x:row>
    <x:row r="12004">
      <x:c r="A12004" s="142"/>
    </x:row>
    <x:row r="12005">
      <x:c r="A12005" s="142"/>
    </x:row>
    <x:row r="12006">
      <x:c r="A12006" s="142"/>
    </x:row>
    <x:row r="12007">
      <x:c r="A12007" s="142"/>
    </x:row>
    <x:row r="12008">
      <x:c r="A12008" s="142"/>
    </x:row>
    <x:row r="12009">
      <x:c r="A12009" s="142"/>
    </x:row>
    <x:row r="12010">
      <x:c r="A12010" s="142"/>
    </x:row>
    <x:row r="12011">
      <x:c r="A12011" s="142"/>
    </x:row>
    <x:row r="12012">
      <x:c r="A12012" s="142"/>
    </x:row>
    <x:row r="12013">
      <x:c r="A12013" s="142"/>
    </x:row>
    <x:row r="12014">
      <x:c r="A12014" s="142"/>
    </x:row>
    <x:row r="12015">
      <x:c r="A12015" s="142"/>
    </x:row>
    <x:row r="12016">
      <x:c r="A12016" s="142"/>
    </x:row>
    <x:row r="12017">
      <x:c r="A12017" s="142"/>
    </x:row>
    <x:row r="12018">
      <x:c r="A12018" s="142"/>
    </x:row>
    <x:row r="12019">
      <x:c r="A12019" s="142"/>
    </x:row>
    <x:row r="12020">
      <x:c r="A12020" s="142"/>
    </x:row>
    <x:row r="12021">
      <x:c r="A12021" s="142"/>
    </x:row>
    <x:row r="12022">
      <x:c r="A12022" s="142"/>
    </x:row>
    <x:row r="12023">
      <x:c r="A12023" s="142"/>
    </x:row>
    <x:row r="12024">
      <x:c r="A12024" s="142"/>
    </x:row>
    <x:row r="12025">
      <x:c r="A12025" s="142"/>
    </x:row>
    <x:row r="12026">
      <x:c r="A12026" s="142"/>
    </x:row>
    <x:row r="12027">
      <x:c r="A12027" s="142"/>
    </x:row>
    <x:row r="12028">
      <x:c r="A12028" s="142"/>
    </x:row>
    <x:row r="12029">
      <x:c r="A12029" s="142"/>
    </x:row>
    <x:row r="12030">
      <x:c r="A12030" s="142"/>
    </x:row>
    <x:row r="12031">
      <x:c r="A12031" s="142"/>
    </x:row>
    <x:row r="12032">
      <x:c r="A12032" s="142"/>
    </x:row>
    <x:row r="12033">
      <x:c r="A12033" s="142"/>
    </x:row>
    <x:row r="12034">
      <x:c r="A12034" s="142"/>
    </x:row>
    <x:row r="12035">
      <x:c r="A12035" s="142"/>
    </x:row>
    <x:row r="12036">
      <x:c r="A12036" s="142"/>
    </x:row>
    <x:row r="12037">
      <x:c r="A12037" s="142"/>
    </x:row>
    <x:row r="12038">
      <x:c r="A12038" s="142"/>
    </x:row>
    <x:row r="12039">
      <x:c r="A12039" s="142"/>
    </x:row>
    <x:row r="12040">
      <x:c r="A12040" s="142"/>
    </x:row>
    <x:row r="12041">
      <x:c r="A12041" s="142"/>
    </x:row>
    <x:row r="12042">
      <x:c r="A12042" s="142"/>
    </x:row>
    <x:row r="12043">
      <x:c r="A12043" s="142"/>
    </x:row>
    <x:row r="12044">
      <x:c r="A12044" s="142"/>
    </x:row>
    <x:row r="12045">
      <x:c r="A12045" s="142"/>
    </x:row>
    <x:row r="12046">
      <x:c r="A12046" s="142"/>
    </x:row>
    <x:row r="12047">
      <x:c r="A12047" s="142"/>
    </x:row>
    <x:row r="12048">
      <x:c r="A12048" s="142"/>
    </x:row>
    <x:row r="12049">
      <x:c r="A12049" s="142"/>
    </x:row>
    <x:row r="12050">
      <x:c r="A12050" s="142"/>
    </x:row>
    <x:row r="12051">
      <x:c r="A12051" s="142"/>
    </x:row>
    <x:row r="12052">
      <x:c r="A12052" s="142"/>
    </x:row>
    <x:row r="12053">
      <x:c r="A12053" s="142"/>
    </x:row>
    <x:row r="12054">
      <x:c r="A12054" s="142"/>
    </x:row>
    <x:row r="12055">
      <x:c r="A12055" s="142"/>
    </x:row>
    <x:row r="12056">
      <x:c r="A12056" s="142"/>
    </x:row>
    <x:row r="12057">
      <x:c r="A12057" s="142"/>
    </x:row>
    <x:row r="12058">
      <x:c r="A12058" s="142"/>
    </x:row>
    <x:row r="12059">
      <x:c r="A12059" s="142"/>
    </x:row>
    <x:row r="12060">
      <x:c r="A12060" s="142"/>
    </x:row>
    <x:row r="12061">
      <x:c r="A12061" s="142"/>
    </x:row>
    <x:row r="12062">
      <x:c r="A12062" s="142"/>
    </x:row>
    <x:row r="12063">
      <x:c r="A12063" s="142"/>
    </x:row>
    <x:row r="12064">
      <x:c r="A12064" s="142"/>
    </x:row>
    <x:row r="12065">
      <x:c r="A12065" s="142"/>
    </x:row>
    <x:row r="12066">
      <x:c r="A12066" s="142"/>
    </x:row>
    <x:row r="12067">
      <x:c r="A12067" s="142"/>
    </x:row>
    <x:row r="12068">
      <x:c r="A12068" s="142"/>
    </x:row>
    <x:row r="12069">
      <x:c r="A12069" s="142"/>
    </x:row>
    <x:row r="12070">
      <x:c r="A12070" s="142"/>
    </x:row>
    <x:row r="12071">
      <x:c r="A12071" s="142"/>
    </x:row>
    <x:row r="12072">
      <x:c r="A12072" s="142"/>
    </x:row>
    <x:row r="12073">
      <x:c r="A12073" s="142"/>
    </x:row>
    <x:row r="12074">
      <x:c r="A12074" s="142"/>
    </x:row>
    <x:row r="12075">
      <x:c r="A12075" s="142"/>
    </x:row>
    <x:row r="12076">
      <x:c r="A12076" s="142"/>
    </x:row>
    <x:row r="12077">
      <x:c r="A12077" s="142"/>
    </x:row>
    <x:row r="12078">
      <x:c r="A12078" s="142"/>
    </x:row>
    <x:row r="12079">
      <x:c r="A12079" s="142"/>
    </x:row>
    <x:row r="12080">
      <x:c r="A12080" s="142"/>
    </x:row>
    <x:row r="12081">
      <x:c r="A12081" s="142"/>
    </x:row>
    <x:row r="12082">
      <x:c r="A12082" s="142"/>
    </x:row>
    <x:row r="12083">
      <x:c r="A12083" s="142"/>
    </x:row>
    <x:row r="12084">
      <x:c r="A12084" s="142"/>
    </x:row>
    <x:row r="12085">
      <x:c r="A12085" s="142"/>
    </x:row>
    <x:row r="12086">
      <x:c r="A12086" s="142"/>
    </x:row>
    <x:row r="12087">
      <x:c r="A12087" s="142"/>
    </x:row>
    <x:row r="12088">
      <x:c r="A12088" s="142"/>
    </x:row>
    <x:row r="12089">
      <x:c r="A12089" s="142"/>
    </x:row>
    <x:row r="12090">
      <x:c r="A12090" s="142"/>
    </x:row>
    <x:row r="12091">
      <x:c r="A12091" s="142"/>
    </x:row>
    <x:row r="12092">
      <x:c r="A12092" s="142"/>
    </x:row>
    <x:row r="12093">
      <x:c r="A12093" s="142"/>
    </x:row>
    <x:row r="12094">
      <x:c r="A12094" s="142"/>
    </x:row>
    <x:row r="12095">
      <x:c r="A12095" s="142"/>
    </x:row>
    <x:row r="12096">
      <x:c r="A12096" s="142"/>
    </x:row>
    <x:row r="12097">
      <x:c r="A12097" s="142"/>
    </x:row>
    <x:row r="12098">
      <x:c r="A12098" s="142"/>
    </x:row>
    <x:row r="12099">
      <x:c r="A12099" s="142"/>
    </x:row>
    <x:row r="12100">
      <x:c r="A12100" s="142"/>
    </x:row>
    <x:row r="12101">
      <x:c r="A12101" s="142"/>
    </x:row>
    <x:row r="12102">
      <x:c r="A12102" s="142"/>
    </x:row>
    <x:row r="12103">
      <x:c r="A12103" s="142"/>
    </x:row>
    <x:row r="12104">
      <x:c r="A12104" s="142"/>
    </x:row>
    <x:row r="12105">
      <x:c r="A12105" s="142"/>
    </x:row>
    <x:row r="12106">
      <x:c r="A12106" s="142"/>
    </x:row>
    <x:row r="12107">
      <x:c r="A12107" s="142"/>
    </x:row>
    <x:row r="12108">
      <x:c r="A12108" s="142"/>
    </x:row>
    <x:row r="12109">
      <x:c r="A12109" s="142"/>
    </x:row>
    <x:row r="12110">
      <x:c r="A12110" s="142"/>
    </x:row>
    <x:row r="12111">
      <x:c r="A12111" s="142"/>
    </x:row>
    <x:row r="12112">
      <x:c r="A12112" s="142"/>
    </x:row>
    <x:row r="12113">
      <x:c r="A12113" s="142"/>
    </x:row>
    <x:row r="12114">
      <x:c r="A12114" s="142"/>
    </x:row>
    <x:row r="12115">
      <x:c r="A12115" s="142"/>
    </x:row>
    <x:row r="12116">
      <x:c r="A12116" s="142"/>
    </x:row>
    <x:row r="12117">
      <x:c r="A12117" s="142"/>
    </x:row>
    <x:row r="12118">
      <x:c r="A12118" s="142"/>
    </x:row>
    <x:row r="12119">
      <x:c r="A12119" s="142"/>
    </x:row>
    <x:row r="12120">
      <x:c r="A12120" s="142"/>
    </x:row>
    <x:row r="12121">
      <x:c r="A12121" s="142"/>
    </x:row>
    <x:row r="12122">
      <x:c r="A12122" s="142"/>
    </x:row>
    <x:row r="12123">
      <x:c r="A12123" s="142"/>
    </x:row>
    <x:row r="12124">
      <x:c r="A12124" s="142"/>
    </x:row>
    <x:row r="12125">
      <x:c r="A12125" s="142"/>
    </x:row>
    <x:row r="12126">
      <x:c r="A12126" s="142"/>
    </x:row>
    <x:row r="12127">
      <x:c r="A12127" s="142"/>
    </x:row>
    <x:row r="12128">
      <x:c r="A12128" s="142"/>
    </x:row>
    <x:row r="12129">
      <x:c r="A12129" s="142"/>
    </x:row>
    <x:row r="12130">
      <x:c r="A12130" s="142"/>
    </x:row>
    <x:row r="12131">
      <x:c r="A12131" s="142"/>
    </x:row>
    <x:row r="12132">
      <x:c r="A12132" s="142"/>
    </x:row>
    <x:row r="12133">
      <x:c r="A12133" s="142"/>
    </x:row>
    <x:row r="12134">
      <x:c r="A12134" s="142"/>
    </x:row>
    <x:row r="12135">
      <x:c r="A12135" s="142"/>
    </x:row>
    <x:row r="12136">
      <x:c r="A12136" s="142"/>
    </x:row>
    <x:row r="12137">
      <x:c r="A12137" s="142"/>
    </x:row>
    <x:row r="12138">
      <x:c r="A12138" s="142"/>
    </x:row>
    <x:row r="12139">
      <x:c r="A12139" s="142"/>
    </x:row>
    <x:row r="12140">
      <x:c r="A12140" s="142"/>
    </x:row>
    <x:row r="12141">
      <x:c r="A12141" s="142"/>
    </x:row>
    <x:row r="12142">
      <x:c r="A12142" s="142"/>
    </x:row>
    <x:row r="12143">
      <x:c r="A12143" s="142"/>
    </x:row>
    <x:row r="12144">
      <x:c r="A12144" s="142"/>
    </x:row>
    <x:row r="12145">
      <x:c r="A12145" s="142"/>
    </x:row>
    <x:row r="12146">
      <x:c r="A12146" s="142"/>
    </x:row>
    <x:row r="12147">
      <x:c r="A12147" s="142"/>
    </x:row>
    <x:row r="12148">
      <x:c r="A12148" s="142"/>
    </x:row>
    <x:row r="12149">
      <x:c r="A12149" s="142"/>
    </x:row>
    <x:row r="12150">
      <x:c r="A12150" s="142"/>
    </x:row>
    <x:row r="12151">
      <x:c r="A12151" s="142"/>
    </x:row>
    <x:row r="12152">
      <x:c r="A12152" s="142"/>
    </x:row>
    <x:row r="12153">
      <x:c r="A12153" s="142"/>
    </x:row>
    <x:row r="12154">
      <x:c r="A12154" s="142"/>
    </x:row>
    <x:row r="12155">
      <x:c r="A12155" s="142"/>
    </x:row>
    <x:row r="12156">
      <x:c r="A12156" s="142"/>
    </x:row>
    <x:row r="12157">
      <x:c r="A12157" s="142"/>
    </x:row>
    <x:row r="12158">
      <x:c r="A12158" s="142"/>
    </x:row>
    <x:row r="12159">
      <x:c r="A12159" s="142"/>
    </x:row>
    <x:row r="12160">
      <x:c r="A12160" s="142"/>
    </x:row>
    <x:row r="12161">
      <x:c r="A12161" s="142"/>
    </x:row>
    <x:row r="12162">
      <x:c r="A12162" s="142"/>
    </x:row>
    <x:row r="12163">
      <x:c r="A12163" s="142"/>
    </x:row>
    <x:row r="12164">
      <x:c r="A12164" s="142"/>
    </x:row>
    <x:row r="12165">
      <x:c r="A12165" s="142"/>
    </x:row>
    <x:row r="12166">
      <x:c r="A12166" s="142"/>
    </x:row>
    <x:row r="12167">
      <x:c r="A12167" s="142"/>
    </x:row>
    <x:row r="12168">
      <x:c r="A12168" s="142"/>
    </x:row>
    <x:row r="12169">
      <x:c r="A12169" s="142"/>
    </x:row>
    <x:row r="12170">
      <x:c r="A12170" s="142"/>
    </x:row>
    <x:row r="12171">
      <x:c r="A12171" s="142"/>
    </x:row>
    <x:row r="12172">
      <x:c r="A12172" s="142"/>
    </x:row>
    <x:row r="12173">
      <x:c r="A12173" s="142"/>
    </x:row>
    <x:row r="12174">
      <x:c r="A12174" s="142"/>
    </x:row>
    <x:row r="12175">
      <x:c r="A12175" s="142"/>
    </x:row>
    <x:row r="12176">
      <x:c r="A12176" s="142"/>
    </x:row>
    <x:row r="12177">
      <x:c r="A12177" s="142"/>
    </x:row>
    <x:row r="12178">
      <x:c r="A12178" s="142"/>
    </x:row>
    <x:row r="12179">
      <x:c r="A12179" s="142"/>
    </x:row>
    <x:row r="12180">
      <x:c r="A12180" s="142"/>
    </x:row>
    <x:row r="12181">
      <x:c r="A12181" s="142"/>
    </x:row>
    <x:row r="12182">
      <x:c r="A12182" s="142"/>
    </x:row>
    <x:row r="12183">
      <x:c r="A12183" s="142"/>
    </x:row>
    <x:row r="12184">
      <x:c r="A12184" s="142"/>
    </x:row>
    <x:row r="12185">
      <x:c r="A12185" s="142"/>
    </x:row>
    <x:row r="12186">
      <x:c r="A12186" s="142"/>
    </x:row>
    <x:row r="12187">
      <x:c r="A12187" s="142"/>
    </x:row>
    <x:row r="12188">
      <x:c r="A12188" s="142"/>
    </x:row>
    <x:row r="12189">
      <x:c r="A12189" s="142"/>
    </x:row>
    <x:row r="12190">
      <x:c r="A12190" s="142"/>
    </x:row>
    <x:row r="12191">
      <x:c r="A12191" s="142"/>
    </x:row>
    <x:row r="12192">
      <x:c r="A12192" s="142"/>
    </x:row>
    <x:row r="12193">
      <x:c r="A12193" s="142"/>
    </x:row>
    <x:row r="12194">
      <x:c r="A12194" s="142"/>
    </x:row>
    <x:row r="12195">
      <x:c r="A12195" s="142"/>
    </x:row>
    <x:row r="12196">
      <x:c r="A12196" s="142"/>
    </x:row>
    <x:row r="12197">
      <x:c r="A12197" s="142"/>
    </x:row>
    <x:row r="12198">
      <x:c r="A12198" s="142"/>
    </x:row>
    <x:row r="12199">
      <x:c r="A12199" s="142"/>
    </x:row>
    <x:row r="12200">
      <x:c r="A12200" s="142"/>
    </x:row>
    <x:row r="12201">
      <x:c r="A12201" s="142"/>
    </x:row>
    <x:row r="12202">
      <x:c r="A12202" s="142"/>
    </x:row>
    <x:row r="12203">
      <x:c r="A12203" s="142"/>
    </x:row>
    <x:row r="12204">
      <x:c r="A12204" s="142"/>
    </x:row>
    <x:row r="12205">
      <x:c r="A12205" s="142"/>
    </x:row>
    <x:row r="12206">
      <x:c r="A12206" s="142"/>
    </x:row>
    <x:row r="12207">
      <x:c r="A12207" s="142"/>
    </x:row>
    <x:row r="12208">
      <x:c r="A12208" s="142"/>
    </x:row>
    <x:row r="12209">
      <x:c r="A12209" s="142"/>
    </x:row>
    <x:row r="12210">
      <x:c r="A12210" s="142"/>
    </x:row>
    <x:row r="12211">
      <x:c r="A12211" s="142"/>
    </x:row>
    <x:row r="12212">
      <x:c r="A12212" s="142"/>
    </x:row>
    <x:row r="12213">
      <x:c r="A12213" s="142"/>
    </x:row>
    <x:row r="12214">
      <x:c r="A12214" s="142"/>
    </x:row>
    <x:row r="12215">
      <x:c r="A12215" s="142"/>
    </x:row>
    <x:row r="12216">
      <x:c r="A12216" s="142"/>
    </x:row>
    <x:row r="12217">
      <x:c r="A12217" s="142"/>
    </x:row>
    <x:row r="12218">
      <x:c r="A12218" s="142"/>
    </x:row>
    <x:row r="12219">
      <x:c r="A12219" s="142"/>
    </x:row>
    <x:row r="12220">
      <x:c r="A12220" s="142"/>
    </x:row>
    <x:row r="12221">
      <x:c r="A12221" s="142"/>
    </x:row>
    <x:row r="12222">
      <x:c r="A12222" s="142"/>
    </x:row>
    <x:row r="12223">
      <x:c r="A12223" s="142"/>
    </x:row>
    <x:row r="12224">
      <x:c r="A12224" s="142"/>
    </x:row>
    <x:row r="12225">
      <x:c r="A12225" s="142"/>
    </x:row>
    <x:row r="12226">
      <x:c r="A12226" s="142"/>
    </x:row>
    <x:row r="12227">
      <x:c r="A12227" s="142"/>
    </x:row>
    <x:row r="12228">
      <x:c r="A12228" s="142"/>
    </x:row>
    <x:row r="12229">
      <x:c r="A12229" s="142"/>
    </x:row>
    <x:row r="12230">
      <x:c r="A12230" s="142"/>
    </x:row>
    <x:row r="12231">
      <x:c r="A12231" s="142"/>
    </x:row>
    <x:row r="12232">
      <x:c r="A12232" s="142"/>
    </x:row>
    <x:row r="12233">
      <x:c r="A12233" s="142"/>
    </x:row>
    <x:row r="12234">
      <x:c r="A12234" s="142"/>
    </x:row>
    <x:row r="12235">
      <x:c r="A12235" s="142"/>
    </x:row>
    <x:row r="12236">
      <x:c r="A12236" s="142"/>
    </x:row>
    <x:row r="12237">
      <x:c r="A12237" s="142"/>
    </x:row>
    <x:row r="12238">
      <x:c r="A12238" s="142"/>
    </x:row>
    <x:row r="12239">
      <x:c r="A12239" s="142"/>
    </x:row>
    <x:row r="12240">
      <x:c r="A12240" s="142"/>
    </x:row>
    <x:row r="12241">
      <x:c r="A12241" s="142"/>
    </x:row>
    <x:row r="12242">
      <x:c r="A12242" s="142"/>
    </x:row>
    <x:row r="12243">
      <x:c r="A12243" s="142"/>
    </x:row>
    <x:row r="12244">
      <x:c r="A12244" s="142"/>
    </x:row>
    <x:row r="12245">
      <x:c r="A12245" s="142"/>
    </x:row>
    <x:row r="12246">
      <x:c r="A12246" s="142"/>
    </x:row>
    <x:row r="12247">
      <x:c r="A12247" s="142"/>
    </x:row>
    <x:row r="12248">
      <x:c r="A12248" s="142"/>
    </x:row>
    <x:row r="12249">
      <x:c r="A12249" s="142"/>
    </x:row>
    <x:row r="12250">
      <x:c r="A12250" s="142"/>
    </x:row>
    <x:row r="12251">
      <x:c r="A12251" s="142"/>
    </x:row>
    <x:row r="12252">
      <x:c r="A12252" s="142"/>
    </x:row>
    <x:row r="12253">
      <x:c r="A12253" s="142"/>
    </x:row>
    <x:row r="12254">
      <x:c r="A12254" s="142"/>
    </x:row>
    <x:row r="12255">
      <x:c r="A12255" s="142"/>
    </x:row>
    <x:row r="12256">
      <x:c r="A12256" s="142"/>
    </x:row>
    <x:row r="12257">
      <x:c r="A12257" s="142"/>
    </x:row>
    <x:row r="12258">
      <x:c r="A12258" s="142"/>
    </x:row>
    <x:row r="12259">
      <x:c r="A12259" s="142"/>
    </x:row>
    <x:row r="12260">
      <x:c r="A12260" s="142"/>
    </x:row>
    <x:row r="12261">
      <x:c r="A12261" s="142"/>
    </x:row>
    <x:row r="12262">
      <x:c r="A12262" s="142"/>
    </x:row>
    <x:row r="12263">
      <x:c r="A12263" s="142"/>
    </x:row>
    <x:row r="12264">
      <x:c r="A12264" s="142"/>
    </x:row>
    <x:row r="12265">
      <x:c r="A12265" s="142"/>
    </x:row>
    <x:row r="12266">
      <x:c r="A12266" s="142"/>
    </x:row>
    <x:row r="12267">
      <x:c r="A12267" s="142"/>
    </x:row>
    <x:row r="12268">
      <x:c r="A12268" s="142"/>
    </x:row>
    <x:row r="12269">
      <x:c r="A12269" s="142"/>
    </x:row>
    <x:row r="12270">
      <x:c r="A12270" s="142"/>
    </x:row>
    <x:row r="12271">
      <x:c r="A12271" s="142"/>
    </x:row>
    <x:row r="12272">
      <x:c r="A12272" s="142"/>
    </x:row>
    <x:row r="12273">
      <x:c r="A12273" s="142"/>
    </x:row>
    <x:row r="12274">
      <x:c r="A12274" s="142"/>
    </x:row>
    <x:row r="12275">
      <x:c r="A12275" s="142"/>
    </x:row>
    <x:row r="12276">
      <x:c r="A12276" s="142"/>
    </x:row>
    <x:row r="12277">
      <x:c r="A12277" s="142"/>
    </x:row>
    <x:row r="12278">
      <x:c r="A12278" s="142"/>
    </x:row>
    <x:row r="12279">
      <x:c r="A12279" s="142"/>
    </x:row>
    <x:row r="12280">
      <x:c r="A12280" s="142"/>
    </x:row>
    <x:row r="12281">
      <x:c r="A12281" s="142"/>
    </x:row>
    <x:row r="12282">
      <x:c r="A12282" s="142"/>
    </x:row>
    <x:row r="12283">
      <x:c r="A12283" s="142"/>
    </x:row>
    <x:row r="12284">
      <x:c r="A12284" s="142"/>
    </x:row>
    <x:row r="12285">
      <x:c r="A12285" s="142"/>
    </x:row>
    <x:row r="12286">
      <x:c r="A12286" s="142"/>
    </x:row>
    <x:row r="12287">
      <x:c r="A12287" s="142"/>
    </x:row>
    <x:row r="12288">
      <x:c r="A12288" s="142"/>
    </x:row>
    <x:row r="12289">
      <x:c r="A12289" s="142"/>
    </x:row>
    <x:row r="12290">
      <x:c r="A12290" s="142"/>
    </x:row>
    <x:row r="12291">
      <x:c r="A12291" s="142"/>
    </x:row>
    <x:row r="12292">
      <x:c r="A12292" s="142"/>
    </x:row>
    <x:row r="12293">
      <x:c r="A12293" s="142"/>
    </x:row>
    <x:row r="12294">
      <x:c r="A12294" s="142"/>
    </x:row>
    <x:row r="12295">
      <x:c r="A12295" s="142"/>
    </x:row>
    <x:row r="12296">
      <x:c r="A12296" s="142"/>
    </x:row>
    <x:row r="12297">
      <x:c r="A12297" s="142"/>
    </x:row>
    <x:row r="12298">
      <x:c r="A12298" s="142"/>
    </x:row>
    <x:row r="12299">
      <x:c r="A12299" s="142"/>
    </x:row>
    <x:row r="12300">
      <x:c r="A12300" s="142"/>
    </x:row>
    <x:row r="12301">
      <x:c r="A12301" s="142"/>
    </x:row>
    <x:row r="12302">
      <x:c r="A12302" s="142"/>
    </x:row>
    <x:row r="12303">
      <x:c r="A12303" s="142"/>
    </x:row>
    <x:row r="12304">
      <x:c r="A12304" s="142"/>
    </x:row>
    <x:row r="12305">
      <x:c r="A12305" s="142"/>
    </x:row>
    <x:row r="12306">
      <x:c r="A12306" s="142"/>
    </x:row>
    <x:row r="12307">
      <x:c r="A12307" s="142"/>
    </x:row>
    <x:row r="12308">
      <x:c r="A12308" s="142"/>
    </x:row>
    <x:row r="12309">
      <x:c r="A12309" s="142"/>
    </x:row>
    <x:row r="12310">
      <x:c r="A12310" s="142"/>
    </x:row>
    <x:row r="12311">
      <x:c r="A12311" s="142"/>
    </x:row>
    <x:row r="12312">
      <x:c r="A12312" s="142"/>
    </x:row>
    <x:row r="12313">
      <x:c r="A12313" s="142"/>
    </x:row>
    <x:row r="12314">
      <x:c r="A12314" s="142"/>
    </x:row>
    <x:row r="12315">
      <x:c r="A12315" s="142"/>
    </x:row>
    <x:row r="12316">
      <x:c r="A12316" s="142"/>
    </x:row>
    <x:row r="12317">
      <x:c r="A12317" s="142"/>
    </x:row>
    <x:row r="12318">
      <x:c r="A12318" s="142"/>
    </x:row>
    <x:row r="12319">
      <x:c r="A12319" s="142"/>
    </x:row>
    <x:row r="12320">
      <x:c r="A12320" s="142"/>
    </x:row>
    <x:row r="12321">
      <x:c r="A12321" s="142"/>
    </x:row>
    <x:row r="12322">
      <x:c r="A12322" s="142"/>
    </x:row>
    <x:row r="12323">
      <x:c r="A12323" s="142"/>
    </x:row>
    <x:row r="12324">
      <x:c r="A12324" s="142"/>
    </x:row>
    <x:row r="12325">
      <x:c r="A12325" s="142"/>
    </x:row>
    <x:row r="12326">
      <x:c r="A12326" s="142"/>
    </x:row>
    <x:row r="12327">
      <x:c r="A12327" s="142"/>
    </x:row>
    <x:row r="12328">
      <x:c r="A12328" s="142"/>
    </x:row>
    <x:row r="12329">
      <x:c r="A12329" s="142"/>
    </x:row>
    <x:row r="12330">
      <x:c r="A12330" s="142"/>
    </x:row>
    <x:row r="12331">
      <x:c r="A12331" s="142"/>
    </x:row>
    <x:row r="12332">
      <x:c r="A12332" s="142"/>
    </x:row>
    <x:row r="12333">
      <x:c r="A12333" s="142"/>
    </x:row>
    <x:row r="12334">
      <x:c r="A12334" s="142"/>
    </x:row>
    <x:row r="12335">
      <x:c r="A12335" s="142"/>
    </x:row>
    <x:row r="12336">
      <x:c r="A12336" s="142"/>
    </x:row>
    <x:row r="12337">
      <x:c r="A12337" s="142"/>
    </x:row>
    <x:row r="12338">
      <x:c r="A12338" s="142"/>
    </x:row>
    <x:row r="12339">
      <x:c r="A12339" s="142"/>
    </x:row>
    <x:row r="12340">
      <x:c r="A12340" s="142"/>
    </x:row>
    <x:row r="12341">
      <x:c r="A12341" s="142"/>
    </x:row>
    <x:row r="12342">
      <x:c r="A12342" s="142"/>
    </x:row>
    <x:row r="12343">
      <x:c r="A12343" s="142"/>
    </x:row>
    <x:row r="12344">
      <x:c r="A12344" s="142"/>
    </x:row>
    <x:row r="12345">
      <x:c r="A12345" s="142"/>
    </x:row>
    <x:row r="12346">
      <x:c r="A12346" s="142"/>
    </x:row>
    <x:row r="12347">
      <x:c r="A12347" s="142"/>
    </x:row>
    <x:row r="12348">
      <x:c r="A12348" s="142"/>
    </x:row>
    <x:row r="12349">
      <x:c r="A12349" s="142"/>
    </x:row>
    <x:row r="12350">
      <x:c r="A12350" s="142"/>
    </x:row>
    <x:row r="12351">
      <x:c r="A12351" s="142"/>
    </x:row>
    <x:row r="12352">
      <x:c r="A12352" s="142"/>
    </x:row>
    <x:row r="12353">
      <x:c r="A12353" s="142"/>
    </x:row>
    <x:row r="12354">
      <x:c r="A12354" s="142"/>
    </x:row>
    <x:row r="12355">
      <x:c r="A12355" s="142"/>
    </x:row>
    <x:row r="12356">
      <x:c r="A12356" s="142"/>
    </x:row>
    <x:row r="12357">
      <x:c r="A12357" s="142"/>
    </x:row>
    <x:row r="12358">
      <x:c r="A12358" s="142"/>
    </x:row>
    <x:row r="12359">
      <x:c r="A12359" s="142"/>
    </x:row>
    <x:row r="12360">
      <x:c r="A12360" s="142"/>
    </x:row>
    <x:row r="12361">
      <x:c r="A12361" s="142"/>
    </x:row>
    <x:row r="12362">
      <x:c r="A12362" s="142"/>
    </x:row>
    <x:row r="12363">
      <x:c r="A12363" s="142"/>
    </x:row>
    <x:row r="12364">
      <x:c r="A12364" s="142"/>
    </x:row>
    <x:row r="12365">
      <x:c r="A12365" s="142"/>
    </x:row>
    <x:row r="12366">
      <x:c r="A12366" s="142"/>
    </x:row>
    <x:row r="12367">
      <x:c r="A12367" s="142"/>
    </x:row>
    <x:row r="12368">
      <x:c r="A12368" s="142"/>
    </x:row>
    <x:row r="12369">
      <x:c r="A12369" s="142"/>
    </x:row>
    <x:row r="12370">
      <x:c r="A12370" s="142"/>
    </x:row>
    <x:row r="12371">
      <x:c r="A12371" s="142"/>
    </x:row>
    <x:row r="12372">
      <x:c r="A12372" s="142"/>
    </x:row>
    <x:row r="12373">
      <x:c r="A12373" s="142"/>
    </x:row>
    <x:row r="12374">
      <x:c r="A12374" s="142"/>
    </x:row>
    <x:row r="12375">
      <x:c r="A12375" s="142"/>
    </x:row>
    <x:row r="12376">
      <x:c r="A12376" s="142"/>
    </x:row>
    <x:row r="12377">
      <x:c r="A12377" s="142"/>
    </x:row>
    <x:row r="12378">
      <x:c r="A12378" s="142"/>
    </x:row>
    <x:row r="12379">
      <x:c r="A12379" s="142"/>
    </x:row>
    <x:row r="12380">
      <x:c r="A12380" s="142"/>
    </x:row>
    <x:row r="12381">
      <x:c r="A12381" s="142"/>
    </x:row>
    <x:row r="12382">
      <x:c r="A12382" s="142"/>
    </x:row>
    <x:row r="12383">
      <x:c r="A12383" s="142"/>
    </x:row>
    <x:row r="12384">
      <x:c r="A12384" s="142"/>
    </x:row>
    <x:row r="12385">
      <x:c r="A12385" s="142"/>
    </x:row>
    <x:row r="12386">
      <x:c r="A12386" s="142"/>
    </x:row>
    <x:row r="12387">
      <x:c r="A12387" s="142"/>
    </x:row>
    <x:row r="12388">
      <x:c r="A12388" s="142"/>
    </x:row>
    <x:row r="12389">
      <x:c r="A12389" s="142"/>
    </x:row>
    <x:row r="12390">
      <x:c r="A12390" s="142"/>
    </x:row>
    <x:row r="12391">
      <x:c r="A12391" s="142"/>
    </x:row>
    <x:row r="12392">
      <x:c r="A12392" s="142"/>
    </x:row>
    <x:row r="12393">
      <x:c r="A12393" s="142"/>
    </x:row>
    <x:row r="12394">
      <x:c r="A12394" s="142"/>
    </x:row>
    <x:row r="12395">
      <x:c r="A12395" s="142"/>
    </x:row>
    <x:row r="12396">
      <x:c r="A12396" s="142"/>
    </x:row>
    <x:row r="12397">
      <x:c r="A12397" s="142"/>
    </x:row>
    <x:row r="12398">
      <x:c r="A12398" s="142"/>
    </x:row>
    <x:row r="12399">
      <x:c r="A12399" s="142"/>
    </x:row>
    <x:row r="12400">
      <x:c r="A12400" s="142"/>
    </x:row>
    <x:row r="12401">
      <x:c r="A12401" s="142"/>
    </x:row>
    <x:row r="12402">
      <x:c r="A12402" s="142"/>
    </x:row>
    <x:row r="12403">
      <x:c r="A12403" s="142"/>
    </x:row>
    <x:row r="12404">
      <x:c r="A12404" s="142"/>
    </x:row>
    <x:row r="12405">
      <x:c r="A12405" s="142"/>
    </x:row>
    <x:row r="12406">
      <x:c r="A12406" s="142"/>
    </x:row>
    <x:row r="12407">
      <x:c r="A12407" s="142"/>
    </x:row>
    <x:row r="12408">
      <x:c r="A12408" s="142"/>
    </x:row>
    <x:row r="12409">
      <x:c r="A12409" s="142"/>
    </x:row>
    <x:row r="12410">
      <x:c r="A12410" s="142"/>
    </x:row>
    <x:row r="12411">
      <x:c r="A12411" s="142"/>
    </x:row>
    <x:row r="12412">
      <x:c r="A12412" s="142"/>
    </x:row>
    <x:row r="12413">
      <x:c r="A12413" s="142"/>
    </x:row>
    <x:row r="12414">
      <x:c r="A12414" s="142"/>
    </x:row>
    <x:row r="12415">
      <x:c r="A12415" s="142"/>
    </x:row>
    <x:row r="12416">
      <x:c r="A12416" s="142"/>
    </x:row>
    <x:row r="12417">
      <x:c r="A12417" s="142"/>
    </x:row>
    <x:row r="12418">
      <x:c r="A12418" s="142"/>
    </x:row>
    <x:row r="12419">
      <x:c r="A12419" s="142"/>
    </x:row>
    <x:row r="12420">
      <x:c r="A12420" s="142"/>
    </x:row>
    <x:row r="12421">
      <x:c r="A12421" s="142"/>
    </x:row>
    <x:row r="12422">
      <x:c r="A12422" s="142"/>
    </x:row>
    <x:row r="12423">
      <x:c r="A12423" s="142"/>
    </x:row>
    <x:row r="12424">
      <x:c r="A12424" s="142"/>
    </x:row>
    <x:row r="12425">
      <x:c r="A12425" s="142"/>
    </x:row>
    <x:row r="12426">
      <x:c r="A12426" s="142"/>
    </x:row>
    <x:row r="12427">
      <x:c r="A12427" s="142"/>
    </x:row>
    <x:row r="12428">
      <x:c r="A12428" s="142"/>
    </x:row>
    <x:row r="12429">
      <x:c r="A12429" s="142"/>
    </x:row>
    <x:row r="12430">
      <x:c r="A12430" s="142"/>
    </x:row>
    <x:row r="12431">
      <x:c r="A12431" s="142"/>
    </x:row>
    <x:row r="12432">
      <x:c r="A12432" s="142"/>
    </x:row>
    <x:row r="12433">
      <x:c r="A12433" s="142"/>
    </x:row>
    <x:row r="12434">
      <x:c r="A12434" s="142"/>
    </x:row>
    <x:row r="12435">
      <x:c r="A12435" s="142"/>
    </x:row>
    <x:row r="12436">
      <x:c r="A12436" s="142"/>
    </x:row>
    <x:row r="12437">
      <x:c r="A12437" s="142"/>
    </x:row>
    <x:row r="12438">
      <x:c r="A12438" s="142"/>
    </x:row>
    <x:row r="12439">
      <x:c r="A12439" s="142"/>
    </x:row>
    <x:row r="12440">
      <x:c r="A12440" s="142"/>
    </x:row>
    <x:row r="12441">
      <x:c r="A12441" s="142"/>
    </x:row>
    <x:row r="12442">
      <x:c r="A12442" s="142"/>
    </x:row>
    <x:row r="12443">
      <x:c r="A12443" s="142"/>
    </x:row>
    <x:row r="12444">
      <x:c r="A12444" s="142"/>
    </x:row>
    <x:row r="12445">
      <x:c r="A12445" s="142"/>
    </x:row>
    <x:row r="12446">
      <x:c r="A12446" s="142"/>
    </x:row>
    <x:row r="12447">
      <x:c r="A12447" s="142"/>
    </x:row>
    <x:row r="12448">
      <x:c r="A12448" s="142"/>
    </x:row>
    <x:row r="12449">
      <x:c r="A12449" s="142"/>
    </x:row>
    <x:row r="12450">
      <x:c r="A12450" s="142"/>
    </x:row>
    <x:row r="12451">
      <x:c r="A12451" s="142"/>
    </x:row>
    <x:row r="12452">
      <x:c r="A12452" s="142"/>
    </x:row>
    <x:row r="12453">
      <x:c r="A12453" s="142"/>
    </x:row>
    <x:row r="12454">
      <x:c r="A12454" s="142"/>
    </x:row>
    <x:row r="12455">
      <x:c r="A12455" s="142"/>
    </x:row>
    <x:row r="12456">
      <x:c r="A12456" s="142"/>
    </x:row>
    <x:row r="12457">
      <x:c r="A12457" s="142"/>
    </x:row>
    <x:row r="12458">
      <x:c r="A12458" s="142"/>
    </x:row>
    <x:row r="12459">
      <x:c r="A12459" s="142"/>
    </x:row>
    <x:row r="12460">
      <x:c r="A12460" s="142"/>
    </x:row>
    <x:row r="12461">
      <x:c r="A12461" s="142"/>
    </x:row>
    <x:row r="12462">
      <x:c r="A12462" s="142"/>
    </x:row>
    <x:row r="12463">
      <x:c r="A12463" s="142"/>
    </x:row>
    <x:row r="12464">
      <x:c r="A12464" s="142"/>
    </x:row>
    <x:row r="12465">
      <x:c r="A12465" s="142"/>
    </x:row>
    <x:row r="12466">
      <x:c r="A12466" s="142"/>
    </x:row>
    <x:row r="12467">
      <x:c r="A12467" s="142"/>
    </x:row>
    <x:row r="12468">
      <x:c r="A12468" s="142"/>
    </x:row>
    <x:row r="12469">
      <x:c r="A12469" s="142"/>
    </x:row>
    <x:row r="12470">
      <x:c r="A12470" s="142"/>
    </x:row>
    <x:row r="12471">
      <x:c r="A12471" s="142"/>
    </x:row>
    <x:row r="12472">
      <x:c r="A12472" s="142"/>
    </x:row>
    <x:row r="12473">
      <x:c r="A12473" s="142"/>
    </x:row>
    <x:row r="12474">
      <x:c r="A12474" s="142"/>
    </x:row>
    <x:row r="12475">
      <x:c r="A12475" s="142"/>
    </x:row>
    <x:row r="12476">
      <x:c r="A12476" s="142"/>
    </x:row>
    <x:row r="12477">
      <x:c r="A12477" s="142"/>
    </x:row>
    <x:row r="12478">
      <x:c r="A12478" s="142"/>
    </x:row>
    <x:row r="12479">
      <x:c r="A12479" s="142"/>
    </x:row>
    <x:row r="12480">
      <x:c r="A12480" s="142"/>
    </x:row>
    <x:row r="12481">
      <x:c r="A12481" s="142"/>
    </x:row>
    <x:row r="12482">
      <x:c r="A12482" s="142"/>
    </x:row>
    <x:row r="12483">
      <x:c r="A12483" s="142"/>
    </x:row>
    <x:row r="12484">
      <x:c r="A12484" s="142"/>
    </x:row>
    <x:row r="12485">
      <x:c r="A12485" s="142"/>
    </x:row>
    <x:row r="12486">
      <x:c r="A12486" s="142"/>
    </x:row>
    <x:row r="12487">
      <x:c r="A12487" s="142"/>
    </x:row>
    <x:row r="12488">
      <x:c r="A12488" s="142"/>
    </x:row>
    <x:row r="12489">
      <x:c r="A12489" s="142"/>
    </x:row>
    <x:row r="12490">
      <x:c r="A12490" s="142"/>
    </x:row>
    <x:row r="12491">
      <x:c r="A12491" s="142"/>
    </x:row>
    <x:row r="12492">
      <x:c r="A12492" s="142"/>
    </x:row>
    <x:row r="12493">
      <x:c r="A12493" s="142"/>
    </x:row>
    <x:row r="12494">
      <x:c r="A12494" s="142"/>
    </x:row>
    <x:row r="12495">
      <x:c r="A12495" s="142"/>
    </x:row>
    <x:row r="12496">
      <x:c r="A12496" s="142"/>
    </x:row>
    <x:row r="12497">
      <x:c r="A12497" s="142"/>
    </x:row>
    <x:row r="12498">
      <x:c r="A12498" s="142"/>
    </x:row>
    <x:row r="12499">
      <x:c r="A12499" s="142"/>
    </x:row>
    <x:row r="12500">
      <x:c r="A12500" s="142"/>
    </x:row>
    <x:row r="12501">
      <x:c r="A12501" s="142"/>
    </x:row>
    <x:row r="12502">
      <x:c r="A12502" s="142"/>
    </x:row>
    <x:row r="12503">
      <x:c r="A12503" s="142"/>
    </x:row>
    <x:row r="12504">
      <x:c r="A12504" s="142"/>
    </x:row>
    <x:row r="12505">
      <x:c r="A12505" s="142"/>
    </x:row>
    <x:row r="12506">
      <x:c r="A12506" s="142"/>
    </x:row>
    <x:row r="12507">
      <x:c r="A12507" s="142"/>
    </x:row>
    <x:row r="12508">
      <x:c r="A12508" s="142"/>
    </x:row>
    <x:row r="12509">
      <x:c r="A12509" s="142"/>
    </x:row>
    <x:row r="12510">
      <x:c r="A12510" s="142"/>
    </x:row>
    <x:row r="12511">
      <x:c r="A12511" s="142"/>
    </x:row>
    <x:row r="12512">
      <x:c r="A12512" s="142"/>
    </x:row>
    <x:row r="12513">
      <x:c r="A12513" s="142"/>
    </x:row>
    <x:row r="12514">
      <x:c r="A12514" s="142"/>
    </x:row>
    <x:row r="12515">
      <x:c r="A12515" s="142"/>
    </x:row>
    <x:row r="12516">
      <x:c r="A12516" s="142"/>
    </x:row>
    <x:row r="12517">
      <x:c r="A12517" s="142"/>
    </x:row>
    <x:row r="12518">
      <x:c r="A12518" s="142"/>
    </x:row>
    <x:row r="12519">
      <x:c r="A12519" s="142"/>
    </x:row>
    <x:row r="12520">
      <x:c r="A12520" s="142"/>
    </x:row>
    <x:row r="12521">
      <x:c r="A12521" s="142"/>
    </x:row>
    <x:row r="12522">
      <x:c r="A12522" s="142"/>
    </x:row>
    <x:row r="12523">
      <x:c r="A12523" s="142"/>
    </x:row>
    <x:row r="12524">
      <x:c r="A12524" s="142"/>
    </x:row>
    <x:row r="12525">
      <x:c r="A12525" s="142"/>
    </x:row>
    <x:row r="12526">
      <x:c r="A12526" s="142"/>
    </x:row>
    <x:row r="12527">
      <x:c r="A12527" s="142"/>
    </x:row>
    <x:row r="12528">
      <x:c r="A12528" s="142"/>
    </x:row>
    <x:row r="12529">
      <x:c r="A12529" s="142"/>
    </x:row>
    <x:row r="12530">
      <x:c r="A12530" s="142"/>
    </x:row>
    <x:row r="12531">
      <x:c r="A12531" s="142"/>
    </x:row>
    <x:row r="12532">
      <x:c r="A12532" s="142"/>
    </x:row>
    <x:row r="12533">
      <x:c r="A12533" s="142"/>
    </x:row>
    <x:row r="12534">
      <x:c r="A12534" s="142"/>
    </x:row>
    <x:row r="12535">
      <x:c r="A12535" s="142"/>
    </x:row>
    <x:row r="12536">
      <x:c r="A12536" s="142"/>
    </x:row>
    <x:row r="12537">
      <x:c r="A12537" s="142"/>
    </x:row>
    <x:row r="12538">
      <x:c r="A12538" s="142"/>
    </x:row>
    <x:row r="12539">
      <x:c r="A12539" s="142"/>
    </x:row>
    <x:row r="12540">
      <x:c r="A12540" s="142"/>
    </x:row>
    <x:row r="12541">
      <x:c r="A12541" s="142"/>
    </x:row>
    <x:row r="12542">
      <x:c r="A12542" s="142"/>
    </x:row>
    <x:row r="12543">
      <x:c r="A12543" s="142"/>
    </x:row>
    <x:row r="12544">
      <x:c r="A12544" s="142"/>
    </x:row>
    <x:row r="12545">
      <x:c r="A12545" s="142"/>
    </x:row>
    <x:row r="12546">
      <x:c r="A12546" s="142"/>
    </x:row>
    <x:row r="12547">
      <x:c r="A12547" s="142"/>
    </x:row>
    <x:row r="12548">
      <x:c r="A12548" s="142"/>
    </x:row>
    <x:row r="12549">
      <x:c r="A12549" s="142"/>
    </x:row>
    <x:row r="12550">
      <x:c r="A12550" s="142"/>
    </x:row>
    <x:row r="12551">
      <x:c r="A12551" s="142"/>
    </x:row>
    <x:row r="12552">
      <x:c r="A12552" s="142"/>
    </x:row>
    <x:row r="12553">
      <x:c r="A12553" s="142"/>
    </x:row>
    <x:row r="12554">
      <x:c r="A12554" s="142"/>
    </x:row>
    <x:row r="12555">
      <x:c r="A12555" s="142"/>
    </x:row>
    <x:row r="12556">
      <x:c r="A12556" s="142"/>
    </x:row>
    <x:row r="12557">
      <x:c r="A12557" s="142"/>
    </x:row>
    <x:row r="12558">
      <x:c r="A12558" s="142"/>
    </x:row>
    <x:row r="12559">
      <x:c r="A12559" s="142"/>
    </x:row>
    <x:row r="12560">
      <x:c r="A12560" s="142"/>
    </x:row>
    <x:row r="12561">
      <x:c r="A12561" s="142"/>
    </x:row>
    <x:row r="12562">
      <x:c r="A12562" s="142"/>
    </x:row>
    <x:row r="12563">
      <x:c r="A12563" s="142"/>
    </x:row>
    <x:row r="12564">
      <x:c r="A12564" s="142"/>
    </x:row>
    <x:row r="12565">
      <x:c r="A12565" s="142"/>
    </x:row>
    <x:row r="12566">
      <x:c r="A12566" s="142"/>
    </x:row>
    <x:row r="12567">
      <x:c r="A12567" s="142"/>
    </x:row>
    <x:row r="12568">
      <x:c r="A12568" s="142"/>
    </x:row>
    <x:row r="12569">
      <x:c r="A12569" s="142"/>
    </x:row>
    <x:row r="12570">
      <x:c r="A12570" s="142"/>
    </x:row>
    <x:row r="12571">
      <x:c r="A12571" s="142"/>
    </x:row>
    <x:row r="12572">
      <x:c r="A12572" s="142"/>
    </x:row>
    <x:row r="12573">
      <x:c r="A12573" s="142"/>
    </x:row>
    <x:row r="12574">
      <x:c r="A12574" s="142"/>
    </x:row>
    <x:row r="12575">
      <x:c r="A12575" s="142"/>
    </x:row>
    <x:row r="12576">
      <x:c r="A12576" s="142"/>
    </x:row>
    <x:row r="12577">
      <x:c r="A12577" s="142"/>
    </x:row>
    <x:row r="12578">
      <x:c r="A12578" s="142"/>
    </x:row>
    <x:row r="12579">
      <x:c r="A12579" s="142"/>
    </x:row>
    <x:row r="12580">
      <x:c r="A12580" s="142"/>
    </x:row>
    <x:row r="12581">
      <x:c r="A12581" s="142"/>
    </x:row>
    <x:row r="12582">
      <x:c r="A12582" s="142"/>
    </x:row>
    <x:row r="12583">
      <x:c r="A12583" s="142"/>
    </x:row>
    <x:row r="12584">
      <x:c r="A12584" s="142"/>
    </x:row>
    <x:row r="12585">
      <x:c r="A12585" s="142"/>
    </x:row>
    <x:row r="12586">
      <x:c r="A12586" s="142"/>
    </x:row>
    <x:row r="12587">
      <x:c r="A12587" s="142"/>
    </x:row>
    <x:row r="12588">
      <x:c r="A12588" s="142"/>
    </x:row>
    <x:row r="12589">
      <x:c r="A12589" s="142"/>
    </x:row>
    <x:row r="12590">
      <x:c r="A12590" s="142"/>
    </x:row>
    <x:row r="12591">
      <x:c r="A12591" s="142"/>
    </x:row>
    <x:row r="12592">
      <x:c r="A12592" s="142"/>
    </x:row>
    <x:row r="12593">
      <x:c r="A12593" s="142"/>
    </x:row>
    <x:row r="12594">
      <x:c r="A12594" s="142"/>
    </x:row>
    <x:row r="12595">
      <x:c r="A12595" s="142"/>
    </x:row>
    <x:row r="12596">
      <x:c r="A12596" s="142"/>
    </x:row>
    <x:row r="12597">
      <x:c r="A12597" s="142"/>
    </x:row>
    <x:row r="12598">
      <x:c r="A12598" s="142"/>
    </x:row>
    <x:row r="12599">
      <x:c r="A12599" s="142"/>
    </x:row>
    <x:row r="12600">
      <x:c r="A12600" s="142"/>
    </x:row>
    <x:row r="12601">
      <x:c r="A12601" s="142"/>
    </x:row>
    <x:row r="12602">
      <x:c r="A12602" s="142"/>
    </x:row>
    <x:row r="12603">
      <x:c r="A12603" s="142"/>
    </x:row>
    <x:row r="12604">
      <x:c r="A12604" s="142"/>
    </x:row>
    <x:row r="12605">
      <x:c r="A12605" s="142"/>
    </x:row>
    <x:row r="12606">
      <x:c r="A12606" s="142"/>
    </x:row>
    <x:row r="12607">
      <x:c r="A12607" s="142"/>
    </x:row>
    <x:row r="12608">
      <x:c r="A12608" s="142"/>
    </x:row>
    <x:row r="12609">
      <x:c r="A12609" s="142"/>
    </x:row>
    <x:row r="12610">
      <x:c r="A12610" s="142"/>
    </x:row>
    <x:row r="12611">
      <x:c r="A12611" s="142"/>
    </x:row>
    <x:row r="12612">
      <x:c r="A12612" s="142"/>
    </x:row>
    <x:row r="12613">
      <x:c r="A12613" s="142"/>
    </x:row>
    <x:row r="12614">
      <x:c r="A12614" s="142"/>
    </x:row>
    <x:row r="12615">
      <x:c r="A12615" s="142"/>
    </x:row>
    <x:row r="12616">
      <x:c r="A12616" s="142"/>
    </x:row>
    <x:row r="12617">
      <x:c r="A12617" s="142"/>
    </x:row>
    <x:row r="12618">
      <x:c r="A12618" s="142"/>
    </x:row>
    <x:row r="12619">
      <x:c r="A12619" s="142"/>
    </x:row>
    <x:row r="12620">
      <x:c r="A12620" s="142"/>
    </x:row>
    <x:row r="12621">
      <x:c r="A12621" s="142"/>
    </x:row>
    <x:row r="12622">
      <x:c r="A12622" s="142"/>
    </x:row>
    <x:row r="12623">
      <x:c r="A12623" s="142"/>
    </x:row>
    <x:row r="12624">
      <x:c r="A12624" s="142"/>
    </x:row>
    <x:row r="12625">
      <x:c r="A12625" s="142"/>
    </x:row>
    <x:row r="12626">
      <x:c r="A12626" s="142"/>
    </x:row>
    <x:row r="12627">
      <x:c r="A12627" s="142"/>
    </x:row>
    <x:row r="12628">
      <x:c r="A12628" s="142"/>
    </x:row>
    <x:row r="12629">
      <x:c r="A12629" s="142"/>
    </x:row>
    <x:row r="12630">
      <x:c r="A12630" s="142"/>
    </x:row>
    <x:row r="12631">
      <x:c r="A12631" s="142"/>
    </x:row>
    <x:row r="12632">
      <x:c r="A12632" s="142"/>
    </x:row>
    <x:row r="12633">
      <x:c r="A12633" s="142"/>
    </x:row>
    <x:row r="12634">
      <x:c r="A12634" s="142"/>
    </x:row>
    <x:row r="12635">
      <x:c r="A12635" s="142"/>
    </x:row>
    <x:row r="12636">
      <x:c r="A12636" s="142"/>
    </x:row>
    <x:row r="12637">
      <x:c r="A12637" s="142"/>
    </x:row>
    <x:row r="12638">
      <x:c r="A12638" s="142"/>
    </x:row>
    <x:row r="12639">
      <x:c r="A12639" s="142"/>
    </x:row>
    <x:row r="12640">
      <x:c r="A12640" s="142"/>
    </x:row>
    <x:row r="12641">
      <x:c r="A12641" s="142"/>
    </x:row>
    <x:row r="12642">
      <x:c r="A12642" s="142"/>
    </x:row>
    <x:row r="12643">
      <x:c r="A12643" s="142"/>
    </x:row>
    <x:row r="12644">
      <x:c r="A12644" s="142"/>
    </x:row>
    <x:row r="12645">
      <x:c r="A12645" s="142"/>
    </x:row>
    <x:row r="12646">
      <x:c r="A12646" s="142"/>
    </x:row>
    <x:row r="12647">
      <x:c r="A12647" s="142"/>
    </x:row>
    <x:row r="12648">
      <x:c r="A12648" s="142"/>
    </x:row>
    <x:row r="12649">
      <x:c r="A12649" s="142"/>
    </x:row>
    <x:row r="12650">
      <x:c r="A12650" s="142"/>
    </x:row>
    <x:row r="12651">
      <x:c r="A12651" s="142"/>
    </x:row>
    <x:row r="12652">
      <x:c r="A12652" s="142"/>
    </x:row>
    <x:row r="12653">
      <x:c r="A12653" s="142"/>
    </x:row>
    <x:row r="12654">
      <x:c r="A12654" s="142"/>
    </x:row>
    <x:row r="12655">
      <x:c r="A12655" s="142"/>
    </x:row>
    <x:row r="12656">
      <x:c r="A12656" s="142"/>
    </x:row>
    <x:row r="12657">
      <x:c r="A12657" s="142"/>
    </x:row>
    <x:row r="12658">
      <x:c r="A12658" s="142"/>
    </x:row>
    <x:row r="12659">
      <x:c r="A12659" s="142"/>
    </x:row>
    <x:row r="12660">
      <x:c r="A12660" s="142"/>
    </x:row>
    <x:row r="12661">
      <x:c r="A12661" s="142"/>
    </x:row>
    <x:row r="12662">
      <x:c r="A12662" s="142"/>
    </x:row>
    <x:row r="12663">
      <x:c r="A12663" s="142"/>
    </x:row>
    <x:row r="12664">
      <x:c r="A12664" s="142"/>
    </x:row>
    <x:row r="12665">
      <x:c r="A12665" s="142"/>
    </x:row>
    <x:row r="12666">
      <x:c r="A12666" s="142"/>
    </x:row>
    <x:row r="12667">
      <x:c r="A12667" s="142"/>
    </x:row>
    <x:row r="12668">
      <x:c r="A12668" s="142"/>
    </x:row>
    <x:row r="12669">
      <x:c r="A12669" s="142"/>
    </x:row>
    <x:row r="12670">
      <x:c r="A12670" s="142"/>
    </x:row>
    <x:row r="12671">
      <x:c r="A12671" s="142"/>
    </x:row>
    <x:row r="12672">
      <x:c r="A12672" s="142"/>
    </x:row>
    <x:row r="12673">
      <x:c r="A12673" s="142"/>
    </x:row>
    <x:row r="12674">
      <x:c r="A12674" s="142"/>
    </x:row>
    <x:row r="12675">
      <x:c r="A12675" s="142"/>
    </x:row>
    <x:row r="12676">
      <x:c r="A12676" s="142"/>
    </x:row>
    <x:row r="12677">
      <x:c r="A12677" s="142"/>
    </x:row>
    <x:row r="12678">
      <x:c r="A12678" s="142"/>
    </x:row>
    <x:row r="12679">
      <x:c r="A12679" s="142"/>
    </x:row>
    <x:row r="12680">
      <x:c r="A12680" s="142"/>
    </x:row>
    <x:row r="12681">
      <x:c r="A12681" s="142"/>
    </x:row>
    <x:row r="12682">
      <x:c r="A12682" s="142"/>
    </x:row>
    <x:row r="12683">
      <x:c r="A12683" s="142"/>
    </x:row>
    <x:row r="12684">
      <x:c r="A12684" s="142"/>
    </x:row>
    <x:row r="12685">
      <x:c r="A12685" s="142"/>
    </x:row>
    <x:row r="12686">
      <x:c r="A12686" s="142"/>
    </x:row>
    <x:row r="12687">
      <x:c r="A12687" s="142"/>
    </x:row>
    <x:row r="12688">
      <x:c r="A12688" s="142"/>
    </x:row>
    <x:row r="12689">
      <x:c r="A12689" s="142"/>
    </x:row>
    <x:row r="12690">
      <x:c r="A12690" s="142"/>
    </x:row>
    <x:row r="12691">
      <x:c r="A12691" s="142"/>
    </x:row>
    <x:row r="12692">
      <x:c r="A12692" s="142"/>
    </x:row>
    <x:row r="12693">
      <x:c r="A12693" s="142"/>
    </x:row>
    <x:row r="12694">
      <x:c r="A12694" s="142"/>
    </x:row>
    <x:row r="12695">
      <x:c r="A12695" s="142"/>
    </x:row>
    <x:row r="12696">
      <x:c r="A12696" s="142"/>
    </x:row>
    <x:row r="12697">
      <x:c r="A12697" s="142"/>
    </x:row>
    <x:row r="12698">
      <x:c r="A12698" s="142"/>
    </x:row>
    <x:row r="12699">
      <x:c r="A12699" s="142"/>
    </x:row>
    <x:row r="12700">
      <x:c r="A12700" s="142"/>
    </x:row>
    <x:row r="12701">
      <x:c r="A12701" s="142"/>
    </x:row>
    <x:row r="12702">
      <x:c r="A12702" s="142"/>
    </x:row>
    <x:row r="12703">
      <x:c r="A12703" s="142"/>
    </x:row>
    <x:row r="12704">
      <x:c r="A12704" s="142"/>
    </x:row>
    <x:row r="12705">
      <x:c r="A12705" s="142"/>
    </x:row>
    <x:row r="12706">
      <x:c r="A12706" s="142"/>
    </x:row>
    <x:row r="12707">
      <x:c r="A12707" s="142"/>
    </x:row>
    <x:row r="12708">
      <x:c r="A12708" s="142"/>
    </x:row>
    <x:row r="12709">
      <x:c r="A12709" s="142"/>
    </x:row>
    <x:row r="12710">
      <x:c r="A12710" s="142"/>
    </x:row>
    <x:row r="12711">
      <x:c r="A12711" s="142"/>
    </x:row>
    <x:row r="12712">
      <x:c r="A12712" s="142"/>
    </x:row>
    <x:row r="12713">
      <x:c r="A12713" s="142"/>
    </x:row>
    <x:row r="12714">
      <x:c r="A12714" s="142"/>
    </x:row>
    <x:row r="12715">
      <x:c r="A12715" s="142"/>
    </x:row>
    <x:row r="12716">
      <x:c r="A12716" s="142"/>
    </x:row>
    <x:row r="12717">
      <x:c r="A12717" s="142"/>
    </x:row>
    <x:row r="12718">
      <x:c r="A12718" s="142"/>
    </x:row>
    <x:row r="12719">
      <x:c r="A12719" s="142"/>
    </x:row>
    <x:row r="12720">
      <x:c r="A12720" s="142"/>
    </x:row>
    <x:row r="12721">
      <x:c r="A12721" s="142"/>
    </x:row>
    <x:row r="12722">
      <x:c r="A12722" s="142"/>
    </x:row>
    <x:row r="12723">
      <x:c r="A12723" s="142"/>
    </x:row>
    <x:row r="12724">
      <x:c r="A12724" s="142"/>
    </x:row>
    <x:row r="12725">
      <x:c r="A12725" s="142"/>
    </x:row>
    <x:row r="12726">
      <x:c r="A12726" s="142"/>
    </x:row>
    <x:row r="12727">
      <x:c r="A12727" s="142"/>
    </x:row>
    <x:row r="12728">
      <x:c r="A12728" s="142"/>
    </x:row>
    <x:row r="12729">
      <x:c r="A12729" s="142"/>
    </x:row>
    <x:row r="12730">
      <x:c r="A12730" s="142"/>
    </x:row>
    <x:row r="12731">
      <x:c r="A12731" s="142"/>
    </x:row>
    <x:row r="12732">
      <x:c r="A12732" s="142"/>
    </x:row>
    <x:row r="12733">
      <x:c r="A12733" s="142"/>
    </x:row>
    <x:row r="12734">
      <x:c r="A12734" s="142"/>
    </x:row>
    <x:row r="12735">
      <x:c r="A12735" s="142"/>
    </x:row>
    <x:row r="12736">
      <x:c r="A12736" s="142"/>
    </x:row>
    <x:row r="12737">
      <x:c r="A12737" s="142"/>
    </x:row>
    <x:row r="12738">
      <x:c r="A12738" s="142"/>
    </x:row>
    <x:row r="12739">
      <x:c r="A12739" s="142"/>
    </x:row>
    <x:row r="12740">
      <x:c r="A12740" s="142"/>
    </x:row>
    <x:row r="12741">
      <x:c r="A12741" s="142"/>
    </x:row>
    <x:row r="12742">
      <x:c r="A12742" s="142"/>
    </x:row>
    <x:row r="12743">
      <x:c r="A12743" s="142"/>
    </x:row>
    <x:row r="12744">
      <x:c r="A12744" s="142"/>
    </x:row>
    <x:row r="12745">
      <x:c r="A12745" s="142"/>
    </x:row>
    <x:row r="12746">
      <x:c r="A12746" s="142"/>
    </x:row>
    <x:row r="12747">
      <x:c r="A12747" s="142"/>
    </x:row>
    <x:row r="12748">
      <x:c r="A12748" s="142"/>
    </x:row>
    <x:row r="12749">
      <x:c r="A12749" s="142"/>
    </x:row>
    <x:row r="12750">
      <x:c r="A12750" s="142"/>
    </x:row>
    <x:row r="12751">
      <x:c r="A12751" s="142"/>
    </x:row>
    <x:row r="12752">
      <x:c r="A12752" s="142"/>
    </x:row>
    <x:row r="12753">
      <x:c r="A12753" s="142"/>
    </x:row>
    <x:row r="12754">
      <x:c r="A12754" s="142"/>
    </x:row>
    <x:row r="12755">
      <x:c r="A12755" s="142"/>
    </x:row>
    <x:row r="12756">
      <x:c r="A12756" s="142"/>
    </x:row>
    <x:row r="12757">
      <x:c r="A12757" s="142"/>
    </x:row>
    <x:row r="12758">
      <x:c r="A12758" s="142"/>
    </x:row>
    <x:row r="12759">
      <x:c r="A12759" s="142"/>
    </x:row>
    <x:row r="12760">
      <x:c r="A12760" s="142"/>
    </x:row>
    <x:row r="12761">
      <x:c r="A12761" s="142"/>
    </x:row>
    <x:row r="12762">
      <x:c r="A12762" s="142"/>
    </x:row>
    <x:row r="12763">
      <x:c r="A12763" s="142"/>
    </x:row>
    <x:row r="12764">
      <x:c r="A12764" s="142"/>
    </x:row>
    <x:row r="12765">
      <x:c r="A12765" s="142"/>
    </x:row>
    <x:row r="12766">
      <x:c r="A12766" s="142"/>
    </x:row>
    <x:row r="12767">
      <x:c r="A12767" s="142"/>
    </x:row>
    <x:row r="12768">
      <x:c r="A12768" s="142"/>
    </x:row>
    <x:row r="12769">
      <x:c r="A12769" s="142"/>
    </x:row>
    <x:row r="12770">
      <x:c r="A12770" s="142"/>
    </x:row>
    <x:row r="12771">
      <x:c r="A12771" s="142"/>
    </x:row>
    <x:row r="12772">
      <x:c r="A12772" s="142"/>
    </x:row>
    <x:row r="12773">
      <x:c r="A12773" s="142"/>
    </x:row>
    <x:row r="12774">
      <x:c r="A12774" s="142"/>
    </x:row>
    <x:row r="12775">
      <x:c r="A12775" s="142"/>
    </x:row>
    <x:row r="12776">
      <x:c r="A12776" s="142"/>
    </x:row>
    <x:row r="12777">
      <x:c r="A12777" s="142"/>
    </x:row>
    <x:row r="12778">
      <x:c r="A12778" s="142"/>
    </x:row>
    <x:row r="12779">
      <x:c r="A12779" s="142"/>
    </x:row>
    <x:row r="12780">
      <x:c r="A12780" s="142"/>
    </x:row>
    <x:row r="12781">
      <x:c r="A12781" s="142"/>
    </x:row>
    <x:row r="12782">
      <x:c r="A12782" s="142"/>
    </x:row>
    <x:row r="12783">
      <x:c r="A12783" s="142"/>
    </x:row>
    <x:row r="12784">
      <x:c r="A12784" s="142"/>
    </x:row>
    <x:row r="12785">
      <x:c r="A12785" s="142"/>
    </x:row>
    <x:row r="12786">
      <x:c r="A12786" s="142"/>
    </x:row>
    <x:row r="12787">
      <x:c r="A12787" s="142"/>
    </x:row>
    <x:row r="12788">
      <x:c r="A12788" s="142"/>
    </x:row>
    <x:row r="12789">
      <x:c r="A12789" s="142"/>
    </x:row>
    <x:row r="12790">
      <x:c r="A12790" s="142"/>
    </x:row>
    <x:row r="12791">
      <x:c r="A12791" s="142"/>
    </x:row>
    <x:row r="12792">
      <x:c r="A12792" s="142"/>
    </x:row>
    <x:row r="12793">
      <x:c r="A12793" s="142"/>
    </x:row>
    <x:row r="12794">
      <x:c r="A12794" s="142"/>
    </x:row>
    <x:row r="12795">
      <x:c r="A12795" s="142"/>
    </x:row>
    <x:row r="12796">
      <x:c r="A12796" s="142"/>
    </x:row>
    <x:row r="12797">
      <x:c r="A12797" s="142"/>
    </x:row>
    <x:row r="12798">
      <x:c r="A12798" s="142"/>
    </x:row>
    <x:row r="12799">
      <x:c r="A12799" s="142"/>
    </x:row>
    <x:row r="12800">
      <x:c r="A12800" s="142"/>
    </x:row>
    <x:row r="12801">
      <x:c r="A12801" s="142"/>
    </x:row>
    <x:row r="12802">
      <x:c r="A12802" s="142"/>
    </x:row>
    <x:row r="12803">
      <x:c r="A12803" s="142"/>
    </x:row>
    <x:row r="12804">
      <x:c r="A12804" s="142"/>
    </x:row>
    <x:row r="12805">
      <x:c r="A12805" s="142"/>
    </x:row>
    <x:row r="12806">
      <x:c r="A12806" s="142"/>
    </x:row>
    <x:row r="12807">
      <x:c r="A12807" s="142"/>
    </x:row>
    <x:row r="12808">
      <x:c r="A12808" s="142"/>
    </x:row>
    <x:row r="12809">
      <x:c r="A12809" s="142"/>
    </x:row>
    <x:row r="12810">
      <x:c r="A12810" s="142"/>
    </x:row>
    <x:row r="12811">
      <x:c r="A12811" s="142"/>
    </x:row>
    <x:row r="12812">
      <x:c r="A12812" s="142"/>
    </x:row>
    <x:row r="12813">
      <x:c r="A12813" s="142"/>
    </x:row>
    <x:row r="12814">
      <x:c r="A12814" s="142"/>
    </x:row>
    <x:row r="12815">
      <x:c r="A12815" s="142"/>
    </x:row>
    <x:row r="12816">
      <x:c r="A12816" s="142"/>
    </x:row>
    <x:row r="12817">
      <x:c r="A12817" s="142"/>
    </x:row>
    <x:row r="12818">
      <x:c r="A12818" s="142"/>
    </x:row>
    <x:row r="12819">
      <x:c r="A12819" s="142"/>
    </x:row>
    <x:row r="12820">
      <x:c r="A12820" s="142"/>
    </x:row>
    <x:row r="12821">
      <x:c r="A12821" s="142"/>
    </x:row>
    <x:row r="12822">
      <x:c r="A12822" s="142"/>
    </x:row>
    <x:row r="12823">
      <x:c r="A12823" s="142"/>
    </x:row>
    <x:row r="12824">
      <x:c r="A12824" s="142"/>
    </x:row>
    <x:row r="12825">
      <x:c r="A12825" s="142"/>
    </x:row>
    <x:row r="12826">
      <x:c r="A12826" s="142"/>
    </x:row>
    <x:row r="12827">
      <x:c r="A12827" s="142"/>
    </x:row>
    <x:row r="12828">
      <x:c r="A12828" s="142"/>
    </x:row>
    <x:row r="12829">
      <x:c r="A12829" s="142"/>
    </x:row>
    <x:row r="12830">
      <x:c r="A12830" s="142"/>
    </x:row>
    <x:row r="12831">
      <x:c r="A12831" s="142"/>
    </x:row>
    <x:row r="12832">
      <x:c r="A12832" s="142"/>
    </x:row>
    <x:row r="12833">
      <x:c r="A12833" s="142"/>
    </x:row>
    <x:row r="12834">
      <x:c r="A12834" s="142"/>
    </x:row>
    <x:row r="12835">
      <x:c r="A12835" s="142"/>
    </x:row>
    <x:row r="12836">
      <x:c r="A12836" s="142"/>
    </x:row>
    <x:row r="12837">
      <x:c r="A12837" s="142"/>
    </x:row>
    <x:row r="12838">
      <x:c r="A12838" s="142"/>
    </x:row>
    <x:row r="12839">
      <x:c r="A12839" s="142"/>
    </x:row>
    <x:row r="12840">
      <x:c r="A12840" s="142"/>
    </x:row>
    <x:row r="12841">
      <x:c r="A12841" s="142"/>
    </x:row>
    <x:row r="12842">
      <x:c r="A12842" s="142"/>
    </x:row>
    <x:row r="12843">
      <x:c r="A12843" s="142"/>
    </x:row>
    <x:row r="12844">
      <x:c r="A12844" s="142"/>
    </x:row>
    <x:row r="12845">
      <x:c r="A12845" s="142"/>
    </x:row>
    <x:row r="12846">
      <x:c r="A12846" s="142"/>
    </x:row>
    <x:row r="12847">
      <x:c r="A12847" s="142"/>
    </x:row>
    <x:row r="12848">
      <x:c r="A12848" s="142"/>
    </x:row>
    <x:row r="12849">
      <x:c r="A12849" s="142"/>
    </x:row>
    <x:row r="12850">
      <x:c r="A12850" s="142"/>
    </x:row>
    <x:row r="12851">
      <x:c r="A12851" s="142"/>
    </x:row>
    <x:row r="12852">
      <x:c r="A12852" s="142"/>
    </x:row>
    <x:row r="12853">
      <x:c r="A12853" s="142"/>
    </x:row>
    <x:row r="12854">
      <x:c r="A12854" s="142"/>
    </x:row>
    <x:row r="12855">
      <x:c r="A12855" s="142"/>
    </x:row>
    <x:row r="12856">
      <x:c r="A12856" s="142"/>
    </x:row>
    <x:row r="12857">
      <x:c r="A12857" s="142"/>
    </x:row>
    <x:row r="12858">
      <x:c r="A12858" s="142"/>
    </x:row>
    <x:row r="12859">
      <x:c r="A12859" s="142"/>
    </x:row>
    <x:row r="12860">
      <x:c r="A12860" s="142"/>
    </x:row>
    <x:row r="12861">
      <x:c r="A12861" s="142"/>
    </x:row>
    <x:row r="12862">
      <x:c r="A12862" s="142"/>
    </x:row>
    <x:row r="12863">
      <x:c r="A12863" s="142"/>
    </x:row>
    <x:row r="12864">
      <x:c r="A12864" s="142"/>
    </x:row>
    <x:row r="12865">
      <x:c r="A12865" s="142"/>
    </x:row>
    <x:row r="12866">
      <x:c r="A12866" s="142"/>
    </x:row>
    <x:row r="12867">
      <x:c r="A12867" s="142"/>
    </x:row>
    <x:row r="12868">
      <x:c r="A12868" s="142"/>
    </x:row>
    <x:row r="12869">
      <x:c r="A12869" s="142"/>
    </x:row>
    <x:row r="12870">
      <x:c r="A12870" s="142"/>
    </x:row>
    <x:row r="12871">
      <x:c r="A12871" s="142"/>
    </x:row>
    <x:row r="12872">
      <x:c r="A12872" s="142"/>
    </x:row>
    <x:row r="12873">
      <x:c r="A12873" s="142"/>
    </x:row>
    <x:row r="12874">
      <x:c r="A12874" s="142"/>
    </x:row>
    <x:row r="12875">
      <x:c r="A12875" s="142"/>
    </x:row>
    <x:row r="12876">
      <x:c r="A12876" s="142"/>
    </x:row>
    <x:row r="12877">
      <x:c r="A12877" s="142"/>
    </x:row>
    <x:row r="12878">
      <x:c r="A12878" s="142"/>
    </x:row>
    <x:row r="12879">
      <x:c r="A12879" s="142"/>
    </x:row>
    <x:row r="12880">
      <x:c r="A12880" s="142"/>
    </x:row>
    <x:row r="12881">
      <x:c r="A12881" s="142"/>
    </x:row>
    <x:row r="12882">
      <x:c r="A12882" s="142"/>
    </x:row>
    <x:row r="12883">
      <x:c r="A12883" s="142"/>
    </x:row>
    <x:row r="12884">
      <x:c r="A12884" s="142"/>
    </x:row>
    <x:row r="12885">
      <x:c r="A12885" s="142"/>
    </x:row>
    <x:row r="12886">
      <x:c r="A12886" s="142"/>
    </x:row>
    <x:row r="12887">
      <x:c r="A12887" s="142"/>
    </x:row>
    <x:row r="12888">
      <x:c r="A12888" s="142"/>
    </x:row>
    <x:row r="12889">
      <x:c r="A12889" s="142"/>
    </x:row>
    <x:row r="12890">
      <x:c r="A12890" s="142"/>
    </x:row>
    <x:row r="12891">
      <x:c r="A12891" s="142"/>
    </x:row>
    <x:row r="12892">
      <x:c r="A12892" s="142"/>
    </x:row>
    <x:row r="12893">
      <x:c r="A12893" s="142"/>
    </x:row>
    <x:row r="12894">
      <x:c r="A12894" s="142"/>
    </x:row>
    <x:row r="12895">
      <x:c r="A12895" s="142"/>
    </x:row>
    <x:row r="12896">
      <x:c r="A12896" s="142"/>
    </x:row>
    <x:row r="12897">
      <x:c r="A12897" s="142"/>
    </x:row>
    <x:row r="12898">
      <x:c r="A12898" s="142"/>
    </x:row>
    <x:row r="12899">
      <x:c r="A12899" s="142"/>
    </x:row>
    <x:row r="12900">
      <x:c r="A12900" s="142"/>
    </x:row>
    <x:row r="12901">
      <x:c r="A12901" s="142"/>
    </x:row>
    <x:row r="12902">
      <x:c r="A12902" s="142"/>
    </x:row>
    <x:row r="12903">
      <x:c r="A12903" s="142"/>
    </x:row>
    <x:row r="12904">
      <x:c r="A12904" s="142"/>
    </x:row>
    <x:row r="12905">
      <x:c r="A12905" s="142"/>
    </x:row>
    <x:row r="12906">
      <x:c r="A12906" s="142"/>
    </x:row>
    <x:row r="12907">
      <x:c r="A12907" s="142"/>
    </x:row>
    <x:row r="12908">
      <x:c r="A12908" s="142"/>
    </x:row>
    <x:row r="12909">
      <x:c r="A12909" s="142"/>
    </x:row>
    <x:row r="12910">
      <x:c r="A12910" s="142"/>
    </x:row>
    <x:row r="12911">
      <x:c r="A12911" s="142"/>
    </x:row>
    <x:row r="12912">
      <x:c r="A12912" s="142"/>
    </x:row>
    <x:row r="12913">
      <x:c r="A12913" s="142"/>
    </x:row>
    <x:row r="12914">
      <x:c r="A12914" s="142"/>
    </x:row>
    <x:row r="12915">
      <x:c r="A12915" s="142"/>
    </x:row>
    <x:row r="12916">
      <x:c r="A12916" s="142"/>
    </x:row>
    <x:row r="12917">
      <x:c r="A12917" s="142"/>
    </x:row>
    <x:row r="12918">
      <x:c r="A12918" s="142"/>
    </x:row>
    <x:row r="12919">
      <x:c r="A12919" s="142"/>
    </x:row>
    <x:row r="12920">
      <x:c r="A12920" s="142"/>
    </x:row>
    <x:row r="12921">
      <x:c r="A12921" s="142"/>
    </x:row>
    <x:row r="12922">
      <x:c r="A12922" s="142"/>
    </x:row>
    <x:row r="12923">
      <x:c r="A12923" s="142"/>
    </x:row>
    <x:row r="12924">
      <x:c r="A12924" s="142"/>
    </x:row>
    <x:row r="12925">
      <x:c r="A12925" s="142"/>
    </x:row>
    <x:row r="12926">
      <x:c r="A12926" s="142"/>
    </x:row>
    <x:row r="12927">
      <x:c r="A12927" s="142"/>
    </x:row>
    <x:row r="12928">
      <x:c r="A12928" s="142"/>
    </x:row>
    <x:row r="12929">
      <x:c r="A12929" s="142"/>
    </x:row>
    <x:row r="12930">
      <x:c r="A12930" s="142"/>
    </x:row>
    <x:row r="12931">
      <x:c r="A12931" s="142"/>
    </x:row>
    <x:row r="12932">
      <x:c r="A12932" s="142"/>
    </x:row>
    <x:row r="12933">
      <x:c r="A12933" s="142"/>
    </x:row>
    <x:row r="12934">
      <x:c r="A12934" s="142"/>
    </x:row>
    <x:row r="12935">
      <x:c r="A12935" s="142"/>
    </x:row>
    <x:row r="12936">
      <x:c r="A12936" s="142"/>
    </x:row>
    <x:row r="12937">
      <x:c r="A12937" s="142"/>
    </x:row>
    <x:row r="12938">
      <x:c r="A12938" s="142"/>
    </x:row>
    <x:row r="12939">
      <x:c r="A12939" s="142"/>
    </x:row>
    <x:row r="12940">
      <x:c r="A12940" s="142"/>
    </x:row>
    <x:row r="12941">
      <x:c r="A12941" s="142"/>
    </x:row>
    <x:row r="12942">
      <x:c r="A12942" s="142"/>
    </x:row>
    <x:row r="12943">
      <x:c r="A12943" s="142"/>
    </x:row>
    <x:row r="12944">
      <x:c r="A12944" s="142"/>
    </x:row>
    <x:row r="12945">
      <x:c r="A12945" s="142"/>
    </x:row>
    <x:row r="12946">
      <x:c r="A12946" s="142"/>
    </x:row>
    <x:row r="12947">
      <x:c r="A12947" s="142"/>
    </x:row>
    <x:row r="12948">
      <x:c r="A12948" s="142"/>
    </x:row>
    <x:row r="12949">
      <x:c r="A12949" s="142"/>
    </x:row>
    <x:row r="12950">
      <x:c r="A12950" s="142"/>
    </x:row>
    <x:row r="12951">
      <x:c r="A12951" s="142"/>
    </x:row>
    <x:row r="12952">
      <x:c r="A12952" s="142"/>
    </x:row>
    <x:row r="12953">
      <x:c r="A12953" s="142"/>
    </x:row>
    <x:row r="12954">
      <x:c r="A12954" s="142"/>
    </x:row>
    <x:row r="12955">
      <x:c r="A12955" s="142"/>
    </x:row>
    <x:row r="12956">
      <x:c r="A12956" s="142"/>
    </x:row>
    <x:row r="12957">
      <x:c r="A12957" s="142"/>
    </x:row>
    <x:row r="12958">
      <x:c r="A12958" s="142"/>
    </x:row>
    <x:row r="12959">
      <x:c r="A12959" s="142"/>
    </x:row>
    <x:row r="12960">
      <x:c r="A12960" s="142"/>
    </x:row>
    <x:row r="12961">
      <x:c r="A12961" s="142"/>
    </x:row>
    <x:row r="12962">
      <x:c r="A12962" s="142"/>
    </x:row>
    <x:row r="12963">
      <x:c r="A12963" s="142"/>
    </x:row>
    <x:row r="12964">
      <x:c r="A12964" s="142"/>
    </x:row>
    <x:row r="12965">
      <x:c r="A12965" s="142"/>
    </x:row>
    <x:row r="12966">
      <x:c r="A12966" s="142"/>
    </x:row>
    <x:row r="12967">
      <x:c r="A12967" s="142"/>
    </x:row>
    <x:row r="12968">
      <x:c r="A12968" s="142"/>
    </x:row>
    <x:row r="12969">
      <x:c r="A12969" s="142"/>
    </x:row>
    <x:row r="12970">
      <x:c r="A12970" s="142"/>
    </x:row>
    <x:row r="12971">
      <x:c r="A12971" s="142"/>
    </x:row>
    <x:row r="12972">
      <x:c r="A12972" s="142"/>
    </x:row>
    <x:row r="12973">
      <x:c r="A12973" s="142"/>
    </x:row>
    <x:row r="12974">
      <x:c r="A12974" s="142"/>
    </x:row>
    <x:row r="12975">
      <x:c r="A12975" s="142"/>
    </x:row>
    <x:row r="12976">
      <x:c r="A12976" s="142"/>
    </x:row>
    <x:row r="12977">
      <x:c r="A12977" s="142"/>
    </x:row>
    <x:row r="12978">
      <x:c r="A12978" s="142"/>
    </x:row>
    <x:row r="12979">
      <x:c r="A12979" s="142"/>
    </x:row>
    <x:row r="12980">
      <x:c r="A12980" s="142"/>
    </x:row>
    <x:row r="12981">
      <x:c r="A12981" s="142"/>
    </x:row>
    <x:row r="12982">
      <x:c r="A12982" s="142"/>
    </x:row>
    <x:row r="12983">
      <x:c r="A12983" s="142"/>
    </x:row>
    <x:row r="12984">
      <x:c r="A12984" s="142"/>
    </x:row>
    <x:row r="12985">
      <x:c r="A12985" s="142"/>
    </x:row>
    <x:row r="12986">
      <x:c r="A12986" s="142"/>
    </x:row>
    <x:row r="12987">
      <x:c r="A12987" s="142"/>
    </x:row>
    <x:row r="12988">
      <x:c r="A12988" s="142"/>
    </x:row>
    <x:row r="12989">
      <x:c r="A12989" s="142"/>
    </x:row>
    <x:row r="12990">
      <x:c r="A12990" s="142"/>
    </x:row>
    <x:row r="12991">
      <x:c r="A12991" s="142"/>
    </x:row>
    <x:row r="12992">
      <x:c r="A12992" s="142"/>
    </x:row>
    <x:row r="12993">
      <x:c r="A12993" s="142"/>
    </x:row>
    <x:row r="12994">
      <x:c r="A12994" s="142"/>
    </x:row>
    <x:row r="12995">
      <x:c r="A12995" s="142"/>
    </x:row>
    <x:row r="12996">
      <x:c r="A12996" s="142"/>
    </x:row>
    <x:row r="12997">
      <x:c r="A12997" s="142"/>
    </x:row>
    <x:row r="12998">
      <x:c r="A12998" s="142"/>
    </x:row>
    <x:row r="12999">
      <x:c r="A12999" s="142"/>
    </x:row>
    <x:row r="13000">
      <x:c r="A13000" s="142"/>
    </x:row>
    <x:row r="13001">
      <x:c r="A13001" s="142"/>
    </x:row>
    <x:row r="13002">
      <x:c r="A13002" s="142"/>
    </x:row>
    <x:row r="13003">
      <x:c r="A13003" s="142"/>
    </x:row>
    <x:row r="13004">
      <x:c r="A13004" s="142"/>
    </x:row>
    <x:row r="13005">
      <x:c r="A13005" s="142"/>
    </x:row>
    <x:row r="13006">
      <x:c r="A13006" s="142"/>
    </x:row>
    <x:row r="13007">
      <x:c r="A13007" s="142"/>
    </x:row>
    <x:row r="13008">
      <x:c r="A13008" s="142"/>
    </x:row>
    <x:row r="13009">
      <x:c r="A13009" s="142"/>
    </x:row>
    <x:row r="13010">
      <x:c r="A13010" s="142"/>
    </x:row>
    <x:row r="13011">
      <x:c r="A13011" s="142"/>
    </x:row>
    <x:row r="13012">
      <x:c r="A13012" s="142"/>
    </x:row>
    <x:row r="13013">
      <x:c r="A13013" s="142"/>
    </x:row>
    <x:row r="13014">
      <x:c r="A13014" s="142"/>
    </x:row>
    <x:row r="13015">
      <x:c r="A13015" s="142"/>
    </x:row>
    <x:row r="13016">
      <x:c r="A13016" s="142"/>
    </x:row>
    <x:row r="13017">
      <x:c r="A13017" s="142"/>
    </x:row>
    <x:row r="13018">
      <x:c r="A13018" s="142"/>
    </x:row>
    <x:row r="13019">
      <x:c r="A13019" s="142"/>
    </x:row>
    <x:row r="13020">
      <x:c r="A13020" s="142"/>
    </x:row>
    <x:row r="13021">
      <x:c r="A13021" s="142"/>
    </x:row>
    <x:row r="13022">
      <x:c r="A13022" s="142"/>
    </x:row>
    <x:row r="13023">
      <x:c r="A13023" s="142"/>
    </x:row>
    <x:row r="13024">
      <x:c r="A13024" s="142"/>
    </x:row>
    <x:row r="13025">
      <x:c r="A13025" s="142"/>
    </x:row>
    <x:row r="13026">
      <x:c r="A13026" s="142"/>
    </x:row>
    <x:row r="13027">
      <x:c r="A13027" s="142"/>
    </x:row>
    <x:row r="13028">
      <x:c r="A13028" s="142"/>
    </x:row>
    <x:row r="13029">
      <x:c r="A13029" s="142"/>
    </x:row>
    <x:row r="13030">
      <x:c r="A13030" s="142"/>
    </x:row>
    <x:row r="13031">
      <x:c r="A13031" s="142"/>
    </x:row>
    <x:row r="13032">
      <x:c r="A13032" s="142"/>
    </x:row>
    <x:row r="13033">
      <x:c r="A13033" s="142"/>
    </x:row>
    <x:row r="13034">
      <x:c r="A13034" s="142"/>
    </x:row>
    <x:row r="13035">
      <x:c r="A13035" s="142"/>
    </x:row>
    <x:row r="13036">
      <x:c r="A13036" s="142"/>
    </x:row>
    <x:row r="13037">
      <x:c r="A13037" s="142"/>
    </x:row>
    <x:row r="13038">
      <x:c r="A13038" s="142"/>
    </x:row>
    <x:row r="13039">
      <x:c r="A13039" s="142"/>
    </x:row>
    <x:row r="13040">
      <x:c r="A13040" s="142"/>
    </x:row>
    <x:row r="13041">
      <x:c r="A13041" s="142"/>
    </x:row>
    <x:row r="13042">
      <x:c r="A13042" s="142"/>
    </x:row>
    <x:row r="13043">
      <x:c r="A13043" s="142"/>
    </x:row>
    <x:row r="13044">
      <x:c r="A13044" s="142"/>
    </x:row>
    <x:row r="13045">
      <x:c r="A13045" s="142"/>
    </x:row>
    <x:row r="13046">
      <x:c r="A13046" s="142"/>
    </x:row>
    <x:row r="13047">
      <x:c r="A13047" s="142"/>
    </x:row>
    <x:row r="13048">
      <x:c r="A13048" s="142"/>
    </x:row>
    <x:row r="13049">
      <x:c r="A13049" s="142"/>
    </x:row>
    <x:row r="13050">
      <x:c r="A13050" s="142"/>
    </x:row>
    <x:row r="13051">
      <x:c r="A13051" s="142"/>
    </x:row>
    <x:row r="13052">
      <x:c r="A13052" s="142"/>
    </x:row>
    <x:row r="13053">
      <x:c r="A13053" s="142"/>
    </x:row>
    <x:row r="13054">
      <x:c r="A13054" s="142"/>
    </x:row>
    <x:row r="13055">
      <x:c r="A13055" s="142"/>
    </x:row>
    <x:row r="13056">
      <x:c r="A13056" s="142"/>
    </x:row>
    <x:row r="13057">
      <x:c r="A13057" s="142"/>
    </x:row>
    <x:row r="13058">
      <x:c r="A13058" s="142"/>
    </x:row>
    <x:row r="13059">
      <x:c r="A13059" s="142"/>
    </x:row>
    <x:row r="13060">
      <x:c r="A13060" s="142"/>
    </x:row>
    <x:row r="13061">
      <x:c r="A13061" s="142"/>
    </x:row>
    <x:row r="13062">
      <x:c r="A13062" s="142"/>
    </x:row>
    <x:row r="13063">
      <x:c r="A13063" s="142"/>
    </x:row>
    <x:row r="13064">
      <x:c r="A13064" s="142"/>
    </x:row>
    <x:row r="13065">
      <x:c r="A13065" s="142"/>
    </x:row>
    <x:row r="13066">
      <x:c r="A13066" s="142"/>
    </x:row>
    <x:row r="13067">
      <x:c r="A13067" s="142"/>
    </x:row>
    <x:row r="13068">
      <x:c r="A13068" s="142"/>
    </x:row>
    <x:row r="13069">
      <x:c r="A13069" s="142"/>
    </x:row>
    <x:row r="13070">
      <x:c r="A13070" s="142"/>
    </x:row>
    <x:row r="13071">
      <x:c r="A13071" s="142"/>
    </x:row>
    <x:row r="13072">
      <x:c r="A13072" s="142"/>
    </x:row>
    <x:row r="13073">
      <x:c r="A13073" s="142"/>
    </x:row>
    <x:row r="13074">
      <x:c r="A13074" s="142"/>
    </x:row>
    <x:row r="13075">
      <x:c r="A13075" s="142"/>
    </x:row>
    <x:row r="13076">
      <x:c r="A13076" s="142"/>
    </x:row>
    <x:row r="13077">
      <x:c r="A13077" s="142"/>
    </x:row>
    <x:row r="13078">
      <x:c r="A13078" s="142"/>
    </x:row>
    <x:row r="13079">
      <x:c r="A13079" s="142"/>
    </x:row>
    <x:row r="13080">
      <x:c r="A13080" s="142"/>
    </x:row>
    <x:row r="13081">
      <x:c r="A13081" s="142"/>
    </x:row>
    <x:row r="13082">
      <x:c r="A13082" s="142"/>
    </x:row>
    <x:row r="13083">
      <x:c r="A13083" s="142"/>
    </x:row>
    <x:row r="13084">
      <x:c r="A13084" s="142"/>
    </x:row>
    <x:row r="13085">
      <x:c r="A13085" s="142"/>
    </x:row>
    <x:row r="13086">
      <x:c r="A13086" s="142"/>
    </x:row>
    <x:row r="13087">
      <x:c r="A13087" s="142"/>
    </x:row>
    <x:row r="13088">
      <x:c r="A13088" s="142"/>
    </x:row>
    <x:row r="13089">
      <x:c r="A13089" s="142"/>
    </x:row>
    <x:row r="13090">
      <x:c r="A13090" s="142"/>
    </x:row>
    <x:row r="13091">
      <x:c r="A13091" s="142"/>
    </x:row>
    <x:row r="13092">
      <x:c r="A13092" s="142"/>
    </x:row>
    <x:row r="13093">
      <x:c r="A13093" s="142"/>
    </x:row>
    <x:row r="13094">
      <x:c r="A13094" s="142"/>
    </x:row>
    <x:row r="13095">
      <x:c r="A13095" s="142"/>
    </x:row>
    <x:row r="13096">
      <x:c r="A13096" s="142"/>
    </x:row>
    <x:row r="13097">
      <x:c r="A13097" s="142"/>
    </x:row>
    <x:row r="13098">
      <x:c r="A13098" s="142"/>
    </x:row>
    <x:row r="13099">
      <x:c r="A13099" s="142"/>
    </x:row>
    <x:row r="13100">
      <x:c r="A13100" s="142"/>
    </x:row>
    <x:row r="13101">
      <x:c r="A13101" s="142"/>
    </x:row>
    <x:row r="13102">
      <x:c r="A13102" s="142"/>
    </x:row>
    <x:row r="13103">
      <x:c r="A13103" s="142"/>
    </x:row>
    <x:row r="13104">
      <x:c r="A13104" s="142"/>
    </x:row>
    <x:row r="13105">
      <x:c r="A13105" s="142"/>
    </x:row>
    <x:row r="13106">
      <x:c r="A13106" s="142"/>
    </x:row>
    <x:row r="13107">
      <x:c r="A13107" s="142"/>
    </x:row>
    <x:row r="13108">
      <x:c r="A13108" s="142"/>
    </x:row>
    <x:row r="13109">
      <x:c r="A13109" s="142"/>
    </x:row>
    <x:row r="13110">
      <x:c r="A13110" s="142"/>
    </x:row>
    <x:row r="13111">
      <x:c r="A13111" s="142"/>
    </x:row>
    <x:row r="13112">
      <x:c r="A13112" s="142"/>
    </x:row>
    <x:row r="13113">
      <x:c r="A13113" s="142"/>
    </x:row>
    <x:row r="13114">
      <x:c r="A13114" s="142"/>
    </x:row>
    <x:row r="13115">
      <x:c r="A13115" s="142"/>
    </x:row>
    <x:row r="13116">
      <x:c r="A13116" s="142"/>
    </x:row>
    <x:row r="13117">
      <x:c r="A13117" s="142"/>
    </x:row>
    <x:row r="13118">
      <x:c r="A13118" s="142"/>
    </x:row>
    <x:row r="13119">
      <x:c r="A13119" s="142"/>
    </x:row>
    <x:row r="13120">
      <x:c r="A13120" s="142"/>
    </x:row>
    <x:row r="13121">
      <x:c r="A13121" s="142"/>
    </x:row>
    <x:row r="13122">
      <x:c r="A13122" s="142"/>
    </x:row>
    <x:row r="13123">
      <x:c r="A13123" s="142"/>
    </x:row>
    <x:row r="13124">
      <x:c r="A13124" s="142"/>
    </x:row>
    <x:row r="13125">
      <x:c r="A13125" s="142"/>
    </x:row>
    <x:row r="13126">
      <x:c r="A13126" s="142"/>
    </x:row>
    <x:row r="13127">
      <x:c r="A13127" s="142"/>
    </x:row>
    <x:row r="13128">
      <x:c r="A13128" s="142"/>
    </x:row>
    <x:row r="13129">
      <x:c r="A13129" s="142"/>
    </x:row>
    <x:row r="13130">
      <x:c r="A13130" s="142"/>
    </x:row>
    <x:row r="13131">
      <x:c r="A13131" s="142"/>
    </x:row>
    <x:row r="13132">
      <x:c r="A13132" s="142"/>
    </x:row>
    <x:row r="13133">
      <x:c r="A13133" s="142"/>
    </x:row>
    <x:row r="13134">
      <x:c r="A13134" s="142"/>
    </x:row>
    <x:row r="13135">
      <x:c r="A13135" s="142"/>
    </x:row>
    <x:row r="13136">
      <x:c r="A13136" s="142"/>
    </x:row>
    <x:row r="13137">
      <x:c r="A13137" s="142"/>
    </x:row>
    <x:row r="13138">
      <x:c r="A13138" s="142"/>
    </x:row>
    <x:row r="13139">
      <x:c r="A13139" s="142"/>
    </x:row>
    <x:row r="13140">
      <x:c r="A13140" s="142"/>
    </x:row>
    <x:row r="13141">
      <x:c r="A13141" s="142"/>
    </x:row>
    <x:row r="13142">
      <x:c r="A13142" s="142"/>
    </x:row>
    <x:row r="13143">
      <x:c r="A13143" s="142"/>
    </x:row>
    <x:row r="13144">
      <x:c r="A13144" s="142"/>
    </x:row>
    <x:row r="13145">
      <x:c r="A13145" s="142"/>
    </x:row>
    <x:row r="13146">
      <x:c r="A13146" s="142"/>
    </x:row>
    <x:row r="13147">
      <x:c r="A13147" s="142"/>
    </x:row>
    <x:row r="13148">
      <x:c r="A13148" s="142"/>
    </x:row>
    <x:row r="13149">
      <x:c r="A13149" s="142"/>
    </x:row>
    <x:row r="13150">
      <x:c r="A13150" s="142"/>
    </x:row>
    <x:row r="13151">
      <x:c r="A13151" s="142"/>
    </x:row>
    <x:row r="13152">
      <x:c r="A13152" s="142"/>
    </x:row>
    <x:row r="13153">
      <x:c r="A13153" s="142"/>
    </x:row>
    <x:row r="13154">
      <x:c r="A13154" s="142"/>
    </x:row>
    <x:row r="13155">
      <x:c r="A13155" s="142"/>
    </x:row>
    <x:row r="13156">
      <x:c r="A13156" s="142"/>
    </x:row>
    <x:row r="13157">
      <x:c r="A13157" s="142"/>
    </x:row>
    <x:row r="13158">
      <x:c r="A13158" s="142"/>
    </x:row>
    <x:row r="13159">
      <x:c r="A13159" s="142"/>
    </x:row>
    <x:row r="13160">
      <x:c r="A13160" s="142"/>
    </x:row>
    <x:row r="13161">
      <x:c r="A13161" s="142"/>
    </x:row>
    <x:row r="13162">
      <x:c r="A13162" s="142"/>
    </x:row>
    <x:row r="13163">
      <x:c r="A13163" s="142"/>
    </x:row>
    <x:row r="13164">
      <x:c r="A13164" s="142"/>
    </x:row>
    <x:row r="13165">
      <x:c r="A13165" s="142"/>
    </x:row>
    <x:row r="13166">
      <x:c r="A13166" s="142"/>
    </x:row>
    <x:row r="13167">
      <x:c r="A13167" s="142"/>
    </x:row>
    <x:row r="13168">
      <x:c r="A13168" s="142"/>
    </x:row>
    <x:row r="13169">
      <x:c r="A13169" s="142"/>
    </x:row>
    <x:row r="13170">
      <x:c r="A13170" s="142"/>
    </x:row>
    <x:row r="13171">
      <x:c r="A13171" s="142"/>
    </x:row>
    <x:row r="13172">
      <x:c r="A13172" s="142"/>
    </x:row>
    <x:row r="13173">
      <x:c r="A13173" s="142"/>
    </x:row>
    <x:row r="13174">
      <x:c r="A13174" s="142"/>
    </x:row>
    <x:row r="13175">
      <x:c r="A13175" s="142"/>
    </x:row>
    <x:row r="13176">
      <x:c r="A13176" s="142"/>
    </x:row>
    <x:row r="13177">
      <x:c r="A13177" s="142"/>
    </x:row>
    <x:row r="13178">
      <x:c r="A13178" s="142"/>
    </x:row>
    <x:row r="13179">
      <x:c r="A13179" s="142"/>
    </x:row>
    <x:row r="13180">
      <x:c r="A13180" s="142"/>
    </x:row>
    <x:row r="13181">
      <x:c r="A13181" s="142"/>
    </x:row>
    <x:row r="13182">
      <x:c r="A13182" s="142"/>
    </x:row>
    <x:row r="13183">
      <x:c r="A13183" s="142"/>
    </x:row>
    <x:row r="13184">
      <x:c r="A13184" s="142"/>
    </x:row>
    <x:row r="13185">
      <x:c r="A13185" s="142"/>
    </x:row>
    <x:row r="13186">
      <x:c r="A13186" s="142"/>
    </x:row>
    <x:row r="13187">
      <x:c r="A13187" s="142"/>
    </x:row>
    <x:row r="13188">
      <x:c r="A13188" s="142"/>
    </x:row>
    <x:row r="13189">
      <x:c r="A13189" s="142"/>
    </x:row>
    <x:row r="13190">
      <x:c r="A13190" s="142"/>
    </x:row>
    <x:row r="13191">
      <x:c r="A13191" s="142"/>
    </x:row>
    <x:row r="13192">
      <x:c r="A13192" s="142"/>
    </x:row>
    <x:row r="13193">
      <x:c r="A13193" s="142"/>
    </x:row>
    <x:row r="13194">
      <x:c r="A13194" s="142"/>
    </x:row>
    <x:row r="13195">
      <x:c r="A13195" s="142"/>
    </x:row>
    <x:row r="13196">
      <x:c r="A13196" s="142"/>
    </x:row>
    <x:row r="13197">
      <x:c r="A13197" s="142"/>
    </x:row>
    <x:row r="13198">
      <x:c r="A13198" s="142"/>
    </x:row>
    <x:row r="13199">
      <x:c r="A13199" s="142"/>
    </x:row>
    <x:row r="13200">
      <x:c r="A13200" s="142"/>
    </x:row>
    <x:row r="13201">
      <x:c r="A13201" s="142"/>
    </x:row>
    <x:row r="13202">
      <x:c r="A13202" s="142"/>
    </x:row>
    <x:row r="13203">
      <x:c r="A13203" s="142"/>
    </x:row>
    <x:row r="13204">
      <x:c r="A13204" s="142"/>
    </x:row>
    <x:row r="13205">
      <x:c r="A13205" s="142"/>
    </x:row>
    <x:row r="13206">
      <x:c r="A13206" s="142"/>
    </x:row>
    <x:row r="13207">
      <x:c r="A13207" s="142"/>
    </x:row>
    <x:row r="13208">
      <x:c r="A13208" s="142"/>
    </x:row>
    <x:row r="13209">
      <x:c r="A13209" s="142"/>
    </x:row>
    <x:row r="13210">
      <x:c r="A13210" s="142"/>
    </x:row>
    <x:row r="13211">
      <x:c r="A13211" s="142"/>
    </x:row>
    <x:row r="13212">
      <x:c r="A13212" s="142"/>
    </x:row>
    <x:row r="13213">
      <x:c r="A13213" s="142"/>
    </x:row>
    <x:row r="13214">
      <x:c r="A13214" s="142"/>
    </x:row>
    <x:row r="13215">
      <x:c r="A13215" s="142"/>
    </x:row>
    <x:row r="13216">
      <x:c r="A13216" s="142"/>
    </x:row>
    <x:row r="13217">
      <x:c r="A13217" s="142"/>
    </x:row>
    <x:row r="13218">
      <x:c r="A13218" s="142"/>
    </x:row>
    <x:row r="13219">
      <x:c r="A13219" s="142"/>
    </x:row>
    <x:row r="13220">
      <x:c r="A13220" s="142"/>
    </x:row>
    <x:row r="13221">
      <x:c r="A13221" s="142"/>
    </x:row>
    <x:row r="13222">
      <x:c r="A13222" s="142"/>
    </x:row>
    <x:row r="13223">
      <x:c r="A13223" s="142"/>
    </x:row>
    <x:row r="13224">
      <x:c r="A13224" s="142"/>
    </x:row>
    <x:row r="13225">
      <x:c r="A13225" s="142"/>
    </x:row>
    <x:row r="13226">
      <x:c r="A13226" s="142"/>
    </x:row>
    <x:row r="13227">
      <x:c r="A13227" s="142"/>
    </x:row>
    <x:row r="13228">
      <x:c r="A13228" s="142"/>
    </x:row>
    <x:row r="13229">
      <x:c r="A13229" s="142"/>
    </x:row>
    <x:row r="13230">
      <x:c r="A13230" s="142"/>
    </x:row>
    <x:row r="13231">
      <x:c r="A13231" s="142"/>
    </x:row>
    <x:row r="13232">
      <x:c r="A13232" s="142"/>
    </x:row>
    <x:row r="13233">
      <x:c r="A13233" s="142"/>
    </x:row>
    <x:row r="13234">
      <x:c r="A13234" s="142"/>
    </x:row>
    <x:row r="13235">
      <x:c r="A13235" s="142"/>
    </x:row>
    <x:row r="13236">
      <x:c r="A13236" s="142"/>
    </x:row>
    <x:row r="13237">
      <x:c r="A13237" s="142"/>
    </x:row>
    <x:row r="13238">
      <x:c r="A13238" s="142"/>
    </x:row>
    <x:row r="13239">
      <x:c r="A13239" s="142"/>
    </x:row>
    <x:row r="13240">
      <x:c r="A13240" s="142"/>
    </x:row>
    <x:row r="13241">
      <x:c r="A13241" s="142"/>
    </x:row>
    <x:row r="13242">
      <x:c r="A13242" s="142"/>
    </x:row>
    <x:row r="13243">
      <x:c r="A13243" s="142"/>
    </x:row>
    <x:row r="13244">
      <x:c r="A13244" s="142"/>
    </x:row>
    <x:row r="13245">
      <x:c r="A13245" s="142"/>
    </x:row>
    <x:row r="13246">
      <x:c r="A13246" s="142"/>
    </x:row>
    <x:row r="13247">
      <x:c r="A13247" s="142"/>
    </x:row>
    <x:row r="13248">
      <x:c r="A13248" s="142"/>
    </x:row>
    <x:row r="13249">
      <x:c r="A13249" s="142"/>
    </x:row>
    <x:row r="13250">
      <x:c r="A13250" s="142"/>
    </x:row>
    <x:row r="13251">
      <x:c r="A13251" s="142"/>
    </x:row>
    <x:row r="13252">
      <x:c r="A13252" s="142"/>
    </x:row>
    <x:row r="13253">
      <x:c r="A13253" s="142"/>
    </x:row>
    <x:row r="13254">
      <x:c r="A13254" s="142"/>
    </x:row>
    <x:row r="13255">
      <x:c r="A13255" s="142"/>
    </x:row>
    <x:row r="13256">
      <x:c r="A13256" s="142"/>
    </x:row>
    <x:row r="13257">
      <x:c r="A13257" s="142"/>
    </x:row>
    <x:row r="13258">
      <x:c r="A13258" s="142"/>
    </x:row>
    <x:row r="13259">
      <x:c r="A13259" s="142"/>
    </x:row>
    <x:row r="13260">
      <x:c r="A13260" s="142"/>
    </x:row>
    <x:row r="13261">
      <x:c r="A13261" s="142"/>
    </x:row>
    <x:row r="13262">
      <x:c r="A13262" s="142"/>
    </x:row>
    <x:row r="13263">
      <x:c r="A13263" s="142"/>
    </x:row>
    <x:row r="13264">
      <x:c r="A13264" s="142"/>
    </x:row>
    <x:row r="13265">
      <x:c r="A13265" s="142"/>
    </x:row>
    <x:row r="13266">
      <x:c r="A13266" s="142"/>
    </x:row>
    <x:row r="13267">
      <x:c r="A13267" s="142"/>
    </x:row>
    <x:row r="13268">
      <x:c r="A13268" s="142"/>
    </x:row>
    <x:row r="13269">
      <x:c r="A13269" s="142"/>
    </x:row>
    <x:row r="13270">
      <x:c r="A13270" s="142"/>
    </x:row>
    <x:row r="13271">
      <x:c r="A13271" s="142"/>
    </x:row>
    <x:row r="13272">
      <x:c r="A13272" s="142"/>
    </x:row>
    <x:row r="13273">
      <x:c r="A13273" s="142"/>
    </x:row>
    <x:row r="13274">
      <x:c r="A13274" s="142"/>
    </x:row>
    <x:row r="13275">
      <x:c r="A13275" s="142"/>
    </x:row>
    <x:row r="13276">
      <x:c r="A13276" s="142"/>
    </x:row>
    <x:row r="13277">
      <x:c r="A13277" s="142"/>
    </x:row>
    <x:row r="13278">
      <x:c r="A13278" s="142"/>
    </x:row>
    <x:row r="13279">
      <x:c r="A13279" s="142"/>
    </x:row>
    <x:row r="13280">
      <x:c r="A13280" s="142"/>
    </x:row>
    <x:row r="13281">
      <x:c r="A13281" s="142"/>
    </x:row>
    <x:row r="13282">
      <x:c r="A13282" s="142"/>
    </x:row>
    <x:row r="13283">
      <x:c r="A13283" s="142"/>
    </x:row>
    <x:row r="13284">
      <x:c r="A13284" s="142"/>
    </x:row>
    <x:row r="13285">
      <x:c r="A13285" s="142"/>
    </x:row>
    <x:row r="13286">
      <x:c r="A13286" s="142"/>
    </x:row>
    <x:row r="13287">
      <x:c r="A13287" s="142"/>
    </x:row>
    <x:row r="13288">
      <x:c r="A13288" s="142"/>
    </x:row>
    <x:row r="13289">
      <x:c r="A13289" s="142"/>
    </x:row>
    <x:row r="13290">
      <x:c r="A13290" s="142"/>
    </x:row>
    <x:row r="13291">
      <x:c r="A13291" s="142"/>
    </x:row>
    <x:row r="13292">
      <x:c r="A13292" s="142"/>
    </x:row>
    <x:row r="13293">
      <x:c r="A13293" s="142"/>
    </x:row>
    <x:row r="13294">
      <x:c r="A13294" s="142"/>
    </x:row>
    <x:row r="13295">
      <x:c r="A13295" s="142"/>
    </x:row>
    <x:row r="13296">
      <x:c r="A13296" s="142"/>
    </x:row>
    <x:row r="13297">
      <x:c r="A13297" s="142"/>
    </x:row>
    <x:row r="13298">
      <x:c r="A13298" s="142"/>
    </x:row>
    <x:row r="13299">
      <x:c r="A13299" s="142"/>
    </x:row>
    <x:row r="13300">
      <x:c r="A13300" s="142"/>
    </x:row>
    <x:row r="13301">
      <x:c r="A13301" s="142"/>
    </x:row>
    <x:row r="13302">
      <x:c r="A13302" s="142"/>
    </x:row>
    <x:row r="13303">
      <x:c r="A13303" s="142"/>
    </x:row>
    <x:row r="13304">
      <x:c r="A13304" s="142"/>
    </x:row>
    <x:row r="13305">
      <x:c r="A13305" s="142"/>
    </x:row>
    <x:row r="13306">
      <x:c r="A13306" s="142"/>
    </x:row>
    <x:row r="13307">
      <x:c r="A13307" s="142"/>
    </x:row>
    <x:row r="13308">
      <x:c r="A13308" s="142"/>
    </x:row>
    <x:row r="13309">
      <x:c r="A13309" s="142"/>
    </x:row>
    <x:row r="13310">
      <x:c r="A13310" s="142"/>
    </x:row>
    <x:row r="13311">
      <x:c r="A13311" s="142"/>
    </x:row>
    <x:row r="13312">
      <x:c r="A13312" s="142"/>
    </x:row>
    <x:row r="13313">
      <x:c r="A13313" s="142"/>
    </x:row>
    <x:row r="13314">
      <x:c r="A13314" s="142"/>
    </x:row>
    <x:row r="13315">
      <x:c r="A13315" s="142"/>
    </x:row>
    <x:row r="13316">
      <x:c r="A13316" s="142"/>
    </x:row>
    <x:row r="13317">
      <x:c r="A13317" s="142"/>
    </x:row>
    <x:row r="13318">
      <x:c r="A13318" s="142"/>
    </x:row>
    <x:row r="13319">
      <x:c r="A13319" s="142"/>
    </x:row>
    <x:row r="13320">
      <x:c r="A13320" s="142"/>
    </x:row>
    <x:row r="13321">
      <x:c r="A13321" s="142"/>
    </x:row>
    <x:row r="13322">
      <x:c r="A13322" s="142"/>
    </x:row>
    <x:row r="13323">
      <x:c r="A13323" s="142"/>
    </x:row>
    <x:row r="13324">
      <x:c r="A13324" s="142"/>
    </x:row>
    <x:row r="13325">
      <x:c r="A13325" s="142"/>
    </x:row>
    <x:row r="13326">
      <x:c r="A13326" s="142"/>
    </x:row>
    <x:row r="13327">
      <x:c r="A13327" s="142"/>
    </x:row>
    <x:row r="13328">
      <x:c r="A13328" s="142"/>
    </x:row>
    <x:row r="13329">
      <x:c r="A13329" s="142"/>
    </x:row>
    <x:row r="13330">
      <x:c r="A13330" s="142"/>
    </x:row>
    <x:row r="13331">
      <x:c r="A13331" s="142"/>
    </x:row>
    <x:row r="13332">
      <x:c r="A13332" s="142"/>
    </x:row>
    <x:row r="13333">
      <x:c r="A13333" s="142"/>
    </x:row>
    <x:row r="13334">
      <x:c r="A13334" s="142"/>
    </x:row>
    <x:row r="13335">
      <x:c r="A13335" s="142"/>
    </x:row>
    <x:row r="13336">
      <x:c r="A13336" s="142"/>
    </x:row>
    <x:row r="13337">
      <x:c r="A13337" s="142"/>
    </x:row>
    <x:row r="13338">
      <x:c r="A13338" s="142"/>
    </x:row>
    <x:row r="13339">
      <x:c r="A13339" s="142"/>
    </x:row>
    <x:row r="13340">
      <x:c r="A13340" s="142"/>
    </x:row>
    <x:row r="13341">
      <x:c r="A13341" s="142"/>
    </x:row>
    <x:row r="13342">
      <x:c r="A13342" s="142"/>
    </x:row>
    <x:row r="13343">
      <x:c r="A13343" s="142"/>
    </x:row>
    <x:row r="13344">
      <x:c r="A13344" s="142"/>
    </x:row>
    <x:row r="13345">
      <x:c r="A13345" s="142"/>
    </x:row>
    <x:row r="13346">
      <x:c r="A13346" s="142"/>
    </x:row>
    <x:row r="13347">
      <x:c r="A13347" s="142"/>
    </x:row>
    <x:row r="13348">
      <x:c r="A13348" s="142"/>
    </x:row>
    <x:row r="13349">
      <x:c r="A13349" s="142"/>
    </x:row>
    <x:row r="13350">
      <x:c r="A13350" s="142"/>
    </x:row>
    <x:row r="13351">
      <x:c r="A13351" s="142"/>
    </x:row>
    <x:row r="13352">
      <x:c r="A13352" s="142"/>
    </x:row>
    <x:row r="13353">
      <x:c r="A13353" s="142"/>
    </x:row>
    <x:row r="13354">
      <x:c r="A13354" s="142"/>
    </x:row>
    <x:row r="13355">
      <x:c r="A13355" s="142"/>
    </x:row>
    <x:row r="13356">
      <x:c r="A13356" s="142"/>
    </x:row>
    <x:row r="13357">
      <x:c r="A13357" s="142"/>
    </x:row>
    <x:row r="13358">
      <x:c r="A13358" s="142"/>
    </x:row>
    <x:row r="13359">
      <x:c r="A13359" s="142"/>
    </x:row>
    <x:row r="13360">
      <x:c r="A13360" s="142"/>
    </x:row>
    <x:row r="13361">
      <x:c r="A13361" s="142"/>
    </x:row>
    <x:row r="13362">
      <x:c r="A13362" s="142"/>
    </x:row>
    <x:row r="13363">
      <x:c r="A13363" s="142"/>
    </x:row>
    <x:row r="13364">
      <x:c r="A13364" s="142"/>
    </x:row>
    <x:row r="13365">
      <x:c r="A13365" s="142"/>
    </x:row>
    <x:row r="13366">
      <x:c r="A13366" s="142"/>
    </x:row>
    <x:row r="13367">
      <x:c r="A13367" s="142"/>
    </x:row>
    <x:row r="13368">
      <x:c r="A13368" s="142"/>
    </x:row>
    <x:row r="13369">
      <x:c r="A13369" s="142"/>
    </x:row>
    <x:row r="13370">
      <x:c r="A13370" s="142"/>
    </x:row>
    <x:row r="13371">
      <x:c r="A13371" s="142"/>
    </x:row>
    <x:row r="13372">
      <x:c r="A13372" s="142"/>
    </x:row>
    <x:row r="13373">
      <x:c r="A13373" s="142"/>
    </x:row>
    <x:row r="13374">
      <x:c r="A13374" s="142"/>
    </x:row>
    <x:row r="13375">
      <x:c r="A13375" s="142"/>
    </x:row>
    <x:row r="13376">
      <x:c r="A13376" s="142"/>
    </x:row>
    <x:row r="13377">
      <x:c r="A13377" s="142"/>
    </x:row>
    <x:row r="13378">
      <x:c r="A13378" s="142"/>
    </x:row>
    <x:row r="13379">
      <x:c r="A13379" s="142"/>
    </x:row>
    <x:row r="13380">
      <x:c r="A13380" s="142"/>
    </x:row>
    <x:row r="13381">
      <x:c r="A13381" s="142"/>
    </x:row>
    <x:row r="13382">
      <x:c r="A13382" s="142"/>
    </x:row>
    <x:row r="13383">
      <x:c r="A13383" s="142"/>
    </x:row>
    <x:row r="13384">
      <x:c r="A13384" s="142"/>
    </x:row>
    <x:row r="13385">
      <x:c r="A13385" s="142"/>
    </x:row>
    <x:row r="13386">
      <x:c r="A13386" s="142"/>
    </x:row>
    <x:row r="13387">
      <x:c r="A13387" s="142"/>
    </x:row>
    <x:row r="13388">
      <x:c r="A13388" s="142"/>
    </x:row>
    <x:row r="13389">
      <x:c r="A13389" s="142"/>
    </x:row>
    <x:row r="13390">
      <x:c r="A13390" s="142"/>
    </x:row>
    <x:row r="13391">
      <x:c r="A13391" s="142"/>
    </x:row>
    <x:row r="13392">
      <x:c r="A13392" s="142"/>
    </x:row>
    <x:row r="13393">
      <x:c r="A13393" s="142"/>
    </x:row>
    <x:row r="13394">
      <x:c r="A13394" s="142"/>
    </x:row>
    <x:row r="13395">
      <x:c r="A13395" s="142"/>
    </x:row>
    <x:row r="13396">
      <x:c r="A13396" s="142"/>
    </x:row>
    <x:row r="13397">
      <x:c r="A13397" s="142"/>
    </x:row>
    <x:row r="13398">
      <x:c r="A13398" s="142"/>
    </x:row>
    <x:row r="13399">
      <x:c r="A13399" s="142"/>
    </x:row>
    <x:row r="13400">
      <x:c r="A13400" s="142"/>
    </x:row>
    <x:row r="13401">
      <x:c r="A13401" s="142"/>
    </x:row>
    <x:row r="13402">
      <x:c r="A13402" s="142"/>
    </x:row>
    <x:row r="13403">
      <x:c r="A13403" s="142"/>
    </x:row>
    <x:row r="13404">
      <x:c r="A13404" s="142"/>
    </x:row>
    <x:row r="13405">
      <x:c r="A13405" s="142"/>
    </x:row>
    <x:row r="13406">
      <x:c r="A13406" s="142"/>
    </x:row>
    <x:row r="13407">
      <x:c r="A13407" s="142"/>
    </x:row>
    <x:row r="13408">
      <x:c r="A13408" s="142"/>
    </x:row>
    <x:row r="13409">
      <x:c r="A13409" s="142"/>
    </x:row>
    <x:row r="13410">
      <x:c r="A13410" s="142"/>
    </x:row>
    <x:row r="13411">
      <x:c r="A13411" s="142"/>
    </x:row>
    <x:row r="13412">
      <x:c r="A13412" s="142"/>
    </x:row>
    <x:row r="13413">
      <x:c r="A13413" s="142"/>
    </x:row>
    <x:row r="13414">
      <x:c r="A13414" s="142"/>
    </x:row>
    <x:row r="13415">
      <x:c r="A13415" s="142"/>
    </x:row>
    <x:row r="13416">
      <x:c r="A13416" s="142"/>
    </x:row>
    <x:row r="13417">
      <x:c r="A13417" s="142"/>
    </x:row>
    <x:row r="13418">
      <x:c r="A13418" s="142"/>
    </x:row>
    <x:row r="13419">
      <x:c r="A13419" s="142"/>
    </x:row>
    <x:row r="13420">
      <x:c r="A13420" s="142"/>
    </x:row>
    <x:row r="13421">
      <x:c r="A13421" s="142"/>
    </x:row>
    <x:row r="13422">
      <x:c r="A13422" s="142"/>
    </x:row>
    <x:row r="13423">
      <x:c r="A13423" s="142"/>
    </x:row>
    <x:row r="13424">
      <x:c r="A13424" s="142"/>
    </x:row>
    <x:row r="13425">
      <x:c r="A13425" s="142"/>
    </x:row>
    <x:row r="13426">
      <x:c r="A13426" s="142"/>
    </x:row>
    <x:row r="13427">
      <x:c r="A13427" s="142"/>
    </x:row>
    <x:row r="13428">
      <x:c r="A13428" s="142"/>
    </x:row>
    <x:row r="13429">
      <x:c r="A13429" s="142"/>
    </x:row>
    <x:row r="13430">
      <x:c r="A13430" s="142"/>
    </x:row>
    <x:row r="13431">
      <x:c r="A13431" s="142"/>
    </x:row>
    <x:row r="13432">
      <x:c r="A13432" s="142"/>
    </x:row>
    <x:row r="13433">
      <x:c r="A13433" s="142"/>
    </x:row>
    <x:row r="13434">
      <x:c r="A13434" s="142"/>
    </x:row>
    <x:row r="13435">
      <x:c r="A13435" s="142"/>
    </x:row>
    <x:row r="13436">
      <x:c r="A13436" s="142"/>
    </x:row>
    <x:row r="13437">
      <x:c r="A13437" s="142"/>
    </x:row>
    <x:row r="13438">
      <x:c r="A13438" s="142"/>
    </x:row>
    <x:row r="13439">
      <x:c r="A13439" s="142"/>
    </x:row>
    <x:row r="13440">
      <x:c r="A13440" s="142"/>
    </x:row>
    <x:row r="13441">
      <x:c r="A13441" s="142"/>
    </x:row>
    <x:row r="13442">
      <x:c r="A13442" s="142"/>
    </x:row>
    <x:row r="13443">
      <x:c r="A13443" s="142"/>
    </x:row>
    <x:row r="13444">
      <x:c r="A13444" s="142"/>
    </x:row>
    <x:row r="13445">
      <x:c r="A13445" s="142"/>
    </x:row>
    <x:row r="13446">
      <x:c r="A13446" s="142"/>
    </x:row>
    <x:row r="13447">
      <x:c r="A13447" s="142"/>
    </x:row>
    <x:row r="13448">
      <x:c r="A13448" s="142"/>
    </x:row>
    <x:row r="13449">
      <x:c r="A13449" s="142"/>
    </x:row>
    <x:row r="13450">
      <x:c r="A13450" s="142"/>
    </x:row>
    <x:row r="13451">
      <x:c r="A13451" s="142"/>
    </x:row>
    <x:row r="13452">
      <x:c r="A13452" s="142"/>
    </x:row>
    <x:row r="13453">
      <x:c r="A13453" s="142"/>
    </x:row>
    <x:row r="13454">
      <x:c r="A13454" s="142"/>
    </x:row>
    <x:row r="13455">
      <x:c r="A13455" s="142"/>
    </x:row>
    <x:row r="13456">
      <x:c r="A13456" s="142"/>
    </x:row>
    <x:row r="13457">
      <x:c r="A13457" s="142"/>
    </x:row>
    <x:row r="13458">
      <x:c r="A13458" s="142"/>
    </x:row>
    <x:row r="13459">
      <x:c r="A13459" s="142"/>
    </x:row>
    <x:row r="13460">
      <x:c r="A13460" s="142"/>
    </x:row>
    <x:row r="13461">
      <x:c r="A13461" s="142"/>
    </x:row>
    <x:row r="13462">
      <x:c r="A13462" s="142"/>
    </x:row>
    <x:row r="13463">
      <x:c r="A13463" s="142"/>
    </x:row>
    <x:row r="13464">
      <x:c r="A13464" s="142"/>
    </x:row>
    <x:row r="13465">
      <x:c r="A13465" s="142"/>
    </x:row>
    <x:row r="13466">
      <x:c r="A13466" s="142"/>
    </x:row>
    <x:row r="13467">
      <x:c r="A13467" s="142"/>
    </x:row>
    <x:row r="13468">
      <x:c r="A13468" s="142"/>
    </x:row>
    <x:row r="13469">
      <x:c r="A13469" s="142"/>
    </x:row>
    <x:row r="13470">
      <x:c r="A13470" s="142"/>
    </x:row>
    <x:row r="13471">
      <x:c r="A13471" s="142"/>
    </x:row>
    <x:row r="13472">
      <x:c r="A13472" s="142"/>
    </x:row>
    <x:row r="13473">
      <x:c r="A13473" s="142"/>
    </x:row>
    <x:row r="13474">
      <x:c r="A13474" s="142"/>
    </x:row>
    <x:row r="13475">
      <x:c r="A13475" s="142"/>
    </x:row>
    <x:row r="13476">
      <x:c r="A13476" s="142"/>
    </x:row>
    <x:row r="13477">
      <x:c r="A13477" s="142"/>
    </x:row>
    <x:row r="13478">
      <x:c r="A13478" s="142"/>
    </x:row>
    <x:row r="13479">
      <x:c r="A13479" s="142"/>
    </x:row>
    <x:row r="13480">
      <x:c r="A13480" s="142"/>
    </x:row>
    <x:row r="13481">
      <x:c r="A13481" s="142"/>
    </x:row>
    <x:row r="13482">
      <x:c r="A13482" s="142"/>
    </x:row>
    <x:row r="13483">
      <x:c r="A13483" s="142"/>
    </x:row>
    <x:row r="13484">
      <x:c r="A13484" s="142"/>
    </x:row>
    <x:row r="13485">
      <x:c r="A13485" s="142"/>
    </x:row>
    <x:row r="13486">
      <x:c r="A13486" s="142"/>
    </x:row>
    <x:row r="13487">
      <x:c r="A13487" s="142"/>
    </x:row>
    <x:row r="13488">
      <x:c r="A13488" s="142"/>
    </x:row>
    <x:row r="13489">
      <x:c r="A13489" s="142"/>
    </x:row>
    <x:row r="13490">
      <x:c r="A13490" s="142"/>
    </x:row>
    <x:row r="13491">
      <x:c r="A13491" s="142"/>
    </x:row>
    <x:row r="13492">
      <x:c r="A13492" s="142"/>
    </x:row>
    <x:row r="13493">
      <x:c r="A13493" s="142"/>
    </x:row>
    <x:row r="13494">
      <x:c r="A13494" s="142"/>
    </x:row>
    <x:row r="13495">
      <x:c r="A13495" s="142"/>
    </x:row>
    <x:row r="13496">
      <x:c r="A13496" s="142"/>
    </x:row>
    <x:row r="13497">
      <x:c r="A13497" s="142"/>
    </x:row>
    <x:row r="13498">
      <x:c r="A13498" s="142"/>
    </x:row>
    <x:row r="13499">
      <x:c r="A13499" s="142"/>
    </x:row>
    <x:row r="13500">
      <x:c r="A13500" s="142"/>
    </x:row>
    <x:row r="13501">
      <x:c r="A13501" s="142"/>
    </x:row>
    <x:row r="13502">
      <x:c r="A13502" s="142"/>
    </x:row>
    <x:row r="13503">
      <x:c r="A13503" s="142"/>
    </x:row>
    <x:row r="13504">
      <x:c r="A13504" s="142"/>
    </x:row>
    <x:row r="13505">
      <x:c r="A13505" s="142"/>
    </x:row>
    <x:row r="13506">
      <x:c r="A13506" s="142"/>
    </x:row>
    <x:row r="13507">
      <x:c r="A13507" s="142"/>
    </x:row>
    <x:row r="13508">
      <x:c r="A13508" s="142"/>
    </x:row>
    <x:row r="13509">
      <x:c r="A13509" s="142"/>
    </x:row>
    <x:row r="13510">
      <x:c r="A13510" s="142"/>
    </x:row>
    <x:row r="13511">
      <x:c r="A13511" s="142"/>
    </x:row>
    <x:row r="13512">
      <x:c r="A13512" s="142"/>
    </x:row>
    <x:row r="13513">
      <x:c r="A13513" s="142"/>
    </x:row>
    <x:row r="13514">
      <x:c r="A13514" s="142"/>
    </x:row>
    <x:row r="13515">
      <x:c r="A13515" s="142"/>
    </x:row>
    <x:row r="13516">
      <x:c r="A13516" s="142"/>
    </x:row>
    <x:row r="13517">
      <x:c r="A13517" s="142"/>
    </x:row>
    <x:row r="13518">
      <x:c r="A13518" s="142"/>
    </x:row>
    <x:row r="13519">
      <x:c r="A13519" s="142"/>
    </x:row>
    <x:row r="13520">
      <x:c r="A13520" s="142"/>
    </x:row>
    <x:row r="13521">
      <x:c r="A13521" s="142"/>
    </x:row>
    <x:row r="13522">
      <x:c r="A13522" s="142"/>
    </x:row>
    <x:row r="13523">
      <x:c r="A13523" s="142"/>
    </x:row>
    <x:row r="13524">
      <x:c r="A13524" s="142"/>
    </x:row>
    <x:row r="13525">
      <x:c r="A13525" s="142"/>
    </x:row>
    <x:row r="13526">
      <x:c r="A13526" s="142"/>
    </x:row>
    <x:row r="13527">
      <x:c r="A13527" s="142"/>
    </x:row>
    <x:row r="13528">
      <x:c r="A13528" s="142"/>
    </x:row>
    <x:row r="13529">
      <x:c r="A13529" s="142"/>
    </x:row>
    <x:row r="13530">
      <x:c r="A13530" s="142"/>
    </x:row>
    <x:row r="13531">
      <x:c r="A13531" s="142"/>
    </x:row>
    <x:row r="13532">
      <x:c r="A13532" s="142"/>
    </x:row>
    <x:row r="13533">
      <x:c r="A13533" s="142"/>
    </x:row>
    <x:row r="13534">
      <x:c r="A13534" s="142"/>
    </x:row>
    <x:row r="13535">
      <x:c r="A13535" s="142"/>
    </x:row>
    <x:row r="13536">
      <x:c r="A13536" s="142"/>
    </x:row>
    <x:row r="13537">
      <x:c r="A13537" s="142"/>
    </x:row>
    <x:row r="13538">
      <x:c r="A13538" s="142"/>
    </x:row>
    <x:row r="13539">
      <x:c r="A13539" s="142"/>
    </x:row>
    <x:row r="13540">
      <x:c r="A13540" s="142"/>
    </x:row>
    <x:row r="13541">
      <x:c r="A13541" s="142"/>
    </x:row>
    <x:row r="13542">
      <x:c r="A13542" s="142"/>
    </x:row>
    <x:row r="13543">
      <x:c r="A13543" s="142"/>
    </x:row>
    <x:row r="13544">
      <x:c r="A13544" s="142"/>
    </x:row>
    <x:row r="13545">
      <x:c r="A13545" s="142"/>
    </x:row>
    <x:row r="13546">
      <x:c r="A13546" s="142"/>
    </x:row>
    <x:row r="13547">
      <x:c r="A13547" s="142"/>
    </x:row>
    <x:row r="13548">
      <x:c r="A13548" s="142"/>
    </x:row>
    <x:row r="13549">
      <x:c r="A13549" s="142"/>
    </x:row>
    <x:row r="13550">
      <x:c r="A13550" s="142"/>
    </x:row>
    <x:row r="13551">
      <x:c r="A13551" s="142"/>
    </x:row>
    <x:row r="13552">
      <x:c r="A13552" s="142"/>
    </x:row>
    <x:row r="13553">
      <x:c r="A13553" s="142"/>
    </x:row>
    <x:row r="13554">
      <x:c r="A13554" s="142"/>
    </x:row>
    <x:row r="13555">
      <x:c r="A13555" s="142"/>
    </x:row>
    <x:row r="13556">
      <x:c r="A13556" s="142"/>
    </x:row>
    <x:row r="13557">
      <x:c r="A13557" s="142"/>
    </x:row>
    <x:row r="13558">
      <x:c r="A13558" s="142"/>
    </x:row>
    <x:row r="13559">
      <x:c r="A13559" s="142"/>
    </x:row>
    <x:row r="13560">
      <x:c r="A13560" s="142"/>
    </x:row>
    <x:row r="13561">
      <x:c r="A13561" s="142"/>
    </x:row>
    <x:row r="13562">
      <x:c r="A13562" s="142"/>
    </x:row>
    <x:row r="13563">
      <x:c r="A13563" s="142"/>
    </x:row>
    <x:row r="13564">
      <x:c r="A13564" s="142"/>
    </x:row>
    <x:row r="13565">
      <x:c r="A13565" s="142"/>
    </x:row>
    <x:row r="13566">
      <x:c r="A13566" s="142"/>
    </x:row>
    <x:row r="13567">
      <x:c r="A13567" s="142"/>
    </x:row>
    <x:row r="13568">
      <x:c r="A13568" s="142"/>
    </x:row>
    <x:row r="13569">
      <x:c r="A13569" s="142"/>
    </x:row>
    <x:row r="13570">
      <x:c r="A13570" s="142"/>
    </x:row>
    <x:row r="13571">
      <x:c r="A13571" s="142"/>
    </x:row>
    <x:row r="13572">
      <x:c r="A13572" s="142"/>
    </x:row>
    <x:row r="13573">
      <x:c r="A13573" s="142"/>
    </x:row>
    <x:row r="13574">
      <x:c r="A13574" s="142"/>
    </x:row>
    <x:row r="13575">
      <x:c r="A13575" s="142"/>
    </x:row>
    <x:row r="13576">
      <x:c r="A13576" s="142"/>
    </x:row>
    <x:row r="13577">
      <x:c r="A13577" s="142"/>
    </x:row>
    <x:row r="13578">
      <x:c r="A13578" s="142"/>
    </x:row>
    <x:row r="13579">
      <x:c r="A13579" s="142"/>
    </x:row>
    <x:row r="13580">
      <x:c r="A13580" s="142"/>
    </x:row>
    <x:row r="13581">
      <x:c r="A13581" s="142"/>
    </x:row>
    <x:row r="13582">
      <x:c r="A13582" s="142"/>
    </x:row>
    <x:row r="13583">
      <x:c r="A13583" s="142"/>
    </x:row>
    <x:row r="13584">
      <x:c r="A13584" s="142"/>
    </x:row>
    <x:row r="13585">
      <x:c r="A13585" s="142"/>
    </x:row>
    <x:row r="13586">
      <x:c r="A13586" s="142"/>
    </x:row>
    <x:row r="13587">
      <x:c r="A13587" s="142"/>
    </x:row>
    <x:row r="13588">
      <x:c r="A13588" s="142"/>
    </x:row>
    <x:row r="13589">
      <x:c r="A13589" s="142"/>
    </x:row>
    <x:row r="13590">
      <x:c r="A13590" s="142"/>
    </x:row>
    <x:row r="13591">
      <x:c r="A13591" s="142"/>
    </x:row>
    <x:row r="13592">
      <x:c r="A13592" s="142"/>
    </x:row>
    <x:row r="13593">
      <x:c r="A13593" s="142"/>
    </x:row>
    <x:row r="13594">
      <x:c r="A13594" s="142"/>
    </x:row>
    <x:row r="13595">
      <x:c r="A13595" s="142"/>
    </x:row>
    <x:row r="13596">
      <x:c r="A13596" s="142"/>
    </x:row>
    <x:row r="13597">
      <x:c r="A13597" s="142"/>
    </x:row>
    <x:row r="13598">
      <x:c r="A13598" s="142"/>
    </x:row>
    <x:row r="13599">
      <x:c r="A13599" s="142"/>
    </x:row>
    <x:row r="13600">
      <x:c r="A13600" s="142"/>
    </x:row>
    <x:row r="13601">
      <x:c r="A13601" s="142"/>
    </x:row>
    <x:row r="13602">
      <x:c r="A13602" s="142"/>
    </x:row>
    <x:row r="13603">
      <x:c r="A13603" s="142"/>
    </x:row>
    <x:row r="13604">
      <x:c r="A13604" s="142"/>
    </x:row>
    <x:row r="13605">
      <x:c r="A13605" s="142"/>
    </x:row>
    <x:row r="13606">
      <x:c r="A13606" s="142"/>
    </x:row>
    <x:row r="13607">
      <x:c r="A13607" s="142"/>
    </x:row>
    <x:row r="13608">
      <x:c r="A13608" s="142"/>
    </x:row>
    <x:row r="13609">
      <x:c r="A13609" s="142"/>
    </x:row>
    <x:row r="13610">
      <x:c r="A13610" s="142"/>
    </x:row>
    <x:row r="13611">
      <x:c r="A13611" s="142"/>
    </x:row>
    <x:row r="13612">
      <x:c r="A13612" s="142"/>
    </x:row>
    <x:row r="13613">
      <x:c r="A13613" s="142"/>
    </x:row>
    <x:row r="13614">
      <x:c r="A13614" s="142"/>
    </x:row>
    <x:row r="13615">
      <x:c r="A13615" s="142"/>
    </x:row>
    <x:row r="13616">
      <x:c r="A13616" s="142"/>
    </x:row>
    <x:row r="13617">
      <x:c r="A13617" s="142"/>
    </x:row>
    <x:row r="13618">
      <x:c r="A13618" s="142"/>
    </x:row>
    <x:row r="13619">
      <x:c r="A13619" s="142"/>
    </x:row>
    <x:row r="13620">
      <x:c r="A13620" s="142"/>
    </x:row>
    <x:row r="13621">
      <x:c r="A13621" s="142"/>
    </x:row>
    <x:row r="13622">
      <x:c r="A13622" s="142"/>
    </x:row>
    <x:row r="13623">
      <x:c r="A13623" s="142"/>
    </x:row>
    <x:row r="13624">
      <x:c r="A13624" s="142"/>
    </x:row>
    <x:row r="13625">
      <x:c r="A13625" s="142"/>
    </x:row>
    <x:row r="13626">
      <x:c r="A13626" s="142"/>
    </x:row>
    <x:row r="13627">
      <x:c r="A13627" s="142"/>
    </x:row>
    <x:row r="13628">
      <x:c r="A13628" s="142"/>
    </x:row>
    <x:row r="13629">
      <x:c r="A13629" s="142"/>
    </x:row>
    <x:row r="13630">
      <x:c r="A13630" s="142"/>
    </x:row>
    <x:row r="13631">
      <x:c r="A13631" s="142"/>
    </x:row>
    <x:row r="13632">
      <x:c r="A13632" s="142"/>
    </x:row>
    <x:row r="13633">
      <x:c r="A13633" s="142"/>
    </x:row>
    <x:row r="13634">
      <x:c r="A13634" s="142"/>
    </x:row>
    <x:row r="13635">
      <x:c r="A13635" s="142"/>
    </x:row>
    <x:row r="13636">
      <x:c r="A13636" s="142"/>
    </x:row>
    <x:row r="13637">
      <x:c r="A13637" s="142"/>
    </x:row>
    <x:row r="13638">
      <x:c r="A13638" s="142"/>
    </x:row>
    <x:row r="13639">
      <x:c r="A13639" s="142"/>
    </x:row>
    <x:row r="13640">
      <x:c r="A13640" s="142"/>
    </x:row>
    <x:row r="13641">
      <x:c r="A13641" s="142"/>
    </x:row>
    <x:row r="13642">
      <x:c r="A13642" s="142"/>
    </x:row>
    <x:row r="13643">
      <x:c r="A13643" s="142"/>
    </x:row>
    <x:row r="13644">
      <x:c r="A13644" s="142"/>
    </x:row>
    <x:row r="13645">
      <x:c r="A13645" s="142"/>
    </x:row>
    <x:row r="13646">
      <x:c r="A13646" s="142"/>
    </x:row>
    <x:row r="13647">
      <x:c r="A13647" s="142"/>
    </x:row>
    <x:row r="13648">
      <x:c r="A13648" s="142"/>
    </x:row>
    <x:row r="13649">
      <x:c r="A13649" s="142"/>
    </x:row>
    <x:row r="13650">
      <x:c r="A13650" s="142"/>
    </x:row>
    <x:row r="13651">
      <x:c r="A13651" s="142"/>
    </x:row>
    <x:row r="13652">
      <x:c r="A13652" s="142"/>
    </x:row>
    <x:row r="13653">
      <x:c r="A13653" s="142"/>
    </x:row>
    <x:row r="13654">
      <x:c r="A13654" s="142"/>
    </x:row>
    <x:row r="13655">
      <x:c r="A13655" s="142"/>
    </x:row>
    <x:row r="13656">
      <x:c r="A13656" s="142"/>
    </x:row>
    <x:row r="13657">
      <x:c r="A13657" s="142"/>
    </x:row>
    <x:row r="13658">
      <x:c r="A13658" s="142"/>
    </x:row>
    <x:row r="13659">
      <x:c r="A13659" s="142"/>
    </x:row>
    <x:row r="13660">
      <x:c r="A13660" s="142"/>
    </x:row>
    <x:row r="13661">
      <x:c r="A13661" s="142"/>
    </x:row>
    <x:row r="13662">
      <x:c r="A13662" s="142"/>
    </x:row>
    <x:row r="13663">
      <x:c r="A13663" s="142"/>
    </x:row>
    <x:row r="13664">
      <x:c r="A13664" s="142"/>
    </x:row>
    <x:row r="13665">
      <x:c r="A13665" s="142"/>
    </x:row>
    <x:row r="13666">
      <x:c r="A13666" s="142"/>
    </x:row>
    <x:row r="13667">
      <x:c r="A13667" s="142"/>
    </x:row>
    <x:row r="13668">
      <x:c r="A13668" s="142"/>
    </x:row>
    <x:row r="13669">
      <x:c r="A13669" s="142"/>
    </x:row>
    <x:row r="13670">
      <x:c r="A13670" s="142"/>
    </x:row>
    <x:row r="13671">
      <x:c r="A13671" s="142"/>
    </x:row>
    <x:row r="13672">
      <x:c r="A13672" s="142"/>
    </x:row>
    <x:row r="13673">
      <x:c r="A13673" s="142"/>
    </x:row>
    <x:row r="13674">
      <x:c r="A13674" s="142"/>
    </x:row>
    <x:row r="13675">
      <x:c r="A13675" s="142"/>
    </x:row>
    <x:row r="13676">
      <x:c r="A13676" s="142"/>
    </x:row>
    <x:row r="13677">
      <x:c r="A13677" s="142"/>
    </x:row>
    <x:row r="13678">
      <x:c r="A13678" s="142"/>
    </x:row>
    <x:row r="13679">
      <x:c r="A13679" s="142"/>
    </x:row>
    <x:row r="13680">
      <x:c r="A13680" s="142"/>
    </x:row>
    <x:row r="13681">
      <x:c r="A13681" s="142"/>
    </x:row>
    <x:row r="13682">
      <x:c r="A13682" s="142"/>
    </x:row>
    <x:row r="13683">
      <x:c r="A13683" s="142"/>
    </x:row>
    <x:row r="13684">
      <x:c r="A13684" s="142"/>
    </x:row>
    <x:row r="13685">
      <x:c r="A13685" s="142"/>
    </x:row>
    <x:row r="13686">
      <x:c r="A13686" s="142"/>
    </x:row>
    <x:row r="13687">
      <x:c r="A13687" s="142"/>
    </x:row>
    <x:row r="13688">
      <x:c r="A13688" s="142"/>
    </x:row>
    <x:row r="13689">
      <x:c r="A13689" s="142"/>
    </x:row>
    <x:row r="13690">
      <x:c r="A13690" s="142"/>
    </x:row>
    <x:row r="13691">
      <x:c r="A13691" s="142"/>
    </x:row>
    <x:row r="13692">
      <x:c r="A13692" s="142"/>
    </x:row>
    <x:row r="13693">
      <x:c r="A13693" s="142"/>
    </x:row>
    <x:row r="13694">
      <x:c r="A13694" s="142"/>
    </x:row>
    <x:row r="13695">
      <x:c r="A13695" s="142"/>
    </x:row>
    <x:row r="13696">
      <x:c r="A13696" s="142"/>
    </x:row>
    <x:row r="13697">
      <x:c r="A13697" s="142"/>
    </x:row>
    <x:row r="13698">
      <x:c r="A13698" s="142"/>
    </x:row>
    <x:row r="13699">
      <x:c r="A13699" s="142"/>
    </x:row>
    <x:row r="13700">
      <x:c r="A13700" s="142"/>
    </x:row>
    <x:row r="13701">
      <x:c r="A13701" s="142"/>
    </x:row>
    <x:row r="13702">
      <x:c r="A13702" s="142"/>
    </x:row>
    <x:row r="13703">
      <x:c r="A13703" s="142"/>
    </x:row>
    <x:row r="13704">
      <x:c r="A13704" s="142"/>
    </x:row>
    <x:row r="13705">
      <x:c r="A13705" s="142"/>
    </x:row>
    <x:row r="13706">
      <x:c r="A13706" s="142"/>
    </x:row>
    <x:row r="13707">
      <x:c r="A13707" s="142"/>
    </x:row>
    <x:row r="13708">
      <x:c r="A13708" s="142"/>
    </x:row>
    <x:row r="13709">
      <x:c r="A13709" s="142"/>
    </x:row>
    <x:row r="13710">
      <x:c r="A13710" s="142"/>
    </x:row>
    <x:row r="13711">
      <x:c r="A13711" s="142"/>
    </x:row>
    <x:row r="13712">
      <x:c r="A13712" s="142"/>
    </x:row>
    <x:row r="13713">
      <x:c r="A13713" s="142"/>
    </x:row>
    <x:row r="13714">
      <x:c r="A13714" s="142"/>
    </x:row>
    <x:row r="13715">
      <x:c r="A13715" s="142"/>
    </x:row>
    <x:row r="13716">
      <x:c r="A13716" s="142"/>
    </x:row>
    <x:row r="13717">
      <x:c r="A13717" s="142"/>
    </x:row>
    <x:row r="13718">
      <x:c r="A13718" s="142"/>
    </x:row>
    <x:row r="13719">
      <x:c r="A13719" s="142"/>
    </x:row>
    <x:row r="13720">
      <x:c r="A13720" s="142"/>
    </x:row>
    <x:row r="13721">
      <x:c r="A13721" s="142"/>
    </x:row>
    <x:row r="13722">
      <x:c r="A13722" s="142"/>
    </x:row>
    <x:row r="13723">
      <x:c r="A13723" s="142"/>
    </x:row>
    <x:row r="13724">
      <x:c r="A13724" s="142"/>
    </x:row>
    <x:row r="13725">
      <x:c r="A13725" s="142"/>
    </x:row>
    <x:row r="13726">
      <x:c r="A13726" s="142"/>
    </x:row>
    <x:row r="13727">
      <x:c r="A13727" s="142"/>
    </x:row>
    <x:row r="13728">
      <x:c r="A13728" s="142"/>
    </x:row>
    <x:row r="13729">
      <x:c r="A13729" s="142"/>
    </x:row>
    <x:row r="13730">
      <x:c r="A13730" s="142"/>
    </x:row>
    <x:row r="13731">
      <x:c r="A13731" s="142"/>
    </x:row>
    <x:row r="13732">
      <x:c r="A13732" s="142"/>
    </x:row>
    <x:row r="13733">
      <x:c r="A13733" s="142"/>
    </x:row>
    <x:row r="13734">
      <x:c r="A13734" s="142"/>
    </x:row>
    <x:row r="13735">
      <x:c r="A13735" s="142"/>
    </x:row>
    <x:row r="13736">
      <x:c r="A13736" s="142"/>
    </x:row>
    <x:row r="13737">
      <x:c r="A13737" s="142"/>
    </x:row>
    <x:row r="13738">
      <x:c r="A13738" s="142"/>
    </x:row>
    <x:row r="13739">
      <x:c r="A13739" s="142"/>
    </x:row>
    <x:row r="13740">
      <x:c r="A13740" s="142"/>
    </x:row>
    <x:row r="13741">
      <x:c r="A13741" s="142"/>
    </x:row>
    <x:row r="13742">
      <x:c r="A13742" s="142"/>
    </x:row>
    <x:row r="13743">
      <x:c r="A13743" s="142"/>
    </x:row>
    <x:row r="13744">
      <x:c r="A13744" s="142"/>
    </x:row>
    <x:row r="13745">
      <x:c r="A13745" s="142"/>
    </x:row>
    <x:row r="13746">
      <x:c r="A13746" s="142"/>
    </x:row>
    <x:row r="13747">
      <x:c r="A13747" s="142"/>
    </x:row>
    <x:row r="13748">
      <x:c r="A13748" s="142"/>
    </x:row>
    <x:row r="13749">
      <x:c r="A13749" s="142"/>
    </x:row>
    <x:row r="13750">
      <x:c r="A13750" s="142"/>
    </x:row>
    <x:row r="13751">
      <x:c r="A13751" s="142"/>
    </x:row>
    <x:row r="13752">
      <x:c r="A13752" s="142"/>
    </x:row>
    <x:row r="13753">
      <x:c r="A13753" s="142"/>
    </x:row>
    <x:row r="13754">
      <x:c r="A13754" s="142"/>
    </x:row>
    <x:row r="13755">
      <x:c r="A13755" s="142"/>
    </x:row>
    <x:row r="13756">
      <x:c r="A13756" s="142"/>
    </x:row>
    <x:row r="13757">
      <x:c r="A13757" s="142"/>
    </x:row>
    <x:row r="13758">
      <x:c r="A13758" s="142"/>
    </x:row>
    <x:row r="13759">
      <x:c r="A13759" s="142"/>
    </x:row>
    <x:row r="13760">
      <x:c r="A13760" s="142"/>
    </x:row>
    <x:row r="13761">
      <x:c r="A13761" s="142"/>
    </x:row>
    <x:row r="13762">
      <x:c r="A13762" s="142"/>
    </x:row>
    <x:row r="13763">
      <x:c r="A13763" s="142"/>
    </x:row>
    <x:row r="13764">
      <x:c r="A13764" s="142"/>
    </x:row>
    <x:row r="13765">
      <x:c r="A13765" s="142"/>
    </x:row>
    <x:row r="13766">
      <x:c r="A13766" s="142"/>
    </x:row>
    <x:row r="13767">
      <x:c r="A13767" s="142"/>
    </x:row>
    <x:row r="13768">
      <x:c r="A13768" s="142"/>
    </x:row>
    <x:row r="13769">
      <x:c r="A13769" s="142"/>
    </x:row>
    <x:row r="13770">
      <x:c r="A13770" s="142"/>
    </x:row>
    <x:row r="13771">
      <x:c r="A13771" s="142"/>
    </x:row>
    <x:row r="13772">
      <x:c r="A13772" s="142"/>
    </x:row>
    <x:row r="13773">
      <x:c r="A13773" s="142"/>
    </x:row>
    <x:row r="13774">
      <x:c r="A13774" s="142"/>
    </x:row>
    <x:row r="13775">
      <x:c r="A13775" s="142"/>
    </x:row>
    <x:row r="13776">
      <x:c r="A13776" s="142"/>
    </x:row>
    <x:row r="13777">
      <x:c r="A13777" s="142"/>
    </x:row>
    <x:row r="13778">
      <x:c r="A13778" s="142"/>
    </x:row>
    <x:row r="13779">
      <x:c r="A13779" s="142"/>
    </x:row>
    <x:row r="13780">
      <x:c r="A13780" s="142"/>
    </x:row>
    <x:row r="13781">
      <x:c r="A13781" s="142"/>
    </x:row>
    <x:row r="13782">
      <x:c r="A13782" s="142"/>
    </x:row>
    <x:row r="13783">
      <x:c r="A13783" s="142"/>
    </x:row>
    <x:row r="13784">
      <x:c r="A13784" s="142"/>
    </x:row>
    <x:row r="13785">
      <x:c r="A13785" s="142"/>
    </x:row>
    <x:row r="13786">
      <x:c r="A13786" s="142"/>
    </x:row>
    <x:row r="13787">
      <x:c r="A13787" s="142"/>
    </x:row>
    <x:row r="13788">
      <x:c r="A13788" s="142"/>
    </x:row>
    <x:row r="13789">
      <x:c r="A13789" s="142"/>
    </x:row>
    <x:row r="13790">
      <x:c r="A13790" s="142"/>
    </x:row>
    <x:row r="13791">
      <x:c r="A13791" s="142"/>
    </x:row>
    <x:row r="13792">
      <x:c r="A13792" s="142"/>
    </x:row>
    <x:row r="13793">
      <x:c r="A13793" s="142"/>
    </x:row>
    <x:row r="13794">
      <x:c r="A13794" s="142"/>
    </x:row>
    <x:row r="13795">
      <x:c r="A13795" s="142"/>
    </x:row>
    <x:row r="13796">
      <x:c r="A13796" s="142"/>
    </x:row>
    <x:row r="13797">
      <x:c r="A13797" s="142"/>
    </x:row>
    <x:row r="13798">
      <x:c r="A13798" s="142"/>
    </x:row>
    <x:row r="13799">
      <x:c r="A13799" s="142"/>
    </x:row>
    <x:row r="13800">
      <x:c r="A13800" s="142"/>
    </x:row>
    <x:row r="13801">
      <x:c r="A13801" s="142"/>
    </x:row>
    <x:row r="13802">
      <x:c r="A13802" s="142"/>
    </x:row>
    <x:row r="13803">
      <x:c r="A13803" s="142"/>
    </x:row>
    <x:row r="13804">
      <x:c r="A13804" s="142"/>
    </x:row>
    <x:row r="13805">
      <x:c r="A13805" s="142"/>
    </x:row>
    <x:row r="13806">
      <x:c r="A13806" s="142"/>
    </x:row>
    <x:row r="13807">
      <x:c r="A13807" s="142"/>
    </x:row>
    <x:row r="13808">
      <x:c r="A13808" s="142"/>
    </x:row>
    <x:row r="13809">
      <x:c r="A13809" s="142"/>
    </x:row>
    <x:row r="13810">
      <x:c r="A13810" s="142"/>
    </x:row>
    <x:row r="13811">
      <x:c r="A13811" s="142"/>
    </x:row>
    <x:row r="13812">
      <x:c r="A13812" s="142"/>
    </x:row>
    <x:row r="13813">
      <x:c r="A13813" s="142"/>
    </x:row>
    <x:row r="13814">
      <x:c r="A13814" s="142"/>
    </x:row>
    <x:row r="13815">
      <x:c r="A13815" s="142"/>
    </x:row>
    <x:row r="13816">
      <x:c r="A13816" s="142"/>
    </x:row>
    <x:row r="13817">
      <x:c r="A13817" s="142"/>
    </x:row>
    <x:row r="13818">
      <x:c r="A13818" s="142"/>
    </x:row>
    <x:row r="13819">
      <x:c r="A13819" s="142"/>
    </x:row>
    <x:row r="13820">
      <x:c r="A13820" s="142"/>
    </x:row>
    <x:row r="13821">
      <x:c r="A13821" s="142"/>
    </x:row>
    <x:row r="13822">
      <x:c r="A13822" s="142"/>
    </x:row>
    <x:row r="13823">
      <x:c r="A13823" s="142"/>
    </x:row>
    <x:row r="13824">
      <x:c r="A13824" s="142"/>
    </x:row>
    <x:row r="13825">
      <x:c r="A13825" s="142"/>
    </x:row>
    <x:row r="13826">
      <x:c r="A13826" s="142"/>
    </x:row>
    <x:row r="13827">
      <x:c r="A13827" s="142"/>
    </x:row>
    <x:row r="13828">
      <x:c r="A13828" s="142"/>
    </x:row>
    <x:row r="13829">
      <x:c r="A13829" s="142"/>
    </x:row>
    <x:row r="13830">
      <x:c r="A13830" s="142"/>
    </x:row>
    <x:row r="13831">
      <x:c r="A13831" s="142"/>
    </x:row>
    <x:row r="13832">
      <x:c r="A13832" s="142"/>
    </x:row>
    <x:row r="13833">
      <x:c r="A13833" s="142"/>
    </x:row>
    <x:row r="13834">
      <x:c r="A13834" s="142"/>
    </x:row>
    <x:row r="13835">
      <x:c r="A13835" s="142"/>
    </x:row>
    <x:row r="13836">
      <x:c r="A13836" s="142"/>
    </x:row>
    <x:row r="13837">
      <x:c r="A13837" s="142"/>
    </x:row>
    <x:row r="13838">
      <x:c r="A13838" s="142"/>
    </x:row>
    <x:row r="13839">
      <x:c r="A13839" s="142"/>
    </x:row>
    <x:row r="13840">
      <x:c r="A13840" s="142"/>
    </x:row>
    <x:row r="13841">
      <x:c r="A13841" s="142"/>
    </x:row>
    <x:row r="13842">
      <x:c r="A13842" s="142"/>
    </x:row>
    <x:row r="13843">
      <x:c r="A13843" s="142"/>
    </x:row>
    <x:row r="13844">
      <x:c r="A13844" s="142"/>
    </x:row>
    <x:row r="13845">
      <x:c r="A13845" s="142"/>
    </x:row>
    <x:row r="13846">
      <x:c r="A13846" s="142"/>
    </x:row>
    <x:row r="13847">
      <x:c r="A13847" s="142"/>
    </x:row>
    <x:row r="13848">
      <x:c r="A13848" s="142"/>
    </x:row>
    <x:row r="13849">
      <x:c r="A13849" s="142"/>
    </x:row>
    <x:row r="13850">
      <x:c r="A13850" s="142"/>
    </x:row>
    <x:row r="13851">
      <x:c r="A13851" s="142"/>
    </x:row>
    <x:row r="13852">
      <x:c r="A13852" s="142"/>
    </x:row>
    <x:row r="13853">
      <x:c r="A13853" s="142"/>
    </x:row>
    <x:row r="13854">
      <x:c r="A13854" s="142"/>
    </x:row>
    <x:row r="13855">
      <x:c r="A13855" s="142"/>
    </x:row>
    <x:row r="13856">
      <x:c r="A13856" s="142"/>
    </x:row>
    <x:row r="13857">
      <x:c r="A13857" s="142"/>
    </x:row>
    <x:row r="13858">
      <x:c r="A13858" s="142"/>
    </x:row>
    <x:row r="13859">
      <x:c r="A13859" s="142"/>
    </x:row>
    <x:row r="13860">
      <x:c r="A13860" s="142"/>
    </x:row>
    <x:row r="13861">
      <x:c r="A13861" s="142"/>
    </x:row>
    <x:row r="13862">
      <x:c r="A13862" s="142"/>
    </x:row>
    <x:row r="13863">
      <x:c r="A13863" s="142"/>
    </x:row>
    <x:row r="13864">
      <x:c r="A13864" s="142"/>
    </x:row>
    <x:row r="13865">
      <x:c r="A13865" s="142"/>
    </x:row>
    <x:row r="13866">
      <x:c r="A13866" s="142"/>
    </x:row>
    <x:row r="13867">
      <x:c r="A13867" s="142"/>
    </x:row>
    <x:row r="13868">
      <x:c r="A13868" s="142"/>
    </x:row>
    <x:row r="13869">
      <x:c r="A13869" s="142"/>
    </x:row>
    <x:row r="13870">
      <x:c r="A13870" s="142"/>
    </x:row>
    <x:row r="13871">
      <x:c r="A13871" s="142"/>
    </x:row>
    <x:row r="13872">
      <x:c r="A13872" s="142"/>
    </x:row>
    <x:row r="13873">
      <x:c r="A13873" s="142"/>
    </x:row>
    <x:row r="13874">
      <x:c r="A13874" s="142"/>
    </x:row>
    <x:row r="13875">
      <x:c r="A13875" s="142"/>
    </x:row>
    <x:row r="13876">
      <x:c r="A13876" s="142"/>
    </x:row>
    <x:row r="13877">
      <x:c r="A13877" s="142"/>
    </x:row>
    <x:row r="13878">
      <x:c r="A13878" s="142"/>
    </x:row>
    <x:row r="13879">
      <x:c r="A13879" s="142"/>
    </x:row>
    <x:row r="13880">
      <x:c r="A13880" s="142"/>
    </x:row>
    <x:row r="13881">
      <x:c r="A13881" s="142"/>
    </x:row>
    <x:row r="13882">
      <x:c r="A13882" s="142"/>
    </x:row>
    <x:row r="13883">
      <x:c r="A13883" s="142"/>
    </x:row>
    <x:row r="13884">
      <x:c r="A13884" s="142"/>
    </x:row>
    <x:row r="13885">
      <x:c r="A13885" s="142"/>
    </x:row>
    <x:row r="13886">
      <x:c r="A13886" s="142"/>
    </x:row>
    <x:row r="13887">
      <x:c r="A13887" s="142"/>
    </x:row>
    <x:row r="13888">
      <x:c r="A13888" s="142"/>
    </x:row>
    <x:row r="13889">
      <x:c r="A13889" s="142"/>
    </x:row>
    <x:row r="13890">
      <x:c r="A13890" s="142"/>
    </x:row>
    <x:row r="13891">
      <x:c r="A13891" s="142"/>
    </x:row>
    <x:row r="13892">
      <x:c r="A13892" s="142"/>
    </x:row>
    <x:row r="13893">
      <x:c r="A13893" s="142"/>
    </x:row>
    <x:row r="13894">
      <x:c r="A13894" s="142"/>
    </x:row>
    <x:row r="13895">
      <x:c r="A13895" s="142"/>
    </x:row>
    <x:row r="13896">
      <x:c r="A13896" s="142"/>
    </x:row>
    <x:row r="13897">
      <x:c r="A13897" s="142"/>
    </x:row>
    <x:row r="13898">
      <x:c r="A13898" s="142"/>
    </x:row>
    <x:row r="13899">
      <x:c r="A13899" s="142"/>
    </x:row>
    <x:row r="13900">
      <x:c r="A13900" s="142"/>
    </x:row>
    <x:row r="13901">
      <x:c r="A13901" s="142"/>
    </x:row>
    <x:row r="13902">
      <x:c r="A13902" s="142"/>
    </x:row>
    <x:row r="13903">
      <x:c r="A13903" s="142"/>
    </x:row>
    <x:row r="13904">
      <x:c r="A13904" s="142"/>
    </x:row>
    <x:row r="13905">
      <x:c r="A13905" s="142"/>
    </x:row>
    <x:row r="13906">
      <x:c r="A13906" s="142"/>
    </x:row>
    <x:row r="13907">
      <x:c r="A13907" s="142"/>
    </x:row>
    <x:row r="13908">
      <x:c r="A13908" s="142"/>
    </x:row>
    <x:row r="13909">
      <x:c r="A13909" s="142"/>
    </x:row>
    <x:row r="13910">
      <x:c r="A13910" s="142"/>
    </x:row>
    <x:row r="13911">
      <x:c r="A13911" s="142"/>
    </x:row>
    <x:row r="13912">
      <x:c r="A13912" s="142"/>
    </x:row>
    <x:row r="13913">
      <x:c r="A13913" s="142"/>
    </x:row>
    <x:row r="13914">
      <x:c r="A13914" s="142"/>
    </x:row>
    <x:row r="13915">
      <x:c r="A13915" s="142"/>
    </x:row>
    <x:row r="13916">
      <x:c r="A13916" s="142"/>
    </x:row>
    <x:row r="13917">
      <x:c r="A13917" s="142"/>
    </x:row>
    <x:row r="13918">
      <x:c r="A13918" s="142"/>
    </x:row>
    <x:row r="13919">
      <x:c r="A13919" s="142"/>
    </x:row>
    <x:row r="13920">
      <x:c r="A13920" s="142"/>
    </x:row>
    <x:row r="13921">
      <x:c r="A13921" s="142"/>
    </x:row>
    <x:row r="13922">
      <x:c r="A13922" s="142"/>
    </x:row>
    <x:row r="13923">
      <x:c r="A13923" s="142"/>
    </x:row>
    <x:row r="13924">
      <x:c r="A13924" s="142"/>
    </x:row>
    <x:row r="13925">
      <x:c r="A13925" s="142"/>
    </x:row>
    <x:row r="13926">
      <x:c r="A13926" s="142"/>
    </x:row>
    <x:row r="13927">
      <x:c r="A13927" s="142"/>
    </x:row>
    <x:row r="13928">
      <x:c r="A13928" s="142"/>
    </x:row>
    <x:row r="13929">
      <x:c r="A13929" s="142"/>
    </x:row>
    <x:row r="13930">
      <x:c r="A13930" s="142"/>
    </x:row>
    <x:row r="13931">
      <x:c r="A13931" s="142"/>
    </x:row>
    <x:row r="13932">
      <x:c r="A13932" s="142"/>
    </x:row>
    <x:row r="13933">
      <x:c r="A13933" s="142"/>
    </x:row>
    <x:row r="13934">
      <x:c r="A13934" s="142"/>
    </x:row>
    <x:row r="13935">
      <x:c r="A13935" s="142"/>
    </x:row>
    <x:row r="13936">
      <x:c r="A13936" s="142"/>
    </x:row>
    <x:row r="13937">
      <x:c r="A13937" s="142"/>
    </x:row>
    <x:row r="13938">
      <x:c r="A13938" s="142"/>
    </x:row>
    <x:row r="13939">
      <x:c r="A13939" s="142"/>
    </x:row>
    <x:row r="13940">
      <x:c r="A13940" s="142"/>
    </x:row>
    <x:row r="13941">
      <x:c r="A13941" s="142"/>
    </x:row>
    <x:row r="13942">
      <x:c r="A13942" s="142"/>
    </x:row>
    <x:row r="13943">
      <x:c r="A13943" s="142"/>
    </x:row>
    <x:row r="13944">
      <x:c r="A13944" s="142"/>
    </x:row>
    <x:row r="13945">
      <x:c r="A13945" s="142"/>
    </x:row>
    <x:row r="13946">
      <x:c r="A13946" s="142"/>
    </x:row>
    <x:row r="13947">
      <x:c r="A13947" s="142"/>
    </x:row>
    <x:row r="13948">
      <x:c r="A13948" s="142"/>
    </x:row>
    <x:row r="13949">
      <x:c r="A13949" s="142"/>
    </x:row>
    <x:row r="13950">
      <x:c r="A13950" s="142"/>
    </x:row>
    <x:row r="13951">
      <x:c r="A13951" s="142"/>
    </x:row>
    <x:row r="13952">
      <x:c r="A13952" s="142"/>
    </x:row>
    <x:row r="13953">
      <x:c r="A13953" s="142"/>
    </x:row>
    <x:row r="13954">
      <x:c r="A13954" s="142"/>
    </x:row>
    <x:row r="13955">
      <x:c r="A13955" s="142"/>
    </x:row>
    <x:row r="13956">
      <x:c r="A13956" s="142"/>
    </x:row>
    <x:row r="13957">
      <x:c r="A13957" s="142"/>
    </x:row>
    <x:row r="13958">
      <x:c r="A13958" s="142"/>
    </x:row>
    <x:row r="13959">
      <x:c r="A13959" s="142"/>
    </x:row>
    <x:row r="13960">
      <x:c r="A13960" s="142"/>
    </x:row>
    <x:row r="13961">
      <x:c r="A13961" s="142"/>
    </x:row>
    <x:row r="13962">
      <x:c r="A13962" s="142"/>
    </x:row>
    <x:row r="13963">
      <x:c r="A13963" s="142"/>
    </x:row>
    <x:row r="13964">
      <x:c r="A13964" s="142"/>
    </x:row>
    <x:row r="13965">
      <x:c r="A13965" s="142"/>
    </x:row>
    <x:row r="13966">
      <x:c r="A13966" s="142"/>
    </x:row>
    <x:row r="13967">
      <x:c r="A13967" s="142"/>
    </x:row>
    <x:row r="13968">
      <x:c r="A13968" s="142"/>
    </x:row>
    <x:row r="13969">
      <x:c r="A13969" s="142"/>
    </x:row>
    <x:row r="13970">
      <x:c r="A13970" s="142"/>
    </x:row>
    <x:row r="13971">
      <x:c r="A13971" s="142"/>
    </x:row>
    <x:row r="13972">
      <x:c r="A13972" s="142"/>
    </x:row>
    <x:row r="13973">
      <x:c r="A13973" s="142"/>
    </x:row>
    <x:row r="13974">
      <x:c r="A13974" s="142"/>
    </x:row>
    <x:row r="13975">
      <x:c r="A13975" s="142"/>
    </x:row>
    <x:row r="13976">
      <x:c r="A13976" s="142"/>
    </x:row>
    <x:row r="13977">
      <x:c r="A13977" s="142"/>
    </x:row>
    <x:row r="13978">
      <x:c r="A13978" s="142"/>
    </x:row>
    <x:row r="13979">
      <x:c r="A13979" s="142"/>
    </x:row>
    <x:row r="13980">
      <x:c r="A13980" s="142"/>
    </x:row>
    <x:row r="13981">
      <x:c r="A13981" s="142"/>
    </x:row>
    <x:row r="13982">
      <x:c r="A13982" s="142"/>
    </x:row>
    <x:row r="13983">
      <x:c r="A13983" s="142"/>
    </x:row>
    <x:row r="13984">
      <x:c r="A13984" s="142"/>
    </x:row>
    <x:row r="13985">
      <x:c r="A13985" s="142"/>
    </x:row>
    <x:row r="13986">
      <x:c r="A13986" s="142"/>
    </x:row>
    <x:row r="13987">
      <x:c r="A13987" s="142"/>
    </x:row>
    <x:row r="13988">
      <x:c r="A13988" s="142"/>
    </x:row>
    <x:row r="13989">
      <x:c r="A13989" s="142"/>
    </x:row>
    <x:row r="13990">
      <x:c r="A13990" s="142"/>
    </x:row>
    <x:row r="13991">
      <x:c r="A13991" s="142"/>
    </x:row>
    <x:row r="13992">
      <x:c r="A13992" s="142"/>
    </x:row>
    <x:row r="13993">
      <x:c r="A13993" s="142"/>
    </x:row>
    <x:row r="13994">
      <x:c r="A13994" s="142"/>
    </x:row>
    <x:row r="13995">
      <x:c r="A13995" s="142"/>
    </x:row>
    <x:row r="13996">
      <x:c r="A13996" s="142"/>
    </x:row>
    <x:row r="13997">
      <x:c r="A13997" s="142"/>
    </x:row>
    <x:row r="13998">
      <x:c r="A13998" s="142"/>
    </x:row>
    <x:row r="13999">
      <x:c r="A13999" s="142"/>
    </x:row>
    <x:row r="14000">
      <x:c r="A14000" s="142"/>
    </x:row>
    <x:row r="14001">
      <x:c r="A14001" s="142"/>
    </x:row>
    <x:row r="14002">
      <x:c r="A14002" s="142"/>
    </x:row>
    <x:row r="14003">
      <x:c r="A14003" s="142"/>
    </x:row>
    <x:row r="14004">
      <x:c r="A14004" s="142"/>
    </x:row>
    <x:row r="14005">
      <x:c r="A14005" s="142"/>
    </x:row>
    <x:row r="14006">
      <x:c r="A14006" s="142"/>
    </x:row>
    <x:row r="14007">
      <x:c r="A14007" s="142"/>
    </x:row>
    <x:row r="14008">
      <x:c r="A14008" s="142"/>
    </x:row>
    <x:row r="14009">
      <x:c r="A14009" s="142"/>
    </x:row>
    <x:row r="14010">
      <x:c r="A14010" s="142"/>
    </x:row>
    <x:row r="14011">
      <x:c r="A14011" s="142"/>
    </x:row>
    <x:row r="14012">
      <x:c r="A14012" s="142"/>
    </x:row>
    <x:row r="14013">
      <x:c r="A14013" s="142"/>
    </x:row>
    <x:row r="14014">
      <x:c r="A14014" s="142"/>
    </x:row>
    <x:row r="14015">
      <x:c r="A14015" s="142"/>
    </x:row>
    <x:row r="14016">
      <x:c r="A14016" s="142"/>
    </x:row>
    <x:row r="14017">
      <x:c r="A14017" s="142"/>
    </x:row>
    <x:row r="14018">
      <x:c r="A14018" s="142"/>
    </x:row>
    <x:row r="14019">
      <x:c r="A14019" s="142"/>
    </x:row>
    <x:row r="14020">
      <x:c r="A14020" s="142"/>
    </x:row>
    <x:row r="14021">
      <x:c r="A14021" s="142"/>
    </x:row>
    <x:row r="14022">
      <x:c r="A14022" s="142"/>
    </x:row>
    <x:row r="14023">
      <x:c r="A14023" s="142"/>
    </x:row>
    <x:row r="14024">
      <x:c r="A14024" s="142"/>
    </x:row>
    <x:row r="14025">
      <x:c r="A14025" s="142"/>
    </x:row>
    <x:row r="14026">
      <x:c r="A14026" s="142"/>
    </x:row>
    <x:row r="14027">
      <x:c r="A14027" s="142"/>
    </x:row>
    <x:row r="14028">
      <x:c r="A14028" s="142"/>
    </x:row>
    <x:row r="14029">
      <x:c r="A14029" s="142"/>
    </x:row>
    <x:row r="14030">
      <x:c r="A14030" s="142"/>
    </x:row>
    <x:row r="14031">
      <x:c r="A14031" s="142"/>
    </x:row>
    <x:row r="14032">
      <x:c r="A14032" s="142"/>
    </x:row>
    <x:row r="14033">
      <x:c r="A14033" s="142"/>
    </x:row>
    <x:row r="14034">
      <x:c r="A14034" s="142"/>
    </x:row>
    <x:row r="14035">
      <x:c r="A14035" s="142"/>
    </x:row>
    <x:row r="14036">
      <x:c r="A14036" s="142"/>
    </x:row>
    <x:row r="14037">
      <x:c r="A14037" s="142"/>
    </x:row>
    <x:row r="14038">
      <x:c r="A14038" s="142"/>
    </x:row>
    <x:row r="14039">
      <x:c r="A14039" s="142"/>
    </x:row>
    <x:row r="14040">
      <x:c r="A14040" s="142"/>
    </x:row>
    <x:row r="14041">
      <x:c r="A14041" s="142"/>
    </x:row>
    <x:row r="14042">
      <x:c r="A14042" s="142"/>
    </x:row>
    <x:row r="14043">
      <x:c r="A14043" s="142"/>
    </x:row>
    <x:row r="14044">
      <x:c r="A14044" s="142"/>
    </x:row>
    <x:row r="14045">
      <x:c r="A14045" s="142"/>
    </x:row>
    <x:row r="14046">
      <x:c r="A14046" s="142"/>
    </x:row>
    <x:row r="14047">
      <x:c r="A14047" s="142"/>
    </x:row>
    <x:row r="14048">
      <x:c r="A14048" s="142"/>
    </x:row>
    <x:row r="14049">
      <x:c r="A14049" s="142"/>
    </x:row>
    <x:row r="14050">
      <x:c r="A14050" s="142"/>
    </x:row>
    <x:row r="14051">
      <x:c r="A14051" s="142"/>
    </x:row>
    <x:row r="14052">
      <x:c r="A14052" s="142"/>
    </x:row>
    <x:row r="14053">
      <x:c r="A14053" s="142"/>
    </x:row>
    <x:row r="14054">
      <x:c r="A14054" s="142"/>
    </x:row>
    <x:row r="14055">
      <x:c r="A14055" s="142"/>
    </x:row>
    <x:row r="14056">
      <x:c r="A14056" s="142"/>
    </x:row>
    <x:row r="14057">
      <x:c r="A14057" s="142"/>
    </x:row>
    <x:row r="14058">
      <x:c r="A14058" s="142"/>
    </x:row>
    <x:row r="14059">
      <x:c r="A14059" s="142"/>
    </x:row>
    <x:row r="14060">
      <x:c r="A14060" s="142"/>
    </x:row>
    <x:row r="14061">
      <x:c r="A14061" s="142"/>
    </x:row>
    <x:row r="14062">
      <x:c r="A14062" s="142"/>
    </x:row>
    <x:row r="14063">
      <x:c r="A14063" s="142"/>
    </x:row>
    <x:row r="14064">
      <x:c r="A14064" s="142"/>
    </x:row>
    <x:row r="14065">
      <x:c r="A14065" s="142"/>
    </x:row>
    <x:row r="14066">
      <x:c r="A14066" s="142"/>
    </x:row>
    <x:row r="14067">
      <x:c r="A14067" s="142"/>
    </x:row>
    <x:row r="14068">
      <x:c r="A14068" s="142"/>
    </x:row>
    <x:row r="14069">
      <x:c r="A14069" s="142"/>
    </x:row>
    <x:row r="14070">
      <x:c r="A14070" s="142"/>
    </x:row>
    <x:row r="14071">
      <x:c r="A14071" s="142"/>
    </x:row>
    <x:row r="14072">
      <x:c r="A14072" s="142"/>
    </x:row>
    <x:row r="14073">
      <x:c r="A14073" s="142"/>
    </x:row>
    <x:row r="14074">
      <x:c r="A14074" s="142"/>
    </x:row>
    <x:row r="14075">
      <x:c r="A14075" s="142"/>
    </x:row>
    <x:row r="14076">
      <x:c r="A14076" s="142"/>
    </x:row>
    <x:row r="14077">
      <x:c r="A14077" s="142"/>
    </x:row>
    <x:row r="14078">
      <x:c r="A14078" s="142"/>
    </x:row>
    <x:row r="14079">
      <x:c r="A14079" s="142"/>
    </x:row>
    <x:row r="14080">
      <x:c r="A14080" s="142"/>
    </x:row>
    <x:row r="14081">
      <x:c r="A14081" s="142"/>
    </x:row>
    <x:row r="14082">
      <x:c r="A14082" s="142"/>
    </x:row>
    <x:row r="14083">
      <x:c r="A14083" s="142"/>
    </x:row>
    <x:row r="14084">
      <x:c r="A14084" s="142"/>
    </x:row>
    <x:row r="14085">
      <x:c r="A14085" s="142"/>
    </x:row>
    <x:row r="14086">
      <x:c r="A14086" s="142"/>
    </x:row>
    <x:row r="14087">
      <x:c r="A14087" s="142"/>
    </x:row>
    <x:row r="14088">
      <x:c r="A14088" s="142"/>
    </x:row>
    <x:row r="14089">
      <x:c r="A14089" s="142"/>
    </x:row>
    <x:row r="14090">
      <x:c r="A14090" s="142"/>
    </x:row>
    <x:row r="14091">
      <x:c r="A14091" s="142"/>
    </x:row>
    <x:row r="14092">
      <x:c r="A14092" s="142"/>
    </x:row>
    <x:row r="14093">
      <x:c r="A14093" s="142"/>
    </x:row>
    <x:row r="14094">
      <x:c r="A14094" s="142"/>
    </x:row>
    <x:row r="14095">
      <x:c r="A14095" s="142"/>
    </x:row>
    <x:row r="14096">
      <x:c r="A14096" s="142"/>
    </x:row>
    <x:row r="14097">
      <x:c r="A14097" s="142"/>
    </x:row>
    <x:row r="14098">
      <x:c r="A14098" s="142"/>
    </x:row>
    <x:row r="14099">
      <x:c r="A14099" s="142"/>
    </x:row>
    <x:row r="14100">
      <x:c r="A14100" s="142"/>
    </x:row>
    <x:row r="14101">
      <x:c r="A14101" s="142"/>
    </x:row>
    <x:row r="14102">
      <x:c r="A14102" s="142"/>
    </x:row>
    <x:row r="14103">
      <x:c r="A14103" s="142"/>
    </x:row>
    <x:row r="14104">
      <x:c r="A14104" s="142"/>
    </x:row>
    <x:row r="14105">
      <x:c r="A14105" s="142"/>
    </x:row>
    <x:row r="14106">
      <x:c r="A14106" s="142"/>
    </x:row>
    <x:row r="14107">
      <x:c r="A14107" s="142"/>
    </x:row>
    <x:row r="14108">
      <x:c r="A14108" s="142"/>
    </x:row>
    <x:row r="14109">
      <x:c r="A14109" s="142"/>
    </x:row>
    <x:row r="14110">
      <x:c r="A14110" s="142"/>
    </x:row>
    <x:row r="14111">
      <x:c r="A14111" s="142"/>
    </x:row>
    <x:row r="14112">
      <x:c r="A14112" s="142"/>
    </x:row>
    <x:row r="14113">
      <x:c r="A14113" s="142"/>
    </x:row>
    <x:row r="14114">
      <x:c r="A14114" s="142"/>
    </x:row>
    <x:row r="14115">
      <x:c r="A14115" s="142"/>
    </x:row>
    <x:row r="14116">
      <x:c r="A14116" s="142"/>
    </x:row>
    <x:row r="14117">
      <x:c r="A14117" s="142"/>
    </x:row>
    <x:row r="14118">
      <x:c r="A14118" s="142"/>
    </x:row>
    <x:row r="14119">
      <x:c r="A14119" s="142"/>
    </x:row>
    <x:row r="14120">
      <x:c r="A14120" s="142"/>
    </x:row>
    <x:row r="14121">
      <x:c r="A14121" s="142"/>
    </x:row>
    <x:row r="14122">
      <x:c r="A14122" s="142"/>
    </x:row>
    <x:row r="14123">
      <x:c r="A14123" s="142"/>
    </x:row>
    <x:row r="14124">
      <x:c r="A14124" s="142"/>
    </x:row>
    <x:row r="14125">
      <x:c r="A14125" s="142"/>
    </x:row>
    <x:row r="14126">
      <x:c r="A14126" s="142"/>
    </x:row>
    <x:row r="14127">
      <x:c r="A14127" s="142"/>
    </x:row>
    <x:row r="14128">
      <x:c r="A14128" s="142"/>
    </x:row>
    <x:row r="14129">
      <x:c r="A14129" s="142"/>
    </x:row>
    <x:row r="14130">
      <x:c r="A14130" s="142"/>
    </x:row>
    <x:row r="14131">
      <x:c r="A14131" s="142"/>
    </x:row>
    <x:row r="14132">
      <x:c r="A14132" s="142"/>
    </x:row>
    <x:row r="14133">
      <x:c r="A14133" s="142"/>
    </x:row>
    <x:row r="14134">
      <x:c r="A14134" s="142"/>
    </x:row>
    <x:row r="14135">
      <x:c r="A14135" s="142"/>
    </x:row>
    <x:row r="14136">
      <x:c r="A14136" s="142"/>
    </x:row>
    <x:row r="14137">
      <x:c r="A14137" s="142"/>
    </x:row>
    <x:row r="14138">
      <x:c r="A14138" s="142"/>
    </x:row>
    <x:row r="14139">
      <x:c r="A14139" s="142"/>
    </x:row>
    <x:row r="14140">
      <x:c r="A14140" s="142"/>
    </x:row>
    <x:row r="14141">
      <x:c r="A14141" s="142"/>
    </x:row>
    <x:row r="14142">
      <x:c r="A14142" s="142"/>
    </x:row>
    <x:row r="14143">
      <x:c r="A14143" s="142"/>
    </x:row>
    <x:row r="14144">
      <x:c r="A14144" s="142"/>
    </x:row>
    <x:row r="14145">
      <x:c r="A14145" s="142"/>
    </x:row>
    <x:row r="14146">
      <x:c r="A14146" s="142"/>
    </x:row>
    <x:row r="14147">
      <x:c r="A14147" s="142"/>
    </x:row>
    <x:row r="14148">
      <x:c r="A14148" s="142"/>
    </x:row>
    <x:row r="14149">
      <x:c r="A14149" s="142"/>
    </x:row>
    <x:row r="14150">
      <x:c r="A14150" s="142"/>
    </x:row>
    <x:row r="14151">
      <x:c r="A14151" s="142"/>
    </x:row>
    <x:row r="14152">
      <x:c r="A14152" s="142"/>
    </x:row>
    <x:row r="14153">
      <x:c r="A14153" s="142"/>
    </x:row>
    <x:row r="14154">
      <x:c r="A14154" s="142"/>
    </x:row>
    <x:row r="14155">
      <x:c r="A14155" s="142"/>
    </x:row>
    <x:row r="14156">
      <x:c r="A14156" s="142"/>
    </x:row>
    <x:row r="14157">
      <x:c r="A14157" s="142"/>
    </x:row>
    <x:row r="14158">
      <x:c r="A14158" s="142"/>
    </x:row>
    <x:row r="14159">
      <x:c r="A14159" s="142"/>
    </x:row>
    <x:row r="14160">
      <x:c r="A14160" s="142"/>
    </x:row>
    <x:row r="14161">
      <x:c r="A14161" s="142"/>
    </x:row>
    <x:row r="14162">
      <x:c r="A14162" s="142"/>
    </x:row>
    <x:row r="14163">
      <x:c r="A14163" s="142"/>
    </x:row>
    <x:row r="14164">
      <x:c r="A14164" s="142"/>
    </x:row>
    <x:row r="14165">
      <x:c r="A14165" s="142"/>
    </x:row>
    <x:row r="14166">
      <x:c r="A14166" s="142"/>
    </x:row>
    <x:row r="14167">
      <x:c r="A14167" s="142"/>
    </x:row>
    <x:row r="14168">
      <x:c r="A14168" s="142"/>
    </x:row>
    <x:row r="14169">
      <x:c r="A14169" s="142"/>
    </x:row>
    <x:row r="14170">
      <x:c r="A14170" s="142"/>
    </x:row>
    <x:row r="14171">
      <x:c r="A14171" s="142"/>
    </x:row>
    <x:row r="14172">
      <x:c r="A14172" s="142"/>
    </x:row>
    <x:row r="14173">
      <x:c r="A14173" s="142"/>
    </x:row>
    <x:row r="14174">
      <x:c r="A14174" s="142"/>
    </x:row>
    <x:row r="14175">
      <x:c r="A14175" s="142"/>
    </x:row>
    <x:row r="14176">
      <x:c r="A14176" s="142"/>
    </x:row>
    <x:row r="14177">
      <x:c r="A14177" s="142"/>
    </x:row>
    <x:row r="14178">
      <x:c r="A14178" s="142"/>
    </x:row>
    <x:row r="14179">
      <x:c r="A14179" s="142"/>
    </x:row>
    <x:row r="14180">
      <x:c r="A14180" s="142"/>
    </x:row>
    <x:row r="14181">
      <x:c r="A14181" s="142"/>
    </x:row>
    <x:row r="14182">
      <x:c r="A14182" s="142"/>
    </x:row>
    <x:row r="14183">
      <x:c r="A14183" s="142"/>
    </x:row>
    <x:row r="14184">
      <x:c r="A14184" s="142"/>
    </x:row>
    <x:row r="14185">
      <x:c r="A14185" s="142"/>
    </x:row>
    <x:row r="14186">
      <x:c r="A14186" s="142"/>
    </x:row>
    <x:row r="14187">
      <x:c r="A14187" s="142"/>
    </x:row>
    <x:row r="14188">
      <x:c r="A14188" s="142"/>
    </x:row>
    <x:row r="14189">
      <x:c r="A14189" s="142"/>
    </x:row>
    <x:row r="14190">
      <x:c r="A14190" s="142"/>
    </x:row>
    <x:row r="14191">
      <x:c r="A14191" s="142"/>
    </x:row>
    <x:row r="14192">
      <x:c r="A14192" s="142"/>
    </x:row>
    <x:row r="14193">
      <x:c r="A14193" s="142"/>
    </x:row>
    <x:row r="14194">
      <x:c r="A14194" s="142"/>
    </x:row>
    <x:row r="14195">
      <x:c r="A14195" s="142"/>
    </x:row>
    <x:row r="14196">
      <x:c r="A14196" s="142"/>
    </x:row>
    <x:row r="14197">
      <x:c r="A14197" s="142"/>
    </x:row>
    <x:row r="14198">
      <x:c r="A14198" s="142"/>
    </x:row>
    <x:row r="14199">
      <x:c r="A14199" s="142"/>
    </x:row>
    <x:row r="14200">
      <x:c r="A14200" s="142"/>
    </x:row>
    <x:row r="14201">
      <x:c r="A14201" s="142"/>
    </x:row>
    <x:row r="14202">
      <x:c r="A14202" s="142"/>
    </x:row>
    <x:row r="14203">
      <x:c r="A14203" s="142"/>
    </x:row>
    <x:row r="14204">
      <x:c r="A14204" s="142"/>
    </x:row>
    <x:row r="14205">
      <x:c r="A14205" s="142"/>
    </x:row>
    <x:row r="14206">
      <x:c r="A14206" s="142"/>
    </x:row>
    <x:row r="14207">
      <x:c r="A14207" s="142"/>
    </x:row>
    <x:row r="14208">
      <x:c r="A14208" s="142"/>
    </x:row>
    <x:row r="14209">
      <x:c r="A14209" s="142"/>
    </x:row>
    <x:row r="14210">
      <x:c r="A14210" s="142"/>
    </x:row>
    <x:row r="14211">
      <x:c r="A14211" s="142"/>
    </x:row>
    <x:row r="14212">
      <x:c r="A14212" s="142"/>
    </x:row>
    <x:row r="14213">
      <x:c r="A14213" s="142"/>
    </x:row>
    <x:row r="14214">
      <x:c r="A14214" s="142"/>
    </x:row>
    <x:row r="14215">
      <x:c r="A14215" s="142"/>
    </x:row>
    <x:row r="14216">
      <x:c r="A14216" s="142"/>
    </x:row>
    <x:row r="14217">
      <x:c r="A14217" s="142"/>
    </x:row>
    <x:row r="14218">
      <x:c r="A14218" s="142"/>
    </x:row>
    <x:row r="14219">
      <x:c r="A14219" s="142"/>
    </x:row>
    <x:row r="14220">
      <x:c r="A14220" s="142"/>
    </x:row>
    <x:row r="14221">
      <x:c r="A14221" s="142"/>
    </x:row>
    <x:row r="14222">
      <x:c r="A14222" s="142"/>
    </x:row>
    <x:row r="14223">
      <x:c r="A14223" s="142"/>
    </x:row>
    <x:row r="14224">
      <x:c r="A14224" s="142"/>
    </x:row>
    <x:row r="14225">
      <x:c r="A14225" s="142"/>
    </x:row>
    <x:row r="14226">
      <x:c r="A14226" s="142"/>
    </x:row>
    <x:row r="14227">
      <x:c r="A14227" s="142"/>
    </x:row>
    <x:row r="14228">
      <x:c r="A14228" s="142"/>
    </x:row>
    <x:row r="14229">
      <x:c r="A14229" s="142"/>
    </x:row>
    <x:row r="14230">
      <x:c r="A14230" s="142"/>
    </x:row>
    <x:row r="14231">
      <x:c r="A14231" s="142"/>
    </x:row>
    <x:row r="14232">
      <x:c r="A14232" s="142"/>
    </x:row>
    <x:row r="14233">
      <x:c r="A14233" s="142"/>
    </x:row>
    <x:row r="14234">
      <x:c r="A14234" s="142"/>
    </x:row>
    <x:row r="14235">
      <x:c r="A14235" s="142"/>
    </x:row>
    <x:row r="14236">
      <x:c r="A14236" s="142"/>
    </x:row>
    <x:row r="14237">
      <x:c r="A14237" s="142"/>
    </x:row>
    <x:row r="14238">
      <x:c r="A14238" s="142"/>
    </x:row>
    <x:row r="14239">
      <x:c r="A14239" s="142"/>
    </x:row>
    <x:row r="14240">
      <x:c r="A14240" s="142"/>
    </x:row>
    <x:row r="14241">
      <x:c r="A14241" s="142"/>
    </x:row>
    <x:row r="14242">
      <x:c r="A14242" s="142"/>
    </x:row>
    <x:row r="14243">
      <x:c r="A14243" s="142"/>
    </x:row>
    <x:row r="14244">
      <x:c r="A14244" s="142"/>
    </x:row>
    <x:row r="14245">
      <x:c r="A14245" s="142"/>
    </x:row>
    <x:row r="14246">
      <x:c r="A14246" s="142"/>
    </x:row>
    <x:row r="14247">
      <x:c r="A14247" s="142"/>
    </x:row>
    <x:row r="14248">
      <x:c r="A14248" s="142"/>
    </x:row>
    <x:row r="14249">
      <x:c r="A14249" s="142"/>
    </x:row>
    <x:row r="14250">
      <x:c r="A14250" s="142"/>
    </x:row>
    <x:row r="14251">
      <x:c r="A14251" s="142"/>
    </x:row>
    <x:row r="14252">
      <x:c r="A14252" s="142"/>
    </x:row>
    <x:row r="14253">
      <x:c r="A14253" s="142"/>
    </x:row>
    <x:row r="14254">
      <x:c r="A14254" s="142"/>
    </x:row>
    <x:row r="14255">
      <x:c r="A14255" s="142"/>
    </x:row>
    <x:row r="14256">
      <x:c r="A14256" s="142"/>
    </x:row>
    <x:row r="14257">
      <x:c r="A14257" s="142"/>
    </x:row>
    <x:row r="14258">
      <x:c r="A14258" s="142"/>
    </x:row>
    <x:row r="14259">
      <x:c r="A14259" s="142"/>
    </x:row>
    <x:row r="14260">
      <x:c r="A14260" s="142"/>
    </x:row>
    <x:row r="14261">
      <x:c r="A14261" s="142"/>
    </x:row>
    <x:row r="14262">
      <x:c r="A14262" s="142"/>
    </x:row>
    <x:row r="14263">
      <x:c r="A14263" s="142"/>
    </x:row>
    <x:row r="14264">
      <x:c r="A14264" s="142"/>
    </x:row>
    <x:row r="14265">
      <x:c r="A14265" s="142"/>
    </x:row>
    <x:row r="14266">
      <x:c r="A14266" s="142"/>
    </x:row>
    <x:row r="14267">
      <x:c r="A14267" s="142"/>
    </x:row>
    <x:row r="14268">
      <x:c r="A14268" s="142"/>
    </x:row>
    <x:row r="14269">
      <x:c r="A14269" s="142"/>
    </x:row>
    <x:row r="14270">
      <x:c r="A14270" s="142"/>
    </x:row>
    <x:row r="14271">
      <x:c r="A14271" s="142"/>
    </x:row>
    <x:row r="14272">
      <x:c r="A14272" s="142"/>
    </x:row>
    <x:row r="14273">
      <x:c r="A14273" s="142"/>
    </x:row>
    <x:row r="14274">
      <x:c r="A14274" s="142"/>
    </x:row>
    <x:row r="14275">
      <x:c r="A14275" s="142"/>
    </x:row>
    <x:row r="14276">
      <x:c r="A14276" s="142"/>
    </x:row>
    <x:row r="14277">
      <x:c r="A14277" s="142"/>
    </x:row>
    <x:row r="14278">
      <x:c r="A14278" s="142"/>
    </x:row>
    <x:row r="14279">
      <x:c r="A14279" s="142"/>
    </x:row>
    <x:row r="14280">
      <x:c r="A14280" s="142"/>
    </x:row>
    <x:row r="14281">
      <x:c r="A14281" s="142"/>
    </x:row>
    <x:row r="14282">
      <x:c r="A14282" s="142"/>
    </x:row>
    <x:row r="14283">
      <x:c r="A14283" s="142"/>
    </x:row>
    <x:row r="14284">
      <x:c r="A14284" s="142"/>
    </x:row>
    <x:row r="14285">
      <x:c r="A14285" s="142"/>
    </x:row>
    <x:row r="14286">
      <x:c r="A14286" s="142"/>
    </x:row>
    <x:row r="14287">
      <x:c r="A14287" s="142"/>
    </x:row>
    <x:row r="14288">
      <x:c r="A14288" s="142"/>
    </x:row>
    <x:row r="14289">
      <x:c r="A14289" s="142"/>
    </x:row>
    <x:row r="14290">
      <x:c r="A14290" s="142"/>
    </x:row>
    <x:row r="14291">
      <x:c r="A14291" s="142"/>
    </x:row>
    <x:row r="14292">
      <x:c r="A14292" s="142"/>
    </x:row>
    <x:row r="14293">
      <x:c r="A14293" s="142"/>
    </x:row>
    <x:row r="14294">
      <x:c r="A14294" s="142"/>
    </x:row>
    <x:row r="14295">
      <x:c r="A14295" s="142"/>
    </x:row>
    <x:row r="14296">
      <x:c r="A14296" s="142"/>
    </x:row>
    <x:row r="14297">
      <x:c r="A14297" s="142"/>
    </x:row>
    <x:row r="14298">
      <x:c r="A14298" s="142"/>
    </x:row>
    <x:row r="14299">
      <x:c r="A14299" s="142"/>
    </x:row>
    <x:row r="14300">
      <x:c r="A14300" s="142"/>
    </x:row>
    <x:row r="14301">
      <x:c r="A14301" s="142"/>
    </x:row>
    <x:row r="14302">
      <x:c r="A14302" s="142"/>
    </x:row>
    <x:row r="14303">
      <x:c r="A14303" s="142"/>
    </x:row>
    <x:row r="14304">
      <x:c r="A14304" s="142"/>
    </x:row>
    <x:row r="14305">
      <x:c r="A14305" s="142"/>
    </x:row>
    <x:row r="14306">
      <x:c r="A14306" s="142"/>
    </x:row>
    <x:row r="14307">
      <x:c r="A14307" s="142"/>
    </x:row>
    <x:row r="14308">
      <x:c r="A14308" s="142"/>
    </x:row>
    <x:row r="14309">
      <x:c r="A14309" s="142"/>
    </x:row>
    <x:row r="14310">
      <x:c r="A14310" s="142"/>
    </x:row>
    <x:row r="14311">
      <x:c r="A14311" s="142"/>
    </x:row>
    <x:row r="14312">
      <x:c r="A14312" s="142"/>
    </x:row>
    <x:row r="14313">
      <x:c r="A14313" s="142"/>
    </x:row>
    <x:row r="14314">
      <x:c r="A14314" s="142"/>
    </x:row>
    <x:row r="14315">
      <x:c r="A14315" s="142"/>
    </x:row>
    <x:row r="14316">
      <x:c r="A14316" s="142"/>
    </x:row>
    <x:row r="14317">
      <x:c r="A14317" s="142"/>
    </x:row>
    <x:row r="14318">
      <x:c r="A14318" s="142"/>
    </x:row>
    <x:row r="14319">
      <x:c r="A14319" s="142"/>
    </x:row>
    <x:row r="14320">
      <x:c r="A14320" s="142"/>
    </x:row>
    <x:row r="14321">
      <x:c r="A14321" s="142"/>
    </x:row>
    <x:row r="14322">
      <x:c r="A14322" s="142"/>
    </x:row>
    <x:row r="14323">
      <x:c r="A14323" s="142"/>
    </x:row>
    <x:row r="14324">
      <x:c r="A14324" s="142"/>
    </x:row>
    <x:row r="14325">
      <x:c r="A14325" s="142"/>
    </x:row>
    <x:row r="14326">
      <x:c r="A14326" s="142"/>
    </x:row>
    <x:row r="14327">
      <x:c r="A14327" s="142"/>
    </x:row>
    <x:row r="14328">
      <x:c r="A14328" s="142"/>
    </x:row>
    <x:row r="14329">
      <x:c r="A14329" s="142"/>
    </x:row>
    <x:row r="14330">
      <x:c r="A14330" s="142"/>
    </x:row>
    <x:row r="14331">
      <x:c r="A14331" s="142"/>
    </x:row>
    <x:row r="14332">
      <x:c r="A14332" s="142"/>
    </x:row>
    <x:row r="14333">
      <x:c r="A14333" s="142"/>
    </x:row>
    <x:row r="14334">
      <x:c r="A14334" s="142"/>
    </x:row>
    <x:row r="14335">
      <x:c r="A14335" s="142"/>
    </x:row>
    <x:row r="14336">
      <x:c r="A14336" s="142"/>
    </x:row>
    <x:row r="14337">
      <x:c r="A14337" s="142"/>
    </x:row>
    <x:row r="14338">
      <x:c r="A14338" s="142"/>
    </x:row>
    <x:row r="14339">
      <x:c r="A14339" s="142"/>
    </x:row>
    <x:row r="14340">
      <x:c r="A14340" s="142"/>
    </x:row>
    <x:row r="14341">
      <x:c r="A14341" s="142"/>
    </x:row>
    <x:row r="14342">
      <x:c r="A14342" s="142"/>
    </x:row>
    <x:row r="14343">
      <x:c r="A14343" s="142"/>
    </x:row>
    <x:row r="14344">
      <x:c r="A14344" s="142"/>
    </x:row>
    <x:row r="14345">
      <x:c r="A14345" s="142"/>
    </x:row>
    <x:row r="14346">
      <x:c r="A14346" s="142"/>
    </x:row>
    <x:row r="14347">
      <x:c r="A14347" s="142"/>
    </x:row>
    <x:row r="14348">
      <x:c r="A14348" s="142"/>
    </x:row>
    <x:row r="14349">
      <x:c r="A14349" s="142"/>
    </x:row>
    <x:row r="14350">
      <x:c r="A14350" s="142"/>
    </x:row>
    <x:row r="14351">
      <x:c r="A14351" s="142"/>
    </x:row>
    <x:row r="14352">
      <x:c r="A14352" s="142"/>
    </x:row>
    <x:row r="14353">
      <x:c r="A14353" s="142"/>
    </x:row>
    <x:row r="14354">
      <x:c r="A14354" s="142"/>
    </x:row>
    <x:row r="14355">
      <x:c r="A14355" s="142"/>
    </x:row>
    <x:row r="14356">
      <x:c r="A14356" s="142"/>
    </x:row>
    <x:row r="14357">
      <x:c r="A14357" s="142"/>
    </x:row>
    <x:row r="14358">
      <x:c r="A14358" s="142"/>
    </x:row>
    <x:row r="14359">
      <x:c r="A14359" s="142"/>
    </x:row>
    <x:row r="14360">
      <x:c r="A14360" s="142"/>
    </x:row>
    <x:row r="14361">
      <x:c r="A14361" s="142"/>
    </x:row>
    <x:row r="14362">
      <x:c r="A14362" s="142"/>
    </x:row>
    <x:row r="14363">
      <x:c r="A14363" s="142"/>
    </x:row>
    <x:row r="14364">
      <x:c r="A14364" s="142"/>
    </x:row>
    <x:row r="14365">
      <x:c r="A14365" s="142"/>
    </x:row>
    <x:row r="14366">
      <x:c r="A14366" s="142"/>
    </x:row>
    <x:row r="14367">
      <x:c r="A14367" s="142"/>
    </x:row>
    <x:row r="14368">
      <x:c r="A14368" s="142"/>
    </x:row>
    <x:row r="14369">
      <x:c r="A14369" s="142"/>
    </x:row>
    <x:row r="14370">
      <x:c r="A14370" s="142"/>
    </x:row>
    <x:row r="14371">
      <x:c r="A14371" s="142"/>
    </x:row>
    <x:row r="14372">
      <x:c r="A14372" s="142"/>
    </x:row>
    <x:row r="14373">
      <x:c r="A14373" s="142"/>
    </x:row>
    <x:row r="14374">
      <x:c r="A14374" s="142"/>
    </x:row>
    <x:row r="14375">
      <x:c r="A14375" s="142"/>
    </x:row>
    <x:row r="14376">
      <x:c r="A14376" s="142"/>
    </x:row>
    <x:row r="14377">
      <x:c r="A14377" s="142"/>
    </x:row>
    <x:row r="14378">
      <x:c r="A14378" s="142"/>
    </x:row>
    <x:row r="14379">
      <x:c r="A14379" s="142"/>
    </x:row>
    <x:row r="14380">
      <x:c r="A14380" s="142"/>
    </x:row>
    <x:row r="14381">
      <x:c r="A14381" s="142"/>
    </x:row>
    <x:row r="14382">
      <x:c r="A14382" s="142"/>
    </x:row>
    <x:row r="14383">
      <x:c r="A14383" s="142"/>
    </x:row>
    <x:row r="14384">
      <x:c r="A14384" s="142"/>
    </x:row>
    <x:row r="14385">
      <x:c r="A14385" s="142"/>
    </x:row>
    <x:row r="14386">
      <x:c r="A14386" s="142"/>
    </x:row>
    <x:row r="14387">
      <x:c r="A14387" s="142"/>
    </x:row>
    <x:row r="14388">
      <x:c r="A14388" s="142"/>
    </x:row>
    <x:row r="14389">
      <x:c r="A14389" s="142"/>
    </x:row>
    <x:row r="14390">
      <x:c r="A14390" s="142"/>
    </x:row>
    <x:row r="14391">
      <x:c r="A14391" s="142"/>
    </x:row>
    <x:row r="14392">
      <x:c r="A14392" s="142"/>
    </x:row>
    <x:row r="14393">
      <x:c r="A14393" s="142"/>
    </x:row>
    <x:row r="14394">
      <x:c r="A14394" s="142"/>
    </x:row>
    <x:row r="14395">
      <x:c r="A14395" s="142"/>
    </x:row>
    <x:row r="14396">
      <x:c r="A14396" s="142"/>
    </x:row>
    <x:row r="14397">
      <x:c r="A14397" s="142"/>
    </x:row>
    <x:row r="14398">
      <x:c r="A14398" s="142"/>
    </x:row>
    <x:row r="14399">
      <x:c r="A14399" s="142"/>
    </x:row>
    <x:row r="14400">
      <x:c r="A14400" s="142"/>
    </x:row>
    <x:row r="14401">
      <x:c r="A14401" s="142"/>
    </x:row>
    <x:row r="14402">
      <x:c r="A14402" s="142"/>
    </x:row>
    <x:row r="14403">
      <x:c r="A14403" s="142"/>
    </x:row>
    <x:row r="14404">
      <x:c r="A14404" s="142"/>
    </x:row>
    <x:row r="14405">
      <x:c r="A14405" s="142"/>
    </x:row>
    <x:row r="14406">
      <x:c r="A14406" s="142"/>
    </x:row>
    <x:row r="14407">
      <x:c r="A14407" s="142"/>
    </x:row>
    <x:row r="14408">
      <x:c r="A14408" s="142"/>
    </x:row>
    <x:row r="14409">
      <x:c r="A14409" s="142"/>
    </x:row>
    <x:row r="14410">
      <x:c r="A14410" s="142"/>
    </x:row>
    <x:row r="14411">
      <x:c r="A14411" s="142"/>
    </x:row>
    <x:row r="14412">
      <x:c r="A14412" s="142"/>
    </x:row>
    <x:row r="14413">
      <x:c r="A14413" s="142"/>
    </x:row>
    <x:row r="14414">
      <x:c r="A14414" s="142"/>
    </x:row>
    <x:row r="14415">
      <x:c r="A14415" s="142"/>
    </x:row>
    <x:row r="14416">
      <x:c r="A14416" s="142"/>
    </x:row>
    <x:row r="14417">
      <x:c r="A14417" s="142"/>
    </x:row>
    <x:row r="14418">
      <x:c r="A14418" s="142"/>
    </x:row>
    <x:row r="14419">
      <x:c r="A14419" s="142"/>
    </x:row>
    <x:row r="14420">
      <x:c r="A14420" s="142"/>
    </x:row>
    <x:row r="14421">
      <x:c r="A14421" s="142"/>
    </x:row>
    <x:row r="14422">
      <x:c r="A14422" s="142"/>
    </x:row>
    <x:row r="14423">
      <x:c r="A14423" s="142"/>
    </x:row>
    <x:row r="14424">
      <x:c r="A14424" s="142"/>
    </x:row>
    <x:row r="14425">
      <x:c r="A14425" s="142"/>
    </x:row>
    <x:row r="14426">
      <x:c r="A14426" s="142"/>
    </x:row>
    <x:row r="14427">
      <x:c r="A14427" s="142"/>
    </x:row>
    <x:row r="14428">
      <x:c r="A14428" s="142"/>
    </x:row>
    <x:row r="14429">
      <x:c r="A14429" s="142"/>
    </x:row>
    <x:row r="14430">
      <x:c r="A14430" s="142"/>
    </x:row>
    <x:row r="14431">
      <x:c r="A14431" s="142"/>
    </x:row>
    <x:row r="14432">
      <x:c r="A14432" s="142"/>
    </x:row>
    <x:row r="14433">
      <x:c r="A14433" s="142"/>
    </x:row>
    <x:row r="14434">
      <x:c r="A14434" s="142"/>
    </x:row>
    <x:row r="14435">
      <x:c r="A14435" s="142"/>
    </x:row>
    <x:row r="14436">
      <x:c r="A14436" s="142"/>
    </x:row>
    <x:row r="14437">
      <x:c r="A14437" s="142"/>
    </x:row>
    <x:row r="14438">
      <x:c r="A14438" s="142"/>
    </x:row>
    <x:row r="14439">
      <x:c r="A14439" s="142"/>
    </x:row>
    <x:row r="14440">
      <x:c r="A14440" s="142"/>
    </x:row>
    <x:row r="14441">
      <x:c r="A14441" s="142"/>
    </x:row>
    <x:row r="14442">
      <x:c r="A14442" s="142"/>
    </x:row>
    <x:row r="14443">
      <x:c r="A14443" s="142"/>
    </x:row>
    <x:row r="14444">
      <x:c r="A14444" s="142"/>
    </x:row>
    <x:row r="14445">
      <x:c r="A14445" s="142"/>
    </x:row>
    <x:row r="14446">
      <x:c r="A14446" s="142"/>
    </x:row>
    <x:row r="14447">
      <x:c r="A14447" s="142"/>
    </x:row>
    <x:row r="14448">
      <x:c r="A14448" s="142"/>
    </x:row>
    <x:row r="14449">
      <x:c r="A14449" s="142"/>
    </x:row>
    <x:row r="14450">
      <x:c r="A14450" s="142"/>
    </x:row>
    <x:row r="14451">
      <x:c r="A14451" s="142"/>
    </x:row>
    <x:row r="14452">
      <x:c r="A14452" s="142"/>
    </x:row>
    <x:row r="14453">
      <x:c r="A14453" s="142"/>
    </x:row>
    <x:row r="14454">
      <x:c r="A14454" s="142"/>
    </x:row>
    <x:row r="14455">
      <x:c r="A14455" s="142"/>
    </x:row>
    <x:row r="14456">
      <x:c r="A14456" s="142"/>
    </x:row>
    <x:row r="14457">
      <x:c r="A14457" s="142"/>
    </x:row>
    <x:row r="14458">
      <x:c r="A14458" s="142"/>
    </x:row>
    <x:row r="14459">
      <x:c r="A14459" s="142"/>
    </x:row>
    <x:row r="14460">
      <x:c r="A14460" s="142"/>
    </x:row>
    <x:row r="14461">
      <x:c r="A14461" s="142"/>
    </x:row>
    <x:row r="14462">
      <x:c r="A14462" s="142"/>
    </x:row>
    <x:row r="14463">
      <x:c r="A14463" s="142"/>
    </x:row>
    <x:row r="14464">
      <x:c r="A14464" s="142"/>
    </x:row>
    <x:row r="14465">
      <x:c r="A14465" s="142"/>
    </x:row>
    <x:row r="14466">
      <x:c r="A14466" s="142"/>
    </x:row>
    <x:row r="14467">
      <x:c r="A14467" s="142"/>
    </x:row>
    <x:row r="14468">
      <x:c r="A14468" s="142"/>
    </x:row>
    <x:row r="14469">
      <x:c r="A14469" s="142"/>
    </x:row>
    <x:row r="14470">
      <x:c r="A14470" s="142"/>
    </x:row>
    <x:row r="14471">
      <x:c r="A14471" s="142"/>
    </x:row>
    <x:row r="14472">
      <x:c r="A14472" s="142"/>
    </x:row>
    <x:row r="14473">
      <x:c r="A14473" s="142"/>
    </x:row>
    <x:row r="14474">
      <x:c r="A14474" s="142"/>
    </x:row>
    <x:row r="14475">
      <x:c r="A14475" s="142"/>
    </x:row>
    <x:row r="14476">
      <x:c r="A14476" s="142"/>
    </x:row>
    <x:row r="14477">
      <x:c r="A14477" s="142"/>
    </x:row>
    <x:row r="14478">
      <x:c r="A14478" s="142"/>
    </x:row>
    <x:row r="14479">
      <x:c r="A14479" s="142"/>
    </x:row>
    <x:row r="14480">
      <x:c r="A14480" s="142"/>
    </x:row>
    <x:row r="14481">
      <x:c r="A14481" s="142"/>
    </x:row>
    <x:row r="14482">
      <x:c r="A14482" s="142"/>
    </x:row>
    <x:row r="14483">
      <x:c r="A14483" s="142"/>
    </x:row>
    <x:row r="14484">
      <x:c r="A14484" s="142"/>
    </x:row>
    <x:row r="14485">
      <x:c r="A14485" s="142"/>
    </x:row>
    <x:row r="14486">
      <x:c r="A14486" s="142"/>
    </x:row>
    <x:row r="14487">
      <x:c r="A14487" s="142"/>
    </x:row>
    <x:row r="14488">
      <x:c r="A14488" s="142"/>
    </x:row>
    <x:row r="14489">
      <x:c r="A14489" s="142"/>
    </x:row>
    <x:row r="14490">
      <x:c r="A14490" s="142"/>
    </x:row>
    <x:row r="14491">
      <x:c r="A14491" s="142"/>
    </x:row>
    <x:row r="14492">
      <x:c r="A14492" s="142"/>
    </x:row>
    <x:row r="14493">
      <x:c r="A14493" s="142"/>
    </x:row>
    <x:row r="14494">
      <x:c r="A14494" s="142"/>
    </x:row>
    <x:row r="14495">
      <x:c r="A14495" s="142"/>
    </x:row>
    <x:row r="14496">
      <x:c r="A14496" s="142"/>
    </x:row>
    <x:row r="14497">
      <x:c r="A14497" s="142"/>
    </x:row>
    <x:row r="14498">
      <x:c r="A14498" s="142"/>
    </x:row>
    <x:row r="14499">
      <x:c r="A14499" s="142"/>
    </x:row>
    <x:row r="14500">
      <x:c r="A14500" s="142"/>
    </x:row>
    <x:row r="14501">
      <x:c r="A14501" s="142"/>
    </x:row>
    <x:row r="14502">
      <x:c r="A14502" s="142"/>
    </x:row>
    <x:row r="14503">
      <x:c r="A14503" s="142"/>
    </x:row>
    <x:row r="14504">
      <x:c r="A14504" s="142"/>
    </x:row>
    <x:row r="14505">
      <x:c r="A14505" s="142"/>
    </x:row>
    <x:row r="14506">
      <x:c r="A14506" s="142"/>
    </x:row>
    <x:row r="14507">
      <x:c r="A14507" s="142"/>
    </x:row>
    <x:row r="14508">
      <x:c r="A14508" s="142"/>
    </x:row>
    <x:row r="14509">
      <x:c r="A14509" s="142"/>
    </x:row>
    <x:row r="14510">
      <x:c r="A14510" s="142"/>
    </x:row>
    <x:row r="14511">
      <x:c r="A14511" s="142"/>
    </x:row>
    <x:row r="14512">
      <x:c r="A14512" s="142"/>
    </x:row>
    <x:row r="14513">
      <x:c r="A14513" s="142"/>
    </x:row>
    <x:row r="14514">
      <x:c r="A14514" s="142"/>
    </x:row>
    <x:row r="14515">
      <x:c r="A14515" s="142"/>
    </x:row>
    <x:row r="14516">
      <x:c r="A14516" s="142"/>
    </x:row>
    <x:row r="14517">
      <x:c r="A14517" s="142"/>
    </x:row>
    <x:row r="14518">
      <x:c r="A14518" s="142"/>
    </x:row>
    <x:row r="14519">
      <x:c r="A14519" s="142"/>
    </x:row>
    <x:row r="14520">
      <x:c r="A14520" s="142"/>
    </x:row>
    <x:row r="14521">
      <x:c r="A14521" s="142"/>
    </x:row>
    <x:row r="14522">
      <x:c r="A14522" s="142"/>
    </x:row>
    <x:row r="14523">
      <x:c r="A14523" s="142"/>
    </x:row>
    <x:row r="14524">
      <x:c r="A14524" s="142"/>
    </x:row>
    <x:row r="14525">
      <x:c r="A14525" s="142"/>
    </x:row>
    <x:row r="14526">
      <x:c r="A14526" s="142"/>
    </x:row>
    <x:row r="14527">
      <x:c r="A14527" s="142"/>
    </x:row>
    <x:row r="14528">
      <x:c r="A14528" s="142"/>
    </x:row>
    <x:row r="14529">
      <x:c r="A14529" s="142"/>
    </x:row>
    <x:row r="14530">
      <x:c r="A14530" s="142"/>
    </x:row>
    <x:row r="14531">
      <x:c r="A14531" s="142"/>
    </x:row>
    <x:row r="14532">
      <x:c r="A14532" s="142"/>
    </x:row>
    <x:row r="14533">
      <x:c r="A14533" s="142"/>
    </x:row>
    <x:row r="14534">
      <x:c r="A14534" s="142"/>
    </x:row>
    <x:row r="14535">
      <x:c r="A14535" s="142"/>
    </x:row>
    <x:row r="14536">
      <x:c r="A14536" s="142"/>
    </x:row>
    <x:row r="14537">
      <x:c r="A14537" s="142"/>
    </x:row>
    <x:row r="14538">
      <x:c r="A14538" s="142"/>
    </x:row>
    <x:row r="14539">
      <x:c r="A14539" s="142"/>
    </x:row>
    <x:row r="14540">
      <x:c r="A14540" s="142"/>
    </x:row>
    <x:row r="14541">
      <x:c r="A14541" s="142"/>
    </x:row>
    <x:row r="14542">
      <x:c r="A14542" s="142"/>
    </x:row>
    <x:row r="14543">
      <x:c r="A14543" s="142"/>
    </x:row>
    <x:row r="14544">
      <x:c r="A14544" s="142"/>
    </x:row>
    <x:row r="14545">
      <x:c r="A14545" s="142"/>
    </x:row>
    <x:row r="14546">
      <x:c r="A14546" s="142"/>
    </x:row>
    <x:row r="14547">
      <x:c r="A14547" s="142"/>
    </x:row>
    <x:row r="14548">
      <x:c r="A14548" s="142"/>
    </x:row>
    <x:row r="14549">
      <x:c r="A14549" s="142"/>
    </x:row>
    <x:row r="14550">
      <x:c r="A14550" s="142"/>
    </x:row>
    <x:row r="14551">
      <x:c r="A14551" s="142"/>
    </x:row>
    <x:row r="14552">
      <x:c r="A14552" s="142"/>
    </x:row>
    <x:row r="14553">
      <x:c r="A14553" s="142"/>
    </x:row>
    <x:row r="14554">
      <x:c r="A14554" s="142"/>
    </x:row>
    <x:row r="14555">
      <x:c r="A14555" s="142"/>
    </x:row>
    <x:row r="14556">
      <x:c r="A14556" s="142"/>
    </x:row>
    <x:row r="14557">
      <x:c r="A14557" s="142"/>
    </x:row>
    <x:row r="14558">
      <x:c r="A14558" s="142"/>
    </x:row>
    <x:row r="14559">
      <x:c r="A14559" s="142"/>
    </x:row>
    <x:row r="14560">
      <x:c r="A14560" s="142"/>
    </x:row>
    <x:row r="14561">
      <x:c r="A14561" s="142"/>
    </x:row>
    <x:row r="14562">
      <x:c r="A14562" s="142"/>
    </x:row>
    <x:row r="14563">
      <x:c r="A14563" s="142"/>
    </x:row>
    <x:row r="14564">
      <x:c r="A14564" s="142"/>
    </x:row>
    <x:row r="14565">
      <x:c r="A14565" s="142"/>
    </x:row>
    <x:row r="14566">
      <x:c r="A14566" s="142"/>
    </x:row>
    <x:row r="14567">
      <x:c r="A14567" s="142"/>
    </x:row>
    <x:row r="14568">
      <x:c r="A14568" s="142"/>
    </x:row>
    <x:row r="14569">
      <x:c r="A14569" s="142"/>
    </x:row>
    <x:row r="14570">
      <x:c r="A14570" s="142"/>
    </x:row>
    <x:row r="14571">
      <x:c r="A14571" s="142"/>
    </x:row>
    <x:row r="14572">
      <x:c r="A14572" s="142"/>
    </x:row>
    <x:row r="14573">
      <x:c r="A14573" s="142"/>
    </x:row>
    <x:row r="14574">
      <x:c r="A14574" s="142"/>
    </x:row>
    <x:row r="14575">
      <x:c r="A14575" s="142"/>
    </x:row>
    <x:row r="14576">
      <x:c r="A14576" s="142"/>
    </x:row>
    <x:row r="14577">
      <x:c r="A14577" s="142"/>
    </x:row>
    <x:row r="14578">
      <x:c r="A14578" s="142"/>
    </x:row>
    <x:row r="14579">
      <x:c r="A14579" s="142"/>
    </x:row>
    <x:row r="14580">
      <x:c r="A14580" s="142"/>
    </x:row>
    <x:row r="14581">
      <x:c r="A14581" s="142"/>
    </x:row>
    <x:row r="14582">
      <x:c r="A14582" s="142"/>
    </x:row>
    <x:row r="14583">
      <x:c r="A14583" s="142"/>
    </x:row>
    <x:row r="14584">
      <x:c r="A14584" s="142"/>
    </x:row>
    <x:row r="14585">
      <x:c r="A14585" s="142"/>
    </x:row>
    <x:row r="14586">
      <x:c r="A14586" s="142"/>
    </x:row>
    <x:row r="14587">
      <x:c r="A14587" s="142"/>
    </x:row>
    <x:row r="14588">
      <x:c r="A14588" s="142"/>
    </x:row>
    <x:row r="14589">
      <x:c r="A14589" s="142"/>
    </x:row>
    <x:row r="14590">
      <x:c r="A14590" s="142"/>
    </x:row>
    <x:row r="14591">
      <x:c r="A14591" s="142"/>
    </x:row>
    <x:row r="14592">
      <x:c r="A14592" s="142"/>
    </x:row>
    <x:row r="14593">
      <x:c r="A14593" s="142"/>
    </x:row>
    <x:row r="14594">
      <x:c r="A14594" s="142"/>
    </x:row>
    <x:row r="14595">
      <x:c r="A14595" s="142"/>
    </x:row>
    <x:row r="14596">
      <x:c r="A14596" s="142"/>
    </x:row>
    <x:row r="14597">
      <x:c r="A14597" s="142"/>
    </x:row>
    <x:row r="14598">
      <x:c r="A14598" s="142"/>
    </x:row>
    <x:row r="14599">
      <x:c r="A14599" s="142"/>
    </x:row>
    <x:row r="14600">
      <x:c r="A14600" s="142"/>
    </x:row>
    <x:row r="14601">
      <x:c r="A14601" s="142"/>
    </x:row>
    <x:row r="14602">
      <x:c r="A14602" s="142"/>
    </x:row>
    <x:row r="14603">
      <x:c r="A14603" s="142"/>
    </x:row>
    <x:row r="14604">
      <x:c r="A14604" s="142"/>
    </x:row>
    <x:row r="14605">
      <x:c r="A14605" s="142"/>
    </x:row>
    <x:row r="14606">
      <x:c r="A14606" s="142"/>
    </x:row>
    <x:row r="14607">
      <x:c r="A14607" s="142"/>
    </x:row>
    <x:row r="14608">
      <x:c r="A14608" s="142"/>
    </x:row>
    <x:row r="14609">
      <x:c r="A14609" s="142"/>
    </x:row>
    <x:row r="14610">
      <x:c r="A14610" s="142"/>
    </x:row>
    <x:row r="14611">
      <x:c r="A14611" s="142"/>
    </x:row>
    <x:row r="14612">
      <x:c r="A14612" s="142"/>
    </x:row>
    <x:row r="14613">
      <x:c r="A14613" s="142"/>
    </x:row>
    <x:row r="14614">
      <x:c r="A14614" s="142"/>
    </x:row>
    <x:row r="14615">
      <x:c r="A14615" s="142"/>
    </x:row>
    <x:row r="14616">
      <x:c r="A14616" s="142"/>
    </x:row>
    <x:row r="14617">
      <x:c r="A14617" s="142"/>
    </x:row>
    <x:row r="14618">
      <x:c r="A14618" s="142"/>
    </x:row>
    <x:row r="14619">
      <x:c r="A14619" s="142"/>
    </x:row>
    <x:row r="14620">
      <x:c r="A14620" s="142"/>
    </x:row>
    <x:row r="14621">
      <x:c r="A14621" s="142"/>
    </x:row>
    <x:row r="14622">
      <x:c r="A14622" s="142"/>
    </x:row>
    <x:row r="14623">
      <x:c r="A14623" s="142"/>
    </x:row>
    <x:row r="14624">
      <x:c r="A14624" s="142"/>
    </x:row>
    <x:row r="14625">
      <x:c r="A14625" s="142"/>
    </x:row>
    <x:row r="14626">
      <x:c r="A14626" s="142"/>
    </x:row>
    <x:row r="14627">
      <x:c r="A14627" s="142"/>
    </x:row>
    <x:row r="14628">
      <x:c r="A14628" s="142"/>
    </x:row>
    <x:row r="14629">
      <x:c r="A14629" s="142"/>
    </x:row>
    <x:row r="14630">
      <x:c r="A14630" s="142"/>
    </x:row>
    <x:row r="14631">
      <x:c r="A14631" s="142"/>
    </x:row>
    <x:row r="14632">
      <x:c r="A14632" s="142"/>
    </x:row>
    <x:row r="14633">
      <x:c r="A14633" s="142"/>
    </x:row>
    <x:row r="14634">
      <x:c r="A14634" s="142"/>
    </x:row>
    <x:row r="14635">
      <x:c r="A14635" s="142"/>
    </x:row>
    <x:row r="14636">
      <x:c r="A14636" s="142"/>
    </x:row>
    <x:row r="14637">
      <x:c r="A14637" s="142"/>
    </x:row>
    <x:row r="14638">
      <x:c r="A14638" s="142"/>
    </x:row>
    <x:row r="14639">
      <x:c r="A14639" s="142"/>
    </x:row>
    <x:row r="14640">
      <x:c r="A14640" s="142"/>
    </x:row>
    <x:row r="14641">
      <x:c r="A14641" s="142"/>
    </x:row>
    <x:row r="14642">
      <x:c r="A14642" s="142"/>
    </x:row>
    <x:row r="14643">
      <x:c r="A14643" s="142"/>
    </x:row>
    <x:row r="14644">
      <x:c r="A14644" s="142"/>
    </x:row>
    <x:row r="14645">
      <x:c r="A14645" s="142"/>
    </x:row>
    <x:row r="14646">
      <x:c r="A14646" s="142"/>
    </x:row>
    <x:row r="14647">
      <x:c r="A14647" s="142"/>
    </x:row>
    <x:row r="14648">
      <x:c r="A14648" s="142"/>
    </x:row>
    <x:row r="14649">
      <x:c r="A14649" s="142"/>
    </x:row>
    <x:row r="14650">
      <x:c r="A14650" s="142"/>
    </x:row>
    <x:row r="14651">
      <x:c r="A14651" s="142"/>
    </x:row>
    <x:row r="14652">
      <x:c r="A14652" s="142"/>
    </x:row>
    <x:row r="14653">
      <x:c r="A14653" s="142"/>
    </x:row>
    <x:row r="14654">
      <x:c r="A14654" s="142"/>
    </x:row>
    <x:row r="14655">
      <x:c r="A14655" s="142"/>
    </x:row>
    <x:row r="14656">
      <x:c r="A14656" s="142"/>
    </x:row>
    <x:row r="14657">
      <x:c r="A14657" s="142"/>
    </x:row>
    <x:row r="14658">
      <x:c r="A14658" s="142"/>
    </x:row>
    <x:row r="14659">
      <x:c r="A14659" s="142"/>
    </x:row>
    <x:row r="14660">
      <x:c r="A14660" s="142"/>
    </x:row>
    <x:row r="14661">
      <x:c r="A14661" s="142"/>
    </x:row>
    <x:row r="14662">
      <x:c r="A14662" s="142"/>
    </x:row>
    <x:row r="14663">
      <x:c r="A14663" s="142"/>
    </x:row>
    <x:row r="14664">
      <x:c r="A14664" s="142"/>
    </x:row>
    <x:row r="14665">
      <x:c r="A14665" s="142"/>
    </x:row>
    <x:row r="14666">
      <x:c r="A14666" s="142"/>
    </x:row>
    <x:row r="14667">
      <x:c r="A14667" s="142"/>
    </x:row>
    <x:row r="14668">
      <x:c r="A14668" s="142"/>
    </x:row>
    <x:row r="14669">
      <x:c r="A14669" s="142"/>
    </x:row>
    <x:row r="14670">
      <x:c r="A14670" s="142"/>
    </x:row>
    <x:row r="14671">
      <x:c r="A14671" s="142"/>
    </x:row>
    <x:row r="14672">
      <x:c r="A14672" s="142"/>
    </x:row>
    <x:row r="14673">
      <x:c r="A14673" s="142"/>
    </x:row>
    <x:row r="14674">
      <x:c r="A14674" s="142"/>
    </x:row>
    <x:row r="14675">
      <x:c r="A14675" s="142"/>
    </x:row>
    <x:row r="14676">
      <x:c r="A14676" s="142"/>
    </x:row>
    <x:row r="14677">
      <x:c r="A14677" s="142"/>
    </x:row>
    <x:row r="14678">
      <x:c r="A14678" s="142"/>
    </x:row>
    <x:row r="14679">
      <x:c r="A14679" s="142"/>
    </x:row>
    <x:row r="14680">
      <x:c r="A14680" s="142"/>
    </x:row>
    <x:row r="14681">
      <x:c r="A14681" s="142"/>
    </x:row>
    <x:row r="14682">
      <x:c r="A14682" s="142"/>
    </x:row>
    <x:row r="14683">
      <x:c r="A14683" s="142"/>
    </x:row>
    <x:row r="14684">
      <x:c r="A14684" s="142"/>
    </x:row>
    <x:row r="14685">
      <x:c r="A14685" s="142"/>
    </x:row>
    <x:row r="14686">
      <x:c r="A14686" s="142"/>
    </x:row>
    <x:row r="14687">
      <x:c r="A14687" s="142"/>
    </x:row>
    <x:row r="14688">
      <x:c r="A14688" s="142"/>
    </x:row>
    <x:row r="14689">
      <x:c r="A14689" s="142"/>
    </x:row>
    <x:row r="14690">
      <x:c r="A14690" s="142"/>
    </x:row>
    <x:row r="14691">
      <x:c r="A14691" s="142"/>
    </x:row>
    <x:row r="14692">
      <x:c r="A14692" s="142"/>
    </x:row>
    <x:row r="14693">
      <x:c r="A14693" s="142"/>
    </x:row>
    <x:row r="14694">
      <x:c r="A14694" s="142"/>
    </x:row>
    <x:row r="14695">
      <x:c r="A14695" s="142"/>
    </x:row>
    <x:row r="14696">
      <x:c r="A14696" s="142"/>
    </x:row>
    <x:row r="14697">
      <x:c r="A14697" s="142"/>
    </x:row>
    <x:row r="14698">
      <x:c r="A14698" s="142"/>
    </x:row>
    <x:row r="14699">
      <x:c r="A14699" s="142"/>
    </x:row>
    <x:row r="14700">
      <x:c r="A14700" s="142"/>
    </x:row>
    <x:row r="14701">
      <x:c r="A14701" s="142"/>
    </x:row>
    <x:row r="14702">
      <x:c r="A14702" s="142"/>
    </x:row>
    <x:row r="14703">
      <x:c r="A14703" s="142"/>
    </x:row>
    <x:row r="14704">
      <x:c r="A14704" s="142"/>
    </x:row>
    <x:row r="14705">
      <x:c r="A14705" s="142"/>
    </x:row>
    <x:row r="14706">
      <x:c r="A14706" s="142"/>
    </x:row>
    <x:row r="14707">
      <x:c r="A14707" s="142"/>
    </x:row>
    <x:row r="14708">
      <x:c r="A14708" s="142"/>
    </x:row>
    <x:row r="14709">
      <x:c r="A14709" s="142"/>
    </x:row>
    <x:row r="14710">
      <x:c r="A14710" s="142"/>
    </x:row>
    <x:row r="14711">
      <x:c r="A14711" s="142"/>
    </x:row>
    <x:row r="14712">
      <x:c r="A14712" s="142"/>
    </x:row>
    <x:row r="14713">
      <x:c r="A14713" s="142"/>
    </x:row>
    <x:row r="14714">
      <x:c r="A14714" s="142"/>
    </x:row>
    <x:row r="14715">
      <x:c r="A14715" s="142"/>
    </x:row>
    <x:row r="14716">
      <x:c r="A14716" s="142"/>
    </x:row>
    <x:row r="14717">
      <x:c r="A14717" s="142"/>
    </x:row>
    <x:row r="14718">
      <x:c r="A14718" s="142"/>
    </x:row>
    <x:row r="14719">
      <x:c r="A14719" s="142"/>
    </x:row>
    <x:row r="14720">
      <x:c r="A14720" s="142"/>
    </x:row>
    <x:row r="14721">
      <x:c r="A14721" s="142"/>
    </x:row>
    <x:row r="14722">
      <x:c r="A14722" s="142"/>
    </x:row>
    <x:row r="14723">
      <x:c r="A14723" s="142"/>
    </x:row>
    <x:row r="14724">
      <x:c r="A14724" s="142"/>
    </x:row>
    <x:row r="14725">
      <x:c r="A14725" s="142"/>
    </x:row>
    <x:row r="14726">
      <x:c r="A14726" s="142"/>
    </x:row>
    <x:row r="14727">
      <x:c r="A14727" s="142"/>
    </x:row>
    <x:row r="14728">
      <x:c r="A14728" s="142"/>
    </x:row>
    <x:row r="14729">
      <x:c r="A14729" s="142"/>
    </x:row>
    <x:row r="14730">
      <x:c r="A14730" s="142"/>
    </x:row>
    <x:row r="14731">
      <x:c r="A14731" s="142"/>
    </x:row>
    <x:row r="14732">
      <x:c r="A14732" s="142"/>
    </x:row>
    <x:row r="14733">
      <x:c r="A14733" s="142"/>
    </x:row>
    <x:row r="14734">
      <x:c r="A14734" s="142"/>
    </x:row>
    <x:row r="14735">
      <x:c r="A14735" s="142"/>
    </x:row>
    <x:row r="14736">
      <x:c r="A14736" s="142"/>
    </x:row>
    <x:row r="14737">
      <x:c r="A14737" s="142"/>
    </x:row>
    <x:row r="14738">
      <x:c r="A14738" s="142"/>
    </x:row>
    <x:row r="14739">
      <x:c r="A14739" s="142"/>
    </x:row>
    <x:row r="14740">
      <x:c r="A14740" s="142"/>
    </x:row>
    <x:row r="14741">
      <x:c r="A14741" s="142"/>
    </x:row>
    <x:row r="14742">
      <x:c r="A14742" s="142"/>
    </x:row>
    <x:row r="14743">
      <x:c r="A14743" s="142"/>
    </x:row>
    <x:row r="14744">
      <x:c r="A14744" s="142"/>
    </x:row>
    <x:row r="14745">
      <x:c r="A14745" s="142"/>
    </x:row>
    <x:row r="14746">
      <x:c r="A14746" s="142"/>
    </x:row>
    <x:row r="14747">
      <x:c r="A14747" s="142"/>
    </x:row>
    <x:row r="14748">
      <x:c r="A14748" s="142"/>
    </x:row>
    <x:row r="14749">
      <x:c r="A14749" s="142"/>
    </x:row>
    <x:row r="14750">
      <x:c r="A14750" s="142"/>
    </x:row>
    <x:row r="14751">
      <x:c r="A14751" s="142"/>
    </x:row>
    <x:row r="14752">
      <x:c r="A14752" s="142"/>
    </x:row>
    <x:row r="14753">
      <x:c r="A14753" s="142"/>
    </x:row>
    <x:row r="14754">
      <x:c r="A14754" s="142"/>
    </x:row>
    <x:row r="14755">
      <x:c r="A14755" s="142"/>
    </x:row>
    <x:row r="14756">
      <x:c r="A14756" s="142"/>
    </x:row>
    <x:row r="14757">
      <x:c r="A14757" s="142"/>
    </x:row>
    <x:row r="14758">
      <x:c r="A14758" s="142"/>
    </x:row>
    <x:row r="14759">
      <x:c r="A14759" s="142"/>
    </x:row>
    <x:row r="14760">
      <x:c r="A14760" s="142"/>
    </x:row>
    <x:row r="14761">
      <x:c r="A14761" s="142"/>
    </x:row>
    <x:row r="14762">
      <x:c r="A14762" s="142"/>
    </x:row>
    <x:row r="14763">
      <x:c r="A14763" s="142"/>
    </x:row>
    <x:row r="14764">
      <x:c r="A14764" s="142"/>
    </x:row>
    <x:row r="14765">
      <x:c r="A14765" s="142"/>
    </x:row>
    <x:row r="14766">
      <x:c r="A14766" s="142"/>
    </x:row>
    <x:row r="14767">
      <x:c r="A14767" s="142"/>
    </x:row>
    <x:row r="14768">
      <x:c r="A14768" s="142"/>
    </x:row>
    <x:row r="14769">
      <x:c r="A14769" s="142"/>
    </x:row>
    <x:row r="14770">
      <x:c r="A14770" s="142"/>
    </x:row>
    <x:row r="14771">
      <x:c r="A14771" s="142"/>
    </x:row>
    <x:row r="14772">
      <x:c r="A14772" s="142"/>
    </x:row>
    <x:row r="14773">
      <x:c r="A14773" s="142"/>
    </x:row>
    <x:row r="14774">
      <x:c r="A14774" s="142"/>
    </x:row>
    <x:row r="14775">
      <x:c r="A14775" s="142"/>
    </x:row>
    <x:row r="14776">
      <x:c r="A14776" s="142"/>
    </x:row>
    <x:row r="14777">
      <x:c r="A14777" s="142"/>
    </x:row>
    <x:row r="14778">
      <x:c r="A14778" s="142"/>
    </x:row>
    <x:row r="14779">
      <x:c r="A14779" s="142"/>
    </x:row>
    <x:row r="14780">
      <x:c r="A14780" s="142"/>
    </x:row>
    <x:row r="14781">
      <x:c r="A14781" s="142"/>
    </x:row>
    <x:row r="14782">
      <x:c r="A14782" s="142"/>
    </x:row>
    <x:row r="14783">
      <x:c r="A14783" s="142"/>
    </x:row>
    <x:row r="14784">
      <x:c r="A14784" s="142"/>
    </x:row>
    <x:row r="14785">
      <x:c r="A14785" s="142"/>
    </x:row>
    <x:row r="14786">
      <x:c r="A14786" s="142"/>
    </x:row>
    <x:row r="14787">
      <x:c r="A14787" s="142"/>
    </x:row>
    <x:row r="14788">
      <x:c r="A14788" s="142"/>
    </x:row>
    <x:row r="14789">
      <x:c r="A14789" s="142"/>
    </x:row>
    <x:row r="14790">
      <x:c r="A14790" s="142"/>
    </x:row>
    <x:row r="14791">
      <x:c r="A14791" s="142"/>
    </x:row>
    <x:row r="14792">
      <x:c r="A14792" s="142"/>
    </x:row>
    <x:row r="14793">
      <x:c r="A14793" s="142"/>
    </x:row>
    <x:row r="14794">
      <x:c r="A14794" s="142"/>
    </x:row>
    <x:row r="14795">
      <x:c r="A14795" s="142"/>
    </x:row>
    <x:row r="14796">
      <x:c r="A14796" s="142"/>
    </x:row>
    <x:row r="14797">
      <x:c r="A14797" s="142"/>
    </x:row>
    <x:row r="14798">
      <x:c r="A14798" s="142"/>
    </x:row>
    <x:row r="14799">
      <x:c r="A14799" s="142"/>
    </x:row>
    <x:row r="14800">
      <x:c r="A14800" s="142"/>
    </x:row>
    <x:row r="14801">
      <x:c r="A14801" s="142"/>
    </x:row>
    <x:row r="14802">
      <x:c r="A14802" s="142"/>
    </x:row>
    <x:row r="14803">
      <x:c r="A14803" s="142"/>
    </x:row>
    <x:row r="14804">
      <x:c r="A14804" s="142"/>
    </x:row>
    <x:row r="14805">
      <x:c r="A14805" s="142"/>
    </x:row>
    <x:row r="14806">
      <x:c r="A14806" s="142"/>
    </x:row>
    <x:row r="14807">
      <x:c r="A14807" s="142"/>
    </x:row>
    <x:row r="14808">
      <x:c r="A14808" s="142"/>
    </x:row>
    <x:row r="14809">
      <x:c r="A14809" s="142"/>
    </x:row>
    <x:row r="14810">
      <x:c r="A14810" s="142"/>
    </x:row>
    <x:row r="14811">
      <x:c r="A14811" s="142"/>
    </x:row>
    <x:row r="14812">
      <x:c r="A14812" s="142"/>
    </x:row>
    <x:row r="14813">
      <x:c r="A14813" s="142"/>
    </x:row>
    <x:row r="14814">
      <x:c r="A14814" s="142"/>
    </x:row>
    <x:row r="14815">
      <x:c r="A14815" s="142"/>
    </x:row>
    <x:row r="14816">
      <x:c r="A14816" s="142"/>
    </x:row>
    <x:row r="14817">
      <x:c r="A14817" s="142"/>
    </x:row>
    <x:row r="14818">
      <x:c r="A14818" s="142"/>
    </x:row>
    <x:row r="14819">
      <x:c r="A14819" s="142"/>
    </x:row>
    <x:row r="14820">
      <x:c r="A14820" s="142"/>
    </x:row>
    <x:row r="14821">
      <x:c r="A14821" s="142"/>
    </x:row>
    <x:row r="14822">
      <x:c r="A14822" s="142"/>
    </x:row>
    <x:row r="14823">
      <x:c r="A14823" s="142"/>
    </x:row>
    <x:row r="14824">
      <x:c r="A14824" s="142"/>
    </x:row>
    <x:row r="14825">
      <x:c r="A14825" s="142"/>
    </x:row>
    <x:row r="14826">
      <x:c r="A14826" s="142"/>
    </x:row>
    <x:row r="14827">
      <x:c r="A14827" s="142"/>
    </x:row>
    <x:row r="14828">
      <x:c r="A14828" s="142"/>
    </x:row>
    <x:row r="14829">
      <x:c r="A14829" s="142"/>
    </x:row>
    <x:row r="14830">
      <x:c r="A14830" s="142"/>
    </x:row>
    <x:row r="14831">
      <x:c r="A14831" s="142"/>
    </x:row>
    <x:row r="14832">
      <x:c r="A14832" s="142"/>
    </x:row>
    <x:row r="14833">
      <x:c r="A14833" s="142"/>
    </x:row>
    <x:row r="14834">
      <x:c r="A14834" s="142"/>
    </x:row>
    <x:row r="14835">
      <x:c r="A14835" s="142"/>
    </x:row>
    <x:row r="14836">
      <x:c r="A14836" s="142"/>
    </x:row>
    <x:row r="14837">
      <x:c r="A14837" s="142"/>
    </x:row>
    <x:row r="14838">
      <x:c r="A14838" s="142"/>
    </x:row>
    <x:row r="14839">
      <x:c r="A14839" s="142"/>
    </x:row>
    <x:row r="14840">
      <x:c r="A14840" s="142"/>
    </x:row>
    <x:row r="14841">
      <x:c r="A14841" s="142"/>
    </x:row>
    <x:row r="14842">
      <x:c r="A14842" s="142"/>
    </x:row>
    <x:row r="14843">
      <x:c r="A14843" s="142"/>
    </x:row>
    <x:row r="14844">
      <x:c r="A14844" s="142"/>
    </x:row>
    <x:row r="14845">
      <x:c r="A14845" s="142"/>
    </x:row>
    <x:row r="14846">
      <x:c r="A14846" s="142"/>
    </x:row>
    <x:row r="14847">
      <x:c r="A14847" s="142"/>
    </x:row>
    <x:row r="14848">
      <x:c r="A14848" s="142"/>
    </x:row>
    <x:row r="14849">
      <x:c r="A14849" s="142"/>
    </x:row>
    <x:row r="14850">
      <x:c r="A14850" s="142"/>
    </x:row>
    <x:row r="14851">
      <x:c r="A14851" s="142"/>
    </x:row>
    <x:row r="14852">
      <x:c r="A14852" s="142"/>
    </x:row>
    <x:row r="14853">
      <x:c r="A14853" s="142"/>
    </x:row>
    <x:row r="14854">
      <x:c r="A14854" s="142"/>
    </x:row>
    <x:row r="14855">
      <x:c r="A14855" s="142"/>
    </x:row>
    <x:row r="14856">
      <x:c r="A14856" s="142"/>
    </x:row>
    <x:row r="14857">
      <x:c r="A14857" s="142"/>
    </x:row>
    <x:row r="14858">
      <x:c r="A14858" s="142"/>
    </x:row>
    <x:row r="14859">
      <x:c r="A14859" s="142"/>
    </x:row>
    <x:row r="14860">
      <x:c r="A14860" s="142"/>
    </x:row>
    <x:row r="14861">
      <x:c r="A14861" s="142"/>
    </x:row>
    <x:row r="14862">
      <x:c r="A14862" s="142"/>
    </x:row>
    <x:row r="14863">
      <x:c r="A14863" s="142"/>
    </x:row>
    <x:row r="14864">
      <x:c r="A14864" s="142"/>
    </x:row>
    <x:row r="14865">
      <x:c r="A14865" s="142"/>
    </x:row>
    <x:row r="14866">
      <x:c r="A14866" s="142"/>
    </x:row>
    <x:row r="14867">
      <x:c r="A14867" s="142"/>
    </x:row>
    <x:row r="14868">
      <x:c r="A14868" s="142"/>
    </x:row>
    <x:row r="14869">
      <x:c r="A14869" s="142"/>
    </x:row>
    <x:row r="14870">
      <x:c r="A14870" s="142"/>
    </x:row>
    <x:row r="14871">
      <x:c r="A14871" s="142"/>
    </x:row>
    <x:row r="14872">
      <x:c r="A14872" s="142"/>
    </x:row>
    <x:row r="14873">
      <x:c r="A14873" s="142"/>
    </x:row>
    <x:row r="14874">
      <x:c r="A14874" s="142"/>
    </x:row>
    <x:row r="14875">
      <x:c r="A14875" s="142"/>
    </x:row>
    <x:row r="14876">
      <x:c r="A14876" s="142"/>
    </x:row>
    <x:row r="14877">
      <x:c r="A14877" s="142"/>
    </x:row>
    <x:row r="14878">
      <x:c r="A14878" s="142"/>
    </x:row>
    <x:row r="14879">
      <x:c r="A14879" s="142"/>
    </x:row>
    <x:row r="14880">
      <x:c r="A14880" s="142"/>
    </x:row>
    <x:row r="14881">
      <x:c r="A14881" s="142"/>
    </x:row>
    <x:row r="14882">
      <x:c r="A14882" s="142"/>
    </x:row>
    <x:row r="14883">
      <x:c r="A14883" s="142"/>
    </x:row>
    <x:row r="14884">
      <x:c r="A14884" s="142"/>
    </x:row>
    <x:row r="14885">
      <x:c r="A14885" s="142"/>
    </x:row>
    <x:row r="14886">
      <x:c r="A14886" s="142"/>
    </x:row>
    <x:row r="14887">
      <x:c r="A14887" s="142"/>
    </x:row>
    <x:row r="14888">
      <x:c r="A14888" s="142"/>
    </x:row>
    <x:row r="14889">
      <x:c r="A14889" s="142"/>
    </x:row>
    <x:row r="14890">
      <x:c r="A14890" s="142"/>
    </x:row>
    <x:row r="14891">
      <x:c r="A14891" s="142"/>
    </x:row>
    <x:row r="14892">
      <x:c r="A14892" s="142"/>
    </x:row>
    <x:row r="14893">
      <x:c r="A14893" s="142"/>
    </x:row>
    <x:row r="14894">
      <x:c r="A14894" s="142"/>
    </x:row>
    <x:row r="14895">
      <x:c r="A14895" s="142"/>
    </x:row>
    <x:row r="14896">
      <x:c r="A14896" s="142"/>
    </x:row>
    <x:row r="14897">
      <x:c r="A14897" s="142"/>
    </x:row>
    <x:row r="14898">
      <x:c r="A14898" s="142"/>
    </x:row>
    <x:row r="14899">
      <x:c r="A14899" s="142"/>
    </x:row>
    <x:row r="14900">
      <x:c r="A14900" s="142"/>
    </x:row>
    <x:row r="14901">
      <x:c r="A14901" s="142"/>
    </x:row>
    <x:row r="14902">
      <x:c r="A14902" s="142"/>
    </x:row>
    <x:row r="14903">
      <x:c r="A14903" s="142"/>
    </x:row>
    <x:row r="14904">
      <x:c r="A14904" s="142"/>
    </x:row>
    <x:row r="14905">
      <x:c r="A14905" s="142"/>
    </x:row>
    <x:row r="14906">
      <x:c r="A14906" s="142"/>
    </x:row>
    <x:row r="14907">
      <x:c r="A14907" s="142"/>
    </x:row>
    <x:row r="14908">
      <x:c r="A14908" s="142"/>
    </x:row>
    <x:row r="14909">
      <x:c r="A14909" s="142"/>
    </x:row>
    <x:row r="14910">
      <x:c r="A14910" s="142"/>
    </x:row>
    <x:row r="14911">
      <x:c r="A14911" s="142"/>
    </x:row>
    <x:row r="14912">
      <x:c r="A14912" s="142"/>
    </x:row>
    <x:row r="14913">
      <x:c r="A14913" s="142"/>
    </x:row>
    <x:row r="14914">
      <x:c r="A14914" s="142"/>
    </x:row>
    <x:row r="14915">
      <x:c r="A14915" s="142"/>
    </x:row>
    <x:row r="14916">
      <x:c r="A14916" s="142"/>
    </x:row>
    <x:row r="14917">
      <x:c r="A14917" s="142"/>
    </x:row>
    <x:row r="14918">
      <x:c r="A14918" s="142"/>
    </x:row>
    <x:row r="14919">
      <x:c r="A14919" s="142"/>
    </x:row>
    <x:row r="14920">
      <x:c r="A14920" s="142"/>
    </x:row>
    <x:row r="14921">
      <x:c r="A14921" s="142"/>
    </x:row>
    <x:row r="14922">
      <x:c r="A14922" s="142"/>
    </x:row>
    <x:row r="14923">
      <x:c r="A14923" s="142"/>
    </x:row>
    <x:row r="14924">
      <x:c r="A14924" s="142"/>
    </x:row>
    <x:row r="14925">
      <x:c r="A14925" s="142"/>
    </x:row>
    <x:row r="14926">
      <x:c r="A14926" s="142"/>
    </x:row>
    <x:row r="14927">
      <x:c r="A14927" s="142"/>
    </x:row>
    <x:row r="14928">
      <x:c r="A14928" s="142"/>
    </x:row>
    <x:row r="14929">
      <x:c r="A14929" s="142"/>
    </x:row>
    <x:row r="14930">
      <x:c r="A14930" s="142"/>
    </x:row>
    <x:row r="14931">
      <x:c r="A14931" s="142"/>
    </x:row>
    <x:row r="14932">
      <x:c r="A14932" s="142"/>
    </x:row>
    <x:row r="14933">
      <x:c r="A14933" s="142"/>
    </x:row>
    <x:row r="14934">
      <x:c r="A14934" s="142"/>
    </x:row>
    <x:row r="14935">
      <x:c r="A14935" s="142"/>
    </x:row>
    <x:row r="14936">
      <x:c r="A14936" s="142"/>
    </x:row>
    <x:row r="14937">
      <x:c r="A14937" s="142"/>
    </x:row>
    <x:row r="14938">
      <x:c r="A14938" s="142"/>
    </x:row>
    <x:row r="14939">
      <x:c r="A14939" s="142"/>
    </x:row>
    <x:row r="14940">
      <x:c r="A14940" s="142"/>
    </x:row>
    <x:row r="14941">
      <x:c r="A14941" s="142"/>
    </x:row>
    <x:row r="14942">
      <x:c r="A14942" s="142"/>
    </x:row>
    <x:row r="14943">
      <x:c r="A14943" s="142"/>
    </x:row>
    <x:row r="14944">
      <x:c r="A14944" s="142"/>
    </x:row>
    <x:row r="14945">
      <x:c r="A14945" s="142"/>
    </x:row>
    <x:row r="14946">
      <x:c r="A14946" s="142"/>
    </x:row>
    <x:row r="14947">
      <x:c r="A14947" s="142"/>
    </x:row>
    <x:row r="14948">
      <x:c r="A14948" s="142"/>
    </x:row>
    <x:row r="14949">
      <x:c r="A14949" s="142"/>
    </x:row>
    <x:row r="14950">
      <x:c r="A14950" s="142"/>
    </x:row>
    <x:row r="14951">
      <x:c r="A14951" s="142"/>
    </x:row>
    <x:row r="14952">
      <x:c r="A14952" s="142"/>
    </x:row>
    <x:row r="14953">
      <x:c r="A14953" s="142"/>
    </x:row>
    <x:row r="14954">
      <x:c r="A14954" s="142"/>
    </x:row>
    <x:row r="14955">
      <x:c r="A14955" s="142"/>
    </x:row>
    <x:row r="14956">
      <x:c r="A14956" s="142"/>
    </x:row>
    <x:row r="14957">
      <x:c r="A14957" s="142"/>
    </x:row>
    <x:row r="14958">
      <x:c r="A14958" s="142"/>
    </x:row>
    <x:row r="14959">
      <x:c r="A14959" s="142"/>
    </x:row>
    <x:row r="14960">
      <x:c r="A14960" s="142"/>
    </x:row>
    <x:row r="14961">
      <x:c r="A14961" s="142"/>
    </x:row>
    <x:row r="14962">
      <x:c r="A14962" s="142"/>
    </x:row>
    <x:row r="14963">
      <x:c r="A14963" s="142"/>
    </x:row>
    <x:row r="14964">
      <x:c r="A14964" s="142"/>
    </x:row>
    <x:row r="14965">
      <x:c r="A14965" s="142"/>
    </x:row>
    <x:row r="14966">
      <x:c r="A14966" s="142"/>
    </x:row>
    <x:row r="14967">
      <x:c r="A14967" s="142"/>
    </x:row>
    <x:row r="14968">
      <x:c r="A14968" s="142"/>
    </x:row>
    <x:row r="14969">
      <x:c r="A14969" s="142"/>
    </x:row>
    <x:row r="14970">
      <x:c r="A14970" s="142"/>
    </x:row>
    <x:row r="14971">
      <x:c r="A14971" s="142"/>
    </x:row>
    <x:row r="14972">
      <x:c r="A14972" s="142"/>
    </x:row>
    <x:row r="14973">
      <x:c r="A14973" s="142"/>
    </x:row>
    <x:row r="14974">
      <x:c r="A14974" s="142"/>
    </x:row>
    <x:row r="14975">
      <x:c r="A14975" s="142"/>
    </x:row>
    <x:row r="14976">
      <x:c r="A14976" s="142"/>
    </x:row>
    <x:row r="14977">
      <x:c r="A14977" s="142"/>
    </x:row>
    <x:row r="14978">
      <x:c r="A14978" s="142"/>
    </x:row>
    <x:row r="14979">
      <x:c r="A14979" s="142"/>
    </x:row>
    <x:row r="14980">
      <x:c r="A14980" s="142"/>
    </x:row>
    <x:row r="14981">
      <x:c r="A14981" s="142"/>
    </x:row>
    <x:row r="14982">
      <x:c r="A14982" s="142"/>
    </x:row>
    <x:row r="14983">
      <x:c r="A14983" s="142"/>
    </x:row>
    <x:row r="14984">
      <x:c r="A14984" s="142"/>
    </x:row>
    <x:row r="14985">
      <x:c r="A14985" s="142"/>
    </x:row>
    <x:row r="14986">
      <x:c r="A14986" s="142"/>
    </x:row>
    <x:row r="14987">
      <x:c r="A14987" s="142"/>
    </x:row>
    <x:row r="14988">
      <x:c r="A14988" s="142"/>
    </x:row>
    <x:row r="14989">
      <x:c r="A14989" s="142"/>
    </x:row>
    <x:row r="14990">
      <x:c r="A14990" s="142"/>
    </x:row>
    <x:row r="14991">
      <x:c r="A14991" s="142"/>
    </x:row>
    <x:row r="14992">
      <x:c r="A14992" s="142"/>
    </x:row>
    <x:row r="14993">
      <x:c r="A14993" s="142"/>
    </x:row>
    <x:row r="14994">
      <x:c r="A14994" s="142"/>
    </x:row>
    <x:row r="14995">
      <x:c r="A14995" s="142"/>
    </x:row>
    <x:row r="14996">
      <x:c r="A14996" s="142"/>
    </x:row>
    <x:row r="14997">
      <x:c r="A14997" s="142"/>
    </x:row>
    <x:row r="14998">
      <x:c r="A14998" s="142"/>
    </x:row>
    <x:row r="14999">
      <x:c r="A14999" s="142"/>
    </x:row>
    <x:row r="15000">
      <x:c r="A15000" s="142"/>
    </x:row>
    <x:row r="15001">
      <x:c r="A15001" s="142"/>
    </x:row>
    <x:row r="15002">
      <x:c r="A15002" s="142"/>
    </x:row>
    <x:row r="15003">
      <x:c r="A15003" s="142"/>
    </x:row>
    <x:row r="15004">
      <x:c r="A15004" s="142"/>
    </x:row>
    <x:row r="15005">
      <x:c r="A15005" s="142"/>
    </x:row>
    <x:row r="15006">
      <x:c r="A15006" s="142"/>
    </x:row>
    <x:row r="15007">
      <x:c r="A15007" s="142"/>
    </x:row>
    <x:row r="15008">
      <x:c r="A15008" s="142"/>
    </x:row>
    <x:row r="15009">
      <x:c r="A15009" s="142"/>
    </x:row>
    <x:row r="15010">
      <x:c r="A15010" s="142"/>
    </x:row>
    <x:row r="15011">
      <x:c r="A15011" s="142"/>
    </x:row>
    <x:row r="15012">
      <x:c r="A15012" s="142"/>
    </x:row>
    <x:row r="15013">
      <x:c r="A15013" s="142"/>
    </x:row>
    <x:row r="15014">
      <x:c r="A15014" s="142"/>
    </x:row>
    <x:row r="15015">
      <x:c r="A15015" s="142"/>
    </x:row>
    <x:row r="15016">
      <x:c r="A15016" s="142"/>
    </x:row>
    <x:row r="15017">
      <x:c r="A15017" s="142"/>
    </x:row>
    <x:row r="15018">
      <x:c r="A15018" s="142"/>
    </x:row>
    <x:row r="15019">
      <x:c r="A15019" s="142"/>
    </x:row>
    <x:row r="15020">
      <x:c r="A15020" s="142"/>
    </x:row>
    <x:row r="15021">
      <x:c r="A15021" s="142"/>
    </x:row>
    <x:row r="15022">
      <x:c r="A15022" s="142"/>
    </x:row>
    <x:row r="15023">
      <x:c r="A15023" s="142"/>
    </x:row>
    <x:row r="15024">
      <x:c r="A15024" s="142"/>
    </x:row>
    <x:row r="15025">
      <x:c r="A15025" s="142"/>
    </x:row>
    <x:row r="15026">
      <x:c r="A15026" s="142"/>
    </x:row>
    <x:row r="15027">
      <x:c r="A15027" s="142"/>
    </x:row>
    <x:row r="15028">
      <x:c r="A15028" s="142"/>
    </x:row>
    <x:row r="15029">
      <x:c r="A15029" s="142"/>
    </x:row>
    <x:row r="15030">
      <x:c r="A15030" s="142"/>
    </x:row>
    <x:row r="15031">
      <x:c r="A15031" s="142"/>
    </x:row>
    <x:row r="15032">
      <x:c r="A15032" s="142"/>
    </x:row>
    <x:row r="15033">
      <x:c r="A15033" s="142"/>
    </x:row>
    <x:row r="15034">
      <x:c r="A15034" s="142"/>
    </x:row>
    <x:row r="15035">
      <x:c r="A15035" s="142"/>
    </x:row>
    <x:row r="15036">
      <x:c r="A15036" s="142"/>
    </x:row>
    <x:row r="15037">
      <x:c r="A15037" s="142"/>
    </x:row>
    <x:row r="15038">
      <x:c r="A15038" s="142"/>
    </x:row>
    <x:row r="15039">
      <x:c r="A15039" s="142"/>
    </x:row>
    <x:row r="15040">
      <x:c r="A15040" s="142"/>
    </x:row>
    <x:row r="15041">
      <x:c r="A15041" s="142"/>
    </x:row>
    <x:row r="15042">
      <x:c r="A15042" s="142"/>
    </x:row>
    <x:row r="15043">
      <x:c r="A15043" s="142"/>
    </x:row>
    <x:row r="15044">
      <x:c r="A15044" s="142"/>
    </x:row>
    <x:row r="15045">
      <x:c r="A15045" s="142"/>
    </x:row>
    <x:row r="15046">
      <x:c r="A15046" s="142"/>
    </x:row>
    <x:row r="15047">
      <x:c r="A15047" s="142"/>
    </x:row>
    <x:row r="15048">
      <x:c r="A15048" s="142"/>
    </x:row>
    <x:row r="15049">
      <x:c r="A15049" s="142"/>
    </x:row>
    <x:row r="15050">
      <x:c r="A15050" s="142"/>
    </x:row>
    <x:row r="15051">
      <x:c r="A15051" s="142"/>
    </x:row>
    <x:row r="15052">
      <x:c r="A15052" s="142"/>
    </x:row>
    <x:row r="15053">
      <x:c r="A15053" s="142"/>
    </x:row>
    <x:row r="15054">
      <x:c r="A15054" s="142"/>
    </x:row>
    <x:row r="15055">
      <x:c r="A15055" s="142"/>
    </x:row>
    <x:row r="15056">
      <x:c r="A15056" s="142"/>
    </x:row>
    <x:row r="15057">
      <x:c r="A15057" s="142"/>
    </x:row>
    <x:row r="15058">
      <x:c r="A15058" s="142"/>
    </x:row>
    <x:row r="15059">
      <x:c r="A15059" s="142"/>
    </x:row>
    <x:row r="15060">
      <x:c r="A15060" s="142"/>
    </x:row>
    <x:row r="15061">
      <x:c r="A15061" s="142"/>
    </x:row>
    <x:row r="15062">
      <x:c r="A15062" s="142"/>
    </x:row>
    <x:row r="15063">
      <x:c r="A15063" s="142"/>
    </x:row>
    <x:row r="15064">
      <x:c r="A15064" s="142"/>
    </x:row>
    <x:row r="15065">
      <x:c r="A15065" s="142"/>
    </x:row>
    <x:row r="15066">
      <x:c r="A15066" s="142"/>
    </x:row>
    <x:row r="15067">
      <x:c r="A15067" s="142"/>
    </x:row>
    <x:row r="15068">
      <x:c r="A15068" s="142"/>
    </x:row>
    <x:row r="15069">
      <x:c r="A15069" s="142"/>
    </x:row>
    <x:row r="15070">
      <x:c r="A15070" s="142"/>
    </x:row>
    <x:row r="15071">
      <x:c r="A15071" s="142"/>
    </x:row>
    <x:row r="15072">
      <x:c r="A15072" s="142"/>
    </x:row>
    <x:row r="15073">
      <x:c r="A15073" s="142"/>
    </x:row>
    <x:row r="15074">
      <x:c r="A15074" s="142"/>
    </x:row>
    <x:row r="15075">
      <x:c r="A15075" s="142"/>
    </x:row>
    <x:row r="15076">
      <x:c r="A15076" s="142"/>
    </x:row>
    <x:row r="15077">
      <x:c r="A15077" s="142"/>
    </x:row>
    <x:row r="15078">
      <x:c r="A15078" s="142"/>
    </x:row>
    <x:row r="15079">
      <x:c r="A15079" s="142"/>
    </x:row>
    <x:row r="15080">
      <x:c r="A15080" s="142"/>
    </x:row>
    <x:row r="15081">
      <x:c r="A15081" s="142"/>
    </x:row>
    <x:row r="15082">
      <x:c r="A15082" s="142"/>
    </x:row>
    <x:row r="15083">
      <x:c r="A15083" s="142"/>
    </x:row>
    <x:row r="15084">
      <x:c r="A15084" s="142"/>
    </x:row>
    <x:row r="15085">
      <x:c r="A15085" s="142"/>
    </x:row>
    <x:row r="15086">
      <x:c r="A15086" s="142"/>
    </x:row>
    <x:row r="15087">
      <x:c r="A15087" s="142"/>
    </x:row>
    <x:row r="15088">
      <x:c r="A15088" s="142"/>
    </x:row>
    <x:row r="15089">
      <x:c r="A15089" s="142"/>
    </x:row>
    <x:row r="15090">
      <x:c r="A15090" s="142"/>
    </x:row>
    <x:row r="15091">
      <x:c r="A15091" s="142"/>
    </x:row>
    <x:row r="15092">
      <x:c r="A15092" s="142"/>
    </x:row>
    <x:row r="15093">
      <x:c r="A15093" s="142"/>
    </x:row>
    <x:row r="15094">
      <x:c r="A15094" s="142"/>
    </x:row>
    <x:row r="15095">
      <x:c r="A15095" s="142"/>
    </x:row>
    <x:row r="15096">
      <x:c r="A15096" s="142"/>
    </x:row>
    <x:row r="15097">
      <x:c r="A15097" s="142"/>
    </x:row>
    <x:row r="15098">
      <x:c r="A15098" s="142"/>
    </x:row>
    <x:row r="15099">
      <x:c r="A15099" s="142"/>
    </x:row>
    <x:row r="15100">
      <x:c r="A15100" s="142"/>
    </x:row>
    <x:row r="15101">
      <x:c r="A15101" s="142"/>
    </x:row>
    <x:row r="15102">
      <x:c r="A15102" s="142"/>
    </x:row>
    <x:row r="15103">
      <x:c r="A15103" s="142"/>
    </x:row>
    <x:row r="15104">
      <x:c r="A15104" s="142"/>
    </x:row>
    <x:row r="15105">
      <x:c r="A15105" s="142"/>
    </x:row>
    <x:row r="15106">
      <x:c r="A15106" s="142"/>
    </x:row>
    <x:row r="15107">
      <x:c r="A15107" s="142"/>
    </x:row>
    <x:row r="15108">
      <x:c r="A15108" s="142"/>
    </x:row>
    <x:row r="15109">
      <x:c r="A15109" s="142"/>
    </x:row>
    <x:row r="15110">
      <x:c r="A15110" s="142"/>
    </x:row>
    <x:row r="15111">
      <x:c r="A15111" s="142"/>
    </x:row>
    <x:row r="15112">
      <x:c r="A15112" s="142"/>
    </x:row>
    <x:row r="15113">
      <x:c r="A15113" s="142"/>
    </x:row>
    <x:row r="15114">
      <x:c r="A15114" s="142"/>
    </x:row>
    <x:row r="15115">
      <x:c r="A15115" s="142"/>
    </x:row>
    <x:row r="15116">
      <x:c r="A15116" s="142"/>
    </x:row>
    <x:row r="15117">
      <x:c r="A15117" s="142"/>
    </x:row>
    <x:row r="15118">
      <x:c r="A15118" s="142"/>
    </x:row>
    <x:row r="15119">
      <x:c r="A15119" s="142"/>
    </x:row>
    <x:row r="15120">
      <x:c r="A15120" s="142"/>
    </x:row>
    <x:row r="15121">
      <x:c r="A15121" s="142"/>
    </x:row>
    <x:row r="15122">
      <x:c r="A15122" s="142"/>
    </x:row>
    <x:row r="15123">
      <x:c r="A15123" s="142"/>
    </x:row>
    <x:row r="15124">
      <x:c r="A15124" s="142"/>
    </x:row>
    <x:row r="15125">
      <x:c r="A15125" s="142"/>
    </x:row>
    <x:row r="15126">
      <x:c r="A15126" s="142"/>
    </x:row>
    <x:row r="15127">
      <x:c r="A15127" s="142"/>
    </x:row>
    <x:row r="15128">
      <x:c r="A15128" s="142"/>
    </x:row>
    <x:row r="15129">
      <x:c r="A15129" s="142"/>
    </x:row>
    <x:row r="15130">
      <x:c r="A15130" s="142"/>
    </x:row>
    <x:row r="15131">
      <x:c r="A15131" s="142"/>
    </x:row>
    <x:row r="15132">
      <x:c r="A15132" s="142"/>
    </x:row>
    <x:row r="15133">
      <x:c r="A15133" s="142"/>
    </x:row>
    <x:row r="15134">
      <x:c r="A15134" s="142"/>
    </x:row>
    <x:row r="15135">
      <x:c r="A15135" s="142"/>
    </x:row>
    <x:row r="15136">
      <x:c r="A15136" s="142"/>
    </x:row>
    <x:row r="15137">
      <x:c r="A15137" s="142"/>
    </x:row>
    <x:row r="15138">
      <x:c r="A15138" s="142"/>
    </x:row>
    <x:row r="15139">
      <x:c r="A15139" s="142"/>
    </x:row>
    <x:row r="15140">
      <x:c r="A15140" s="142"/>
    </x:row>
    <x:row r="15141">
      <x:c r="A15141" s="142"/>
    </x:row>
    <x:row r="15142">
      <x:c r="A15142" s="142"/>
    </x:row>
    <x:row r="15143">
      <x:c r="A15143" s="142"/>
    </x:row>
    <x:row r="15144">
      <x:c r="A15144" s="142"/>
    </x:row>
    <x:row r="15145">
      <x:c r="A15145" s="142"/>
    </x:row>
    <x:row r="15146">
      <x:c r="A15146" s="142"/>
    </x:row>
    <x:row r="15147">
      <x:c r="A15147" s="142"/>
    </x:row>
    <x:row r="15148">
      <x:c r="A15148" s="142"/>
    </x:row>
    <x:row r="15149">
      <x:c r="A15149" s="142"/>
    </x:row>
    <x:row r="15150">
      <x:c r="A15150" s="142"/>
    </x:row>
    <x:row r="15151">
      <x:c r="A15151" s="142"/>
    </x:row>
    <x:row r="15152">
      <x:c r="A15152" s="142"/>
    </x:row>
    <x:row r="15153">
      <x:c r="A15153" s="142"/>
    </x:row>
    <x:row r="15154">
      <x:c r="A15154" s="142"/>
    </x:row>
    <x:row r="15155">
      <x:c r="A15155" s="142"/>
    </x:row>
    <x:row r="15156">
      <x:c r="A15156" s="142"/>
    </x:row>
    <x:row r="15157">
      <x:c r="A15157" s="142"/>
    </x:row>
    <x:row r="15158">
      <x:c r="A15158" s="142"/>
    </x:row>
    <x:row r="15159">
      <x:c r="A15159" s="142"/>
    </x:row>
    <x:row r="15160">
      <x:c r="A15160" s="142"/>
    </x:row>
    <x:row r="15161">
      <x:c r="A15161" s="142"/>
    </x:row>
    <x:row r="15162">
      <x:c r="A15162" s="142"/>
    </x:row>
    <x:row r="15163">
      <x:c r="A15163" s="142"/>
    </x:row>
    <x:row r="15164">
      <x:c r="A15164" s="142"/>
    </x:row>
    <x:row r="15165">
      <x:c r="A15165" s="142"/>
    </x:row>
    <x:row r="15166">
      <x:c r="A15166" s="142"/>
    </x:row>
    <x:row r="15167">
      <x:c r="A15167" s="142"/>
    </x:row>
    <x:row r="15168">
      <x:c r="A15168" s="142"/>
    </x:row>
    <x:row r="15169">
      <x:c r="A15169" s="142"/>
    </x:row>
    <x:row r="15170">
      <x:c r="A15170" s="142"/>
    </x:row>
    <x:row r="15171">
      <x:c r="A15171" s="142"/>
    </x:row>
    <x:row r="15172">
      <x:c r="A15172" s="142"/>
    </x:row>
    <x:row r="15173">
      <x:c r="A15173" s="142"/>
    </x:row>
    <x:row r="15174">
      <x:c r="A15174" s="142"/>
    </x:row>
    <x:row r="15175">
      <x:c r="A15175" s="142"/>
    </x:row>
    <x:row r="15176">
      <x:c r="A15176" s="142"/>
    </x:row>
    <x:row r="15177">
      <x:c r="A15177" s="142"/>
    </x:row>
    <x:row r="15178">
      <x:c r="A15178" s="142"/>
    </x:row>
    <x:row r="15179">
      <x:c r="A15179" s="142"/>
    </x:row>
    <x:row r="15180">
      <x:c r="A15180" s="142"/>
    </x:row>
    <x:row r="15181">
      <x:c r="A15181" s="142"/>
    </x:row>
    <x:row r="15182">
      <x:c r="A15182" s="142"/>
    </x:row>
    <x:row r="15183">
      <x:c r="A15183" s="142"/>
    </x:row>
    <x:row r="15184">
      <x:c r="A15184" s="142"/>
    </x:row>
    <x:row r="15185">
      <x:c r="A15185" s="142"/>
    </x:row>
    <x:row r="15186">
      <x:c r="A15186" s="142"/>
    </x:row>
    <x:row r="15187">
      <x:c r="A15187" s="142"/>
    </x:row>
    <x:row r="15188">
      <x:c r="A15188" s="142"/>
    </x:row>
    <x:row r="15189">
      <x:c r="A15189" s="142"/>
    </x:row>
    <x:row r="15190">
      <x:c r="A15190" s="142"/>
    </x:row>
    <x:row r="15191">
      <x:c r="A15191" s="142"/>
    </x:row>
    <x:row r="15192">
      <x:c r="A15192" s="142"/>
    </x:row>
    <x:row r="15193">
      <x:c r="A15193" s="142"/>
    </x:row>
    <x:row r="15194">
      <x:c r="A15194" s="142"/>
    </x:row>
    <x:row r="15195">
      <x:c r="A15195" s="142"/>
    </x:row>
    <x:row r="15196">
      <x:c r="A15196" s="142"/>
    </x:row>
    <x:row r="15197">
      <x:c r="A15197" s="142"/>
    </x:row>
    <x:row r="15198">
      <x:c r="A15198" s="142"/>
    </x:row>
    <x:row r="15199">
      <x:c r="A15199" s="142"/>
    </x:row>
    <x:row r="15200">
      <x:c r="A15200" s="142"/>
    </x:row>
    <x:row r="15201">
      <x:c r="A15201" s="142"/>
    </x:row>
    <x:row r="15202">
      <x:c r="A15202" s="142"/>
    </x:row>
    <x:row r="15203">
      <x:c r="A15203" s="142"/>
    </x:row>
    <x:row r="15204">
      <x:c r="A15204" s="142"/>
    </x:row>
    <x:row r="15205">
      <x:c r="A15205" s="142"/>
    </x:row>
    <x:row r="15206">
      <x:c r="A15206" s="142"/>
    </x:row>
    <x:row r="15207">
      <x:c r="A15207" s="142"/>
    </x:row>
    <x:row r="15208">
      <x:c r="A15208" s="142"/>
    </x:row>
    <x:row r="15209">
      <x:c r="A15209" s="142"/>
    </x:row>
    <x:row r="15210">
      <x:c r="A15210" s="142"/>
    </x:row>
    <x:row r="15211">
      <x:c r="A15211" s="142"/>
    </x:row>
    <x:row r="15212">
      <x:c r="A15212" s="142"/>
    </x:row>
    <x:row r="15213">
      <x:c r="A15213" s="142"/>
    </x:row>
    <x:row r="15214">
      <x:c r="A15214" s="142"/>
    </x:row>
    <x:row r="15215">
      <x:c r="A15215" s="142"/>
    </x:row>
    <x:row r="15216">
      <x:c r="A15216" s="142"/>
    </x:row>
    <x:row r="15217">
      <x:c r="A15217" s="142"/>
    </x:row>
    <x:row r="15218">
      <x:c r="A15218" s="142"/>
    </x:row>
    <x:row r="15219">
      <x:c r="A15219" s="142"/>
    </x:row>
    <x:row r="15220">
      <x:c r="A15220" s="142"/>
    </x:row>
    <x:row r="15221">
      <x:c r="A15221" s="142"/>
    </x:row>
    <x:row r="15222">
      <x:c r="A15222" s="142"/>
    </x:row>
    <x:row r="15223">
      <x:c r="A15223" s="142"/>
    </x:row>
    <x:row r="15224">
      <x:c r="A15224" s="142"/>
    </x:row>
    <x:row r="15225">
      <x:c r="A15225" s="142"/>
    </x:row>
    <x:row r="15226">
      <x:c r="A15226" s="142"/>
    </x:row>
    <x:row r="15227">
      <x:c r="A15227" s="142"/>
    </x:row>
    <x:row r="15228">
      <x:c r="A15228" s="142"/>
    </x:row>
    <x:row r="15229">
      <x:c r="A15229" s="142"/>
    </x:row>
    <x:row r="15230">
      <x:c r="A15230" s="142"/>
    </x:row>
    <x:row r="15231">
      <x:c r="A15231" s="142"/>
    </x:row>
    <x:row r="15232">
      <x:c r="A15232" s="142"/>
    </x:row>
    <x:row r="15233">
      <x:c r="A15233" s="142"/>
    </x:row>
    <x:row r="15234">
      <x:c r="A15234" s="142"/>
    </x:row>
    <x:row r="15235">
      <x:c r="A15235" s="142"/>
    </x:row>
    <x:row r="15236">
      <x:c r="A15236" s="142"/>
    </x:row>
    <x:row r="15237">
      <x:c r="A15237" s="142"/>
    </x:row>
    <x:row r="15238">
      <x:c r="A15238" s="142"/>
    </x:row>
    <x:row r="15239">
      <x:c r="A15239" s="142"/>
    </x:row>
    <x:row r="15240">
      <x:c r="A15240" s="142"/>
    </x:row>
    <x:row r="15241">
      <x:c r="A15241" s="142"/>
    </x:row>
    <x:row r="15242">
      <x:c r="A15242" s="142"/>
    </x:row>
    <x:row r="15243">
      <x:c r="A15243" s="142"/>
    </x:row>
    <x:row r="15244">
      <x:c r="A15244" s="142"/>
    </x:row>
    <x:row r="15245">
      <x:c r="A15245" s="142"/>
    </x:row>
    <x:row r="15246">
      <x:c r="A15246" s="142"/>
    </x:row>
    <x:row r="15247">
      <x:c r="A15247" s="142"/>
    </x:row>
    <x:row r="15248">
      <x:c r="A15248" s="142"/>
    </x:row>
    <x:row r="15249">
      <x:c r="A15249" s="142"/>
    </x:row>
    <x:row r="15250">
      <x:c r="A15250" s="142"/>
    </x:row>
    <x:row r="15251">
      <x:c r="A15251" s="142"/>
    </x:row>
    <x:row r="15252">
      <x:c r="A15252" s="142"/>
    </x:row>
    <x:row r="15253">
      <x:c r="A15253" s="142"/>
    </x:row>
    <x:row r="15254">
      <x:c r="A15254" s="142"/>
    </x:row>
    <x:row r="15255">
      <x:c r="A15255" s="142"/>
    </x:row>
    <x:row r="15256">
      <x:c r="A15256" s="142"/>
    </x:row>
    <x:row r="15257">
      <x:c r="A15257" s="142"/>
    </x:row>
    <x:row r="15258">
      <x:c r="A15258" s="142"/>
    </x:row>
    <x:row r="15259">
      <x:c r="A15259" s="142"/>
    </x:row>
    <x:row r="15260">
      <x:c r="A15260" s="142"/>
    </x:row>
    <x:row r="15261">
      <x:c r="A15261" s="142"/>
    </x:row>
    <x:row r="15262">
      <x:c r="A15262" s="142"/>
    </x:row>
    <x:row r="15263">
      <x:c r="A15263" s="142"/>
    </x:row>
    <x:row r="15264">
      <x:c r="A15264" s="142"/>
    </x:row>
    <x:row r="15265">
      <x:c r="A15265" s="142"/>
    </x:row>
    <x:row r="15266">
      <x:c r="A15266" s="142"/>
    </x:row>
    <x:row r="15267">
      <x:c r="A15267" s="142"/>
    </x:row>
    <x:row r="15268">
      <x:c r="A15268" s="142"/>
    </x:row>
    <x:row r="15269">
      <x:c r="A15269" s="142"/>
    </x:row>
    <x:row r="15270">
      <x:c r="A15270" s="142"/>
    </x:row>
    <x:row r="15271">
      <x:c r="A15271" s="142"/>
    </x:row>
    <x:row r="15272">
      <x:c r="A15272" s="142"/>
    </x:row>
    <x:row r="15273">
      <x:c r="A15273" s="142"/>
    </x:row>
    <x:row r="15274">
      <x:c r="A15274" s="142"/>
    </x:row>
    <x:row r="15275">
      <x:c r="A15275" s="142"/>
    </x:row>
    <x:row r="15276">
      <x:c r="A15276" s="142"/>
    </x:row>
    <x:row r="15277">
      <x:c r="A15277" s="142"/>
    </x:row>
    <x:row r="15278">
      <x:c r="A15278" s="142"/>
    </x:row>
    <x:row r="15279">
      <x:c r="A15279" s="142"/>
    </x:row>
    <x:row r="15280">
      <x:c r="A15280" s="142"/>
    </x:row>
    <x:row r="15281">
      <x:c r="A15281" s="142"/>
    </x:row>
    <x:row r="15282">
      <x:c r="A15282" s="142"/>
    </x:row>
    <x:row r="15283">
      <x:c r="A15283" s="142"/>
    </x:row>
    <x:row r="15284">
      <x:c r="A15284" s="142"/>
    </x:row>
    <x:row r="15285">
      <x:c r="A15285" s="142"/>
    </x:row>
    <x:row r="15286">
      <x:c r="A15286" s="142"/>
    </x:row>
    <x:row r="15287">
      <x:c r="A15287" s="142"/>
    </x:row>
    <x:row r="15288">
      <x:c r="A15288" s="142"/>
    </x:row>
    <x:row r="15289">
      <x:c r="A15289" s="142"/>
    </x:row>
    <x:row r="15290">
      <x:c r="A15290" s="142"/>
    </x:row>
    <x:row r="15291">
      <x:c r="A15291" s="142"/>
    </x:row>
    <x:row r="15292">
      <x:c r="A15292" s="142"/>
    </x:row>
    <x:row r="15293">
      <x:c r="A15293" s="142"/>
    </x:row>
    <x:row r="15294">
      <x:c r="A15294" s="142"/>
    </x:row>
    <x:row r="15295">
      <x:c r="A15295" s="142"/>
    </x:row>
    <x:row r="15296">
      <x:c r="A15296" s="142"/>
    </x:row>
    <x:row r="15297">
      <x:c r="A15297" s="142"/>
    </x:row>
    <x:row r="15298">
      <x:c r="A15298" s="142"/>
    </x:row>
    <x:row r="15299">
      <x:c r="A15299" s="142"/>
    </x:row>
    <x:row r="15300">
      <x:c r="A15300" s="142"/>
    </x:row>
    <x:row r="15301">
      <x:c r="A15301" s="142"/>
    </x:row>
    <x:row r="15302">
      <x:c r="A15302" s="142"/>
    </x:row>
    <x:row r="15303">
      <x:c r="A15303" s="142"/>
    </x:row>
    <x:row r="15304">
      <x:c r="A15304" s="142"/>
    </x:row>
    <x:row r="15305">
      <x:c r="A15305" s="142"/>
    </x:row>
    <x:row r="15306">
      <x:c r="A15306" s="142"/>
    </x:row>
    <x:row r="15307">
      <x:c r="A15307" s="142"/>
    </x:row>
    <x:row r="15308">
      <x:c r="A15308" s="142"/>
    </x:row>
    <x:row r="15309">
      <x:c r="A15309" s="142"/>
    </x:row>
    <x:row r="15310">
      <x:c r="A15310" s="142"/>
    </x:row>
    <x:row r="15311">
      <x:c r="A15311" s="142"/>
    </x:row>
    <x:row r="15312">
      <x:c r="A15312" s="142"/>
    </x:row>
    <x:row r="15313">
      <x:c r="A15313" s="142"/>
    </x:row>
    <x:row r="15314">
      <x:c r="A15314" s="142"/>
    </x:row>
    <x:row r="15315">
      <x:c r="A15315" s="142"/>
    </x:row>
    <x:row r="15316">
      <x:c r="A15316" s="142"/>
    </x:row>
    <x:row r="15317">
      <x:c r="A15317" s="142"/>
    </x:row>
    <x:row r="15318">
      <x:c r="A15318" s="142"/>
    </x:row>
    <x:row r="15319">
      <x:c r="A15319" s="142"/>
    </x:row>
    <x:row r="15320">
      <x:c r="A15320" s="142"/>
    </x:row>
    <x:row r="15321">
      <x:c r="A15321" s="142"/>
    </x:row>
    <x:row r="15322">
      <x:c r="A15322" s="142"/>
    </x:row>
    <x:row r="15323">
      <x:c r="A15323" s="142"/>
    </x:row>
    <x:row r="15324">
      <x:c r="A15324" s="142"/>
    </x:row>
    <x:row r="15325">
      <x:c r="A15325" s="142"/>
    </x:row>
    <x:row r="15326">
      <x:c r="A15326" s="142"/>
    </x:row>
    <x:row r="15327">
      <x:c r="A15327" s="142"/>
    </x:row>
    <x:row r="15328">
      <x:c r="A15328" s="142"/>
    </x:row>
    <x:row r="15329">
      <x:c r="A15329" s="142"/>
    </x:row>
    <x:row r="15330">
      <x:c r="A15330" s="142"/>
    </x:row>
    <x:row r="15331">
      <x:c r="A15331" s="142"/>
    </x:row>
    <x:row r="15332">
      <x:c r="A15332" s="142"/>
    </x:row>
    <x:row r="15333">
      <x:c r="A15333" s="142"/>
    </x:row>
    <x:row r="15334">
      <x:c r="A15334" s="142"/>
    </x:row>
    <x:row r="15335">
      <x:c r="A15335" s="142"/>
    </x:row>
    <x:row r="15336">
      <x:c r="A15336" s="142"/>
    </x:row>
    <x:row r="15337">
      <x:c r="A15337" s="142"/>
    </x:row>
    <x:row r="15338">
      <x:c r="A15338" s="142"/>
    </x:row>
    <x:row r="15339">
      <x:c r="A15339" s="142"/>
    </x:row>
    <x:row r="15340">
      <x:c r="A15340" s="142"/>
    </x:row>
    <x:row r="15341">
      <x:c r="A15341" s="142"/>
    </x:row>
    <x:row r="15342">
      <x:c r="A15342" s="142"/>
    </x:row>
    <x:row r="15343">
      <x:c r="A15343" s="142"/>
    </x:row>
    <x:row r="15344">
      <x:c r="A15344" s="142"/>
    </x:row>
    <x:row r="15345">
      <x:c r="A15345" s="142"/>
    </x:row>
    <x:row r="15346">
      <x:c r="A15346" s="142"/>
    </x:row>
    <x:row r="15347">
      <x:c r="A15347" s="142"/>
    </x:row>
    <x:row r="15348">
      <x:c r="A15348" s="142"/>
    </x:row>
    <x:row r="15349">
      <x:c r="A15349" s="142"/>
    </x:row>
    <x:row r="15350">
      <x:c r="A15350" s="142"/>
    </x:row>
    <x:row r="15351">
      <x:c r="A15351" s="142"/>
    </x:row>
    <x:row r="15352">
      <x:c r="A15352" s="142"/>
    </x:row>
    <x:row r="15353">
      <x:c r="A15353" s="142"/>
    </x:row>
    <x:row r="15354">
      <x:c r="A15354" s="142"/>
    </x:row>
    <x:row r="15355">
      <x:c r="A15355" s="142"/>
    </x:row>
    <x:row r="15356">
      <x:c r="A15356" s="142"/>
    </x:row>
    <x:row r="15357">
      <x:c r="A15357" s="142"/>
    </x:row>
    <x:row r="15358">
      <x:c r="A15358" s="142"/>
    </x:row>
    <x:row r="15359">
      <x:c r="A15359" s="142"/>
    </x:row>
    <x:row r="15360">
      <x:c r="A15360" s="142"/>
    </x:row>
    <x:row r="15361">
      <x:c r="A15361" s="142"/>
    </x:row>
    <x:row r="15362">
      <x:c r="A15362" s="142"/>
    </x:row>
    <x:row r="15363">
      <x:c r="A15363" s="142"/>
    </x:row>
    <x:row r="15364">
      <x:c r="A15364" s="142"/>
    </x:row>
    <x:row r="15365">
      <x:c r="A15365" s="142"/>
    </x:row>
    <x:row r="15366">
      <x:c r="A15366" s="142"/>
    </x:row>
    <x:row r="15367">
      <x:c r="A15367" s="142"/>
    </x:row>
    <x:row r="15368">
      <x:c r="A15368" s="142"/>
    </x:row>
    <x:row r="15369">
      <x:c r="A15369" s="142"/>
    </x:row>
    <x:row r="15370">
      <x:c r="A15370" s="142"/>
    </x:row>
    <x:row r="15371">
      <x:c r="A15371" s="142"/>
    </x:row>
    <x:row r="15372">
      <x:c r="A15372" s="142"/>
    </x:row>
    <x:row r="15373">
      <x:c r="A15373" s="142"/>
    </x:row>
    <x:row r="15374">
      <x:c r="A15374" s="142"/>
    </x:row>
    <x:row r="15375">
      <x:c r="A15375" s="142"/>
    </x:row>
    <x:row r="15376">
      <x:c r="A15376" s="142"/>
    </x:row>
    <x:row r="15377">
      <x:c r="A15377" s="142"/>
    </x:row>
    <x:row r="15378">
      <x:c r="A15378" s="142"/>
    </x:row>
    <x:row r="15379">
      <x:c r="A15379" s="142"/>
    </x:row>
    <x:row r="15380">
      <x:c r="A15380" s="142"/>
    </x:row>
    <x:row r="15381">
      <x:c r="A15381" s="142"/>
    </x:row>
    <x:row r="15382">
      <x:c r="A15382" s="142"/>
    </x:row>
    <x:row r="15383">
      <x:c r="A15383" s="142"/>
    </x:row>
    <x:row r="15384">
      <x:c r="A15384" s="142"/>
    </x:row>
    <x:row r="15385">
      <x:c r="A15385" s="142"/>
    </x:row>
    <x:row r="15386">
      <x:c r="A15386" s="142"/>
    </x:row>
    <x:row r="15387">
      <x:c r="A15387" s="142"/>
    </x:row>
    <x:row r="15388">
      <x:c r="A15388" s="142"/>
    </x:row>
    <x:row r="15389">
      <x:c r="A15389" s="142"/>
    </x:row>
    <x:row r="15390">
      <x:c r="A15390" s="142"/>
    </x:row>
    <x:row r="15391">
      <x:c r="A15391" s="142"/>
    </x:row>
    <x:row r="15392">
      <x:c r="A15392" s="142"/>
    </x:row>
    <x:row r="15393">
      <x:c r="A15393" s="142"/>
    </x:row>
    <x:row r="15394">
      <x:c r="A15394" s="142"/>
    </x:row>
    <x:row r="15395">
      <x:c r="A15395" s="142"/>
    </x:row>
    <x:row r="15396">
      <x:c r="A15396" s="142"/>
    </x:row>
    <x:row r="15397">
      <x:c r="A15397" s="142"/>
    </x:row>
    <x:row r="15398">
      <x:c r="A15398" s="142"/>
    </x:row>
    <x:row r="15399">
      <x:c r="A15399" s="142"/>
    </x:row>
    <x:row r="15400">
      <x:c r="A15400" s="142"/>
    </x:row>
    <x:row r="15401">
      <x:c r="A15401" s="142"/>
    </x:row>
    <x:row r="15402">
      <x:c r="A15402" s="142"/>
    </x:row>
    <x:row r="15403">
      <x:c r="A15403" s="142"/>
    </x:row>
    <x:row r="15404">
      <x:c r="A15404" s="142"/>
    </x:row>
    <x:row r="15405">
      <x:c r="A15405" s="142"/>
    </x:row>
    <x:row r="15406">
      <x:c r="A15406" s="142"/>
    </x:row>
    <x:row r="15407">
      <x:c r="A15407" s="142"/>
    </x:row>
    <x:row r="15408">
      <x:c r="A15408" s="142"/>
    </x:row>
    <x:row r="15409">
      <x:c r="A15409" s="142"/>
    </x:row>
    <x:row r="15410">
      <x:c r="A15410" s="142"/>
    </x:row>
    <x:row r="15411">
      <x:c r="A15411" s="142"/>
    </x:row>
    <x:row r="15412">
      <x:c r="A15412" s="142"/>
    </x:row>
    <x:row r="15413">
      <x:c r="A15413" s="142"/>
    </x:row>
    <x:row r="15414">
      <x:c r="A15414" s="142"/>
    </x:row>
    <x:row r="15415">
      <x:c r="A15415" s="142"/>
    </x:row>
    <x:row r="15416">
      <x:c r="A15416" s="142"/>
    </x:row>
    <x:row r="15417">
      <x:c r="A15417" s="142"/>
    </x:row>
    <x:row r="15418">
      <x:c r="A15418" s="142"/>
    </x:row>
    <x:row r="15419">
      <x:c r="A15419" s="142"/>
    </x:row>
    <x:row r="15420">
      <x:c r="A15420" s="142"/>
    </x:row>
    <x:row r="15421">
      <x:c r="A15421" s="142"/>
    </x:row>
    <x:row r="15422">
      <x:c r="A15422" s="142"/>
    </x:row>
    <x:row r="15423">
      <x:c r="A15423" s="142"/>
    </x:row>
    <x:row r="15424">
      <x:c r="A15424" s="142"/>
    </x:row>
    <x:row r="15425">
      <x:c r="A15425" s="142"/>
    </x:row>
    <x:row r="15426">
      <x:c r="A15426" s="142"/>
    </x:row>
    <x:row r="15427">
      <x:c r="A15427" s="142"/>
    </x:row>
    <x:row r="15428">
      <x:c r="A15428" s="142"/>
    </x:row>
    <x:row r="15429">
      <x:c r="A15429" s="142"/>
    </x:row>
    <x:row r="15430">
      <x:c r="A15430" s="142"/>
    </x:row>
    <x:row r="15431">
      <x:c r="A15431" s="142"/>
    </x:row>
    <x:row r="15432">
      <x:c r="A15432" s="142"/>
    </x:row>
    <x:row r="15433">
      <x:c r="A15433" s="142"/>
    </x:row>
    <x:row r="15434">
      <x:c r="A15434" s="142"/>
    </x:row>
    <x:row r="15435">
      <x:c r="A15435" s="142"/>
    </x:row>
    <x:row r="15436">
      <x:c r="A15436" s="142"/>
    </x:row>
    <x:row r="15437">
      <x:c r="A15437" s="142"/>
    </x:row>
    <x:row r="15438">
      <x:c r="A15438" s="142"/>
    </x:row>
    <x:row r="15439">
      <x:c r="A15439" s="142"/>
    </x:row>
    <x:row r="15440">
      <x:c r="A15440" s="142"/>
    </x:row>
    <x:row r="15441">
      <x:c r="A15441" s="142"/>
    </x:row>
    <x:row r="15442">
      <x:c r="A15442" s="142"/>
    </x:row>
    <x:row r="15443">
      <x:c r="A15443" s="142"/>
    </x:row>
    <x:row r="15444">
      <x:c r="A15444" s="142"/>
    </x:row>
    <x:row r="15445">
      <x:c r="A15445" s="142"/>
    </x:row>
    <x:row r="15446">
      <x:c r="A15446" s="142"/>
    </x:row>
    <x:row r="15447">
      <x:c r="A15447" s="142"/>
    </x:row>
    <x:row r="15448">
      <x:c r="A15448" s="142"/>
    </x:row>
    <x:row r="15449">
      <x:c r="A15449" s="142"/>
    </x:row>
    <x:row r="15450">
      <x:c r="A15450" s="142"/>
    </x:row>
    <x:row r="15451">
      <x:c r="A15451" s="142"/>
    </x:row>
    <x:row r="15452">
      <x:c r="A15452" s="142"/>
    </x:row>
    <x:row r="15453">
      <x:c r="A15453" s="142"/>
    </x:row>
    <x:row r="15454">
      <x:c r="A15454" s="142"/>
    </x:row>
    <x:row r="15455">
      <x:c r="A15455" s="142"/>
    </x:row>
    <x:row r="15456">
      <x:c r="A15456" s="142"/>
    </x:row>
    <x:row r="15457">
      <x:c r="A15457" s="142"/>
    </x:row>
    <x:row r="15458">
      <x:c r="A15458" s="142"/>
    </x:row>
    <x:row r="15459">
      <x:c r="A15459" s="142"/>
    </x:row>
    <x:row r="15460">
      <x:c r="A15460" s="142"/>
    </x:row>
    <x:row r="15461">
      <x:c r="A15461" s="142"/>
    </x:row>
    <x:row r="15462">
      <x:c r="A15462" s="142"/>
    </x:row>
    <x:row r="15463">
      <x:c r="A15463" s="142"/>
    </x:row>
    <x:row r="15464">
      <x:c r="A15464" s="142"/>
    </x:row>
    <x:row r="15465">
      <x:c r="A15465" s="142"/>
    </x:row>
    <x:row r="15466">
      <x:c r="A15466" s="142"/>
    </x:row>
    <x:row r="15467">
      <x:c r="A15467" s="142"/>
    </x:row>
    <x:row r="15468">
      <x:c r="A15468" s="142"/>
    </x:row>
    <x:row r="15469">
      <x:c r="A15469" s="142"/>
    </x:row>
    <x:row r="15470">
      <x:c r="A15470" s="142"/>
    </x:row>
    <x:row r="15471">
      <x:c r="A15471" s="142"/>
    </x:row>
    <x:row r="15472">
      <x:c r="A15472" s="142"/>
    </x:row>
    <x:row r="15473">
      <x:c r="A15473" s="142"/>
    </x:row>
    <x:row r="15474">
      <x:c r="A15474" s="142"/>
    </x:row>
    <x:row r="15475">
      <x:c r="A15475" s="142"/>
    </x:row>
    <x:row r="15476">
      <x:c r="A15476" s="142"/>
    </x:row>
    <x:row r="15477">
      <x:c r="A15477" s="142"/>
    </x:row>
    <x:row r="15478">
      <x:c r="A15478" s="142"/>
    </x:row>
    <x:row r="15479">
      <x:c r="A15479" s="142"/>
    </x:row>
    <x:row r="15480">
      <x:c r="A15480" s="142"/>
    </x:row>
    <x:row r="15481">
      <x:c r="A15481" s="142"/>
    </x:row>
    <x:row r="15482">
      <x:c r="A15482" s="142"/>
    </x:row>
    <x:row r="15483">
      <x:c r="A15483" s="142"/>
    </x:row>
    <x:row r="15484">
      <x:c r="A15484" s="142"/>
    </x:row>
    <x:row r="15485">
      <x:c r="A15485" s="142"/>
    </x:row>
    <x:row r="15486">
      <x:c r="A15486" s="142"/>
    </x:row>
    <x:row r="15487">
      <x:c r="A15487" s="142"/>
    </x:row>
    <x:row r="15488">
      <x:c r="A15488" s="142"/>
    </x:row>
    <x:row r="15489">
      <x:c r="A15489" s="142"/>
    </x:row>
    <x:row r="15490">
      <x:c r="A15490" s="142"/>
    </x:row>
    <x:row r="15491">
      <x:c r="A15491" s="142"/>
    </x:row>
    <x:row r="15492">
      <x:c r="A15492" s="142"/>
    </x:row>
    <x:row r="15493">
      <x:c r="A15493" s="142"/>
    </x:row>
    <x:row r="15494">
      <x:c r="A15494" s="142"/>
    </x:row>
    <x:row r="15495">
      <x:c r="A15495" s="142"/>
    </x:row>
    <x:row r="15496">
      <x:c r="A15496" s="142"/>
    </x:row>
    <x:row r="15497">
      <x:c r="A15497" s="142"/>
    </x:row>
    <x:row r="15498">
      <x:c r="A15498" s="142"/>
    </x:row>
    <x:row r="15499">
      <x:c r="A15499" s="142"/>
    </x:row>
    <x:row r="15500">
      <x:c r="A15500" s="142"/>
    </x:row>
    <x:row r="15501">
      <x:c r="A15501" s="142"/>
    </x:row>
    <x:row r="15502">
      <x:c r="A15502" s="142"/>
    </x:row>
    <x:row r="15503">
      <x:c r="A15503" s="142"/>
    </x:row>
    <x:row r="15504">
      <x:c r="A15504" s="142"/>
    </x:row>
    <x:row r="15505">
      <x:c r="A15505" s="142"/>
    </x:row>
    <x:row r="15506">
      <x:c r="A15506" s="142"/>
    </x:row>
    <x:row r="15507">
      <x:c r="A15507" s="142"/>
    </x:row>
    <x:row r="15508">
      <x:c r="A15508" s="142"/>
    </x:row>
    <x:row r="15509">
      <x:c r="A15509" s="142"/>
    </x:row>
    <x:row r="15510">
      <x:c r="A15510" s="142"/>
    </x:row>
    <x:row r="15511">
      <x:c r="A15511" s="142"/>
    </x:row>
    <x:row r="15512">
      <x:c r="A15512" s="142"/>
    </x:row>
    <x:row r="15513">
      <x:c r="A15513" s="142"/>
    </x:row>
    <x:row r="15514">
      <x:c r="A15514" s="142"/>
    </x:row>
    <x:row r="15515">
      <x:c r="A15515" s="142"/>
    </x:row>
    <x:row r="15516">
      <x:c r="A15516" s="142"/>
    </x:row>
    <x:row r="15517">
      <x:c r="A15517" s="142"/>
    </x:row>
    <x:row r="15518">
      <x:c r="A15518" s="142"/>
    </x:row>
    <x:row r="15519">
      <x:c r="A15519" s="142"/>
    </x:row>
    <x:row r="15520">
      <x:c r="A15520" s="142"/>
    </x:row>
    <x:row r="15521">
      <x:c r="A15521" s="142"/>
    </x:row>
    <x:row r="15522">
      <x:c r="A15522" s="142"/>
    </x:row>
    <x:row r="15523">
      <x:c r="A15523" s="142"/>
    </x:row>
    <x:row r="15524">
      <x:c r="A15524" s="142"/>
    </x:row>
    <x:row r="15525">
      <x:c r="A15525" s="142"/>
    </x:row>
    <x:row r="15526">
      <x:c r="A15526" s="142"/>
    </x:row>
    <x:row r="15527">
      <x:c r="A15527" s="142"/>
    </x:row>
    <x:row r="15528">
      <x:c r="A15528" s="142"/>
    </x:row>
    <x:row r="15529">
      <x:c r="A15529" s="142"/>
    </x:row>
    <x:row r="15530">
      <x:c r="A15530" s="142"/>
    </x:row>
    <x:row r="15531">
      <x:c r="A15531" s="142"/>
    </x:row>
    <x:row r="15532">
      <x:c r="A15532" s="142"/>
    </x:row>
    <x:row r="15533">
      <x:c r="A15533" s="142"/>
    </x:row>
    <x:row r="15534">
      <x:c r="A15534" s="142"/>
    </x:row>
    <x:row r="15535">
      <x:c r="A15535" s="142"/>
    </x:row>
    <x:row r="15536">
      <x:c r="A15536" s="142"/>
    </x:row>
    <x:row r="15537">
      <x:c r="A15537" s="142"/>
    </x:row>
    <x:row r="15538">
      <x:c r="A15538" s="142"/>
    </x:row>
    <x:row r="15539">
      <x:c r="A15539" s="142"/>
    </x:row>
    <x:row r="15540">
      <x:c r="A15540" s="142"/>
    </x:row>
    <x:row r="15541">
      <x:c r="A15541" s="142"/>
    </x:row>
    <x:row r="15542">
      <x:c r="A15542" s="142"/>
    </x:row>
    <x:row r="15543">
      <x:c r="A15543" s="142"/>
    </x:row>
    <x:row r="15544">
      <x:c r="A15544" s="142"/>
    </x:row>
    <x:row r="15545">
      <x:c r="A15545" s="142"/>
    </x:row>
    <x:row r="15546">
      <x:c r="A15546" s="142"/>
    </x:row>
    <x:row r="15547">
      <x:c r="A15547" s="142"/>
    </x:row>
    <x:row r="15548">
      <x:c r="A15548" s="142"/>
    </x:row>
    <x:row r="15549">
      <x:c r="A15549" s="142"/>
    </x:row>
    <x:row r="15550">
      <x:c r="A15550" s="142"/>
    </x:row>
    <x:row r="15551">
      <x:c r="A15551" s="142"/>
    </x:row>
    <x:row r="15552">
      <x:c r="A15552" s="142"/>
    </x:row>
    <x:row r="15553">
      <x:c r="A15553" s="142"/>
    </x:row>
    <x:row r="15554">
      <x:c r="A15554" s="142"/>
    </x:row>
    <x:row r="15555">
      <x:c r="A15555" s="142"/>
    </x:row>
    <x:row r="15556">
      <x:c r="A15556" s="142"/>
    </x:row>
    <x:row r="15557">
      <x:c r="A15557" s="142"/>
    </x:row>
    <x:row r="15558">
      <x:c r="A15558" s="142"/>
    </x:row>
    <x:row r="15559">
      <x:c r="A15559" s="142"/>
    </x:row>
    <x:row r="15560">
      <x:c r="A15560" s="142"/>
    </x:row>
    <x:row r="15561">
      <x:c r="A15561" s="142"/>
    </x:row>
    <x:row r="15562">
      <x:c r="A15562" s="142"/>
    </x:row>
    <x:row r="15563">
      <x:c r="A15563" s="142"/>
    </x:row>
    <x:row r="15564">
      <x:c r="A15564" s="142"/>
    </x:row>
    <x:row r="15565">
      <x:c r="A15565" s="142"/>
    </x:row>
    <x:row r="15566">
      <x:c r="A15566" s="142"/>
    </x:row>
    <x:row r="15567">
      <x:c r="A15567" s="142"/>
    </x:row>
    <x:row r="15568">
      <x:c r="A15568" s="142"/>
    </x:row>
    <x:row r="15569">
      <x:c r="A15569" s="142"/>
    </x:row>
    <x:row r="15570">
      <x:c r="A15570" s="142"/>
    </x:row>
    <x:row r="15571">
      <x:c r="A15571" s="142"/>
    </x:row>
    <x:row r="15572">
      <x:c r="A15572" s="142"/>
    </x:row>
    <x:row r="15573">
      <x:c r="A15573" s="142"/>
    </x:row>
    <x:row r="15574">
      <x:c r="A15574" s="142"/>
    </x:row>
    <x:row r="15575">
      <x:c r="A15575" s="142"/>
    </x:row>
    <x:row r="15576">
      <x:c r="A15576" s="142"/>
    </x:row>
    <x:row r="15577">
      <x:c r="A15577" s="142"/>
    </x:row>
    <x:row r="15578">
      <x:c r="A15578" s="142"/>
    </x:row>
    <x:row r="15579">
      <x:c r="A15579" s="142"/>
    </x:row>
    <x:row r="15580">
      <x:c r="A15580" s="142"/>
    </x:row>
    <x:row r="15581">
      <x:c r="A15581" s="142"/>
    </x:row>
    <x:row r="15582">
      <x:c r="A15582" s="142"/>
    </x:row>
    <x:row r="15583">
      <x:c r="A15583" s="142"/>
    </x:row>
    <x:row r="15584">
      <x:c r="A15584" s="142"/>
    </x:row>
    <x:row r="15585">
      <x:c r="A15585" s="142"/>
    </x:row>
    <x:row r="15586">
      <x:c r="A15586" s="142"/>
    </x:row>
    <x:row r="15587">
      <x:c r="A15587" s="142"/>
    </x:row>
    <x:row r="15588">
      <x:c r="A15588" s="142"/>
    </x:row>
    <x:row r="15589">
      <x:c r="A15589" s="142"/>
    </x:row>
    <x:row r="15590">
      <x:c r="A15590" s="142"/>
    </x:row>
    <x:row r="15591">
      <x:c r="A15591" s="142"/>
    </x:row>
    <x:row r="15592">
      <x:c r="A15592" s="142"/>
    </x:row>
    <x:row r="15593">
      <x:c r="A15593" s="142"/>
    </x:row>
    <x:row r="15594">
      <x:c r="A15594" s="142"/>
    </x:row>
    <x:row r="15595">
      <x:c r="A15595" s="142"/>
    </x:row>
    <x:row r="15596">
      <x:c r="A15596" s="142"/>
    </x:row>
    <x:row r="15597">
      <x:c r="A15597" s="142"/>
    </x:row>
    <x:row r="15598">
      <x:c r="A15598" s="142"/>
    </x:row>
    <x:row r="15599">
      <x:c r="A15599" s="142"/>
    </x:row>
    <x:row r="15600">
      <x:c r="A15600" s="142"/>
    </x:row>
    <x:row r="15601">
      <x:c r="A15601" s="142"/>
    </x:row>
    <x:row r="15602">
      <x:c r="A15602" s="142"/>
    </x:row>
    <x:row r="15603">
      <x:c r="A15603" s="142"/>
    </x:row>
    <x:row r="15604">
      <x:c r="A15604" s="142"/>
    </x:row>
    <x:row r="15605">
      <x:c r="A15605" s="142"/>
    </x:row>
    <x:row r="15606">
      <x:c r="A15606" s="142"/>
    </x:row>
    <x:row r="15607">
      <x:c r="A15607" s="142"/>
    </x:row>
    <x:row r="15608">
      <x:c r="A15608" s="142"/>
    </x:row>
    <x:row r="15609">
      <x:c r="A15609" s="142"/>
    </x:row>
    <x:row r="15610">
      <x:c r="A15610" s="142"/>
    </x:row>
    <x:row r="15611">
      <x:c r="A15611" s="142"/>
    </x:row>
    <x:row r="15612">
      <x:c r="A15612" s="142"/>
    </x:row>
    <x:row r="15613">
      <x:c r="A15613" s="142"/>
    </x:row>
    <x:row r="15614">
      <x:c r="A15614" s="142"/>
    </x:row>
    <x:row r="15615">
      <x:c r="A15615" s="142"/>
    </x:row>
    <x:row r="15616">
      <x:c r="A15616" s="142"/>
    </x:row>
    <x:row r="15617">
      <x:c r="A15617" s="142"/>
    </x:row>
    <x:row r="15618">
      <x:c r="A15618" s="142"/>
    </x:row>
    <x:row r="15619">
      <x:c r="A15619" s="142"/>
    </x:row>
    <x:row r="15620">
      <x:c r="A15620" s="142"/>
    </x:row>
    <x:row r="15621">
      <x:c r="A15621" s="142"/>
    </x:row>
    <x:row r="15622">
      <x:c r="A15622" s="142"/>
    </x:row>
    <x:row r="15623">
      <x:c r="A15623" s="142"/>
    </x:row>
    <x:row r="15624">
      <x:c r="A15624" s="142"/>
    </x:row>
    <x:row r="15625">
      <x:c r="A15625" s="142"/>
    </x:row>
    <x:row r="15626">
      <x:c r="A15626" s="142"/>
    </x:row>
    <x:row r="15627">
      <x:c r="A15627" s="142"/>
    </x:row>
    <x:row r="15628">
      <x:c r="A15628" s="142"/>
    </x:row>
    <x:row r="15629">
      <x:c r="A15629" s="142"/>
    </x:row>
    <x:row r="15630">
      <x:c r="A15630" s="142"/>
    </x:row>
    <x:row r="15631">
      <x:c r="A15631" s="142"/>
    </x:row>
    <x:row r="15632">
      <x:c r="A15632" s="142"/>
    </x:row>
    <x:row r="15633">
      <x:c r="A15633" s="142"/>
    </x:row>
    <x:row r="15634">
      <x:c r="A15634" s="142"/>
    </x:row>
    <x:row r="15635">
      <x:c r="A15635" s="142"/>
    </x:row>
    <x:row r="15636">
      <x:c r="A15636" s="142"/>
    </x:row>
    <x:row r="15637">
      <x:c r="A15637" s="142"/>
    </x:row>
    <x:row r="15638">
      <x:c r="A15638" s="142"/>
    </x:row>
    <x:row r="15639">
      <x:c r="A15639" s="142"/>
    </x:row>
    <x:row r="15640">
      <x:c r="A15640" s="142"/>
    </x:row>
    <x:row r="15641">
      <x:c r="A15641" s="142"/>
    </x:row>
    <x:row r="15642">
      <x:c r="A15642" s="142"/>
    </x:row>
    <x:row r="15643">
      <x:c r="A15643" s="142"/>
    </x:row>
    <x:row r="15644">
      <x:c r="A15644" s="142"/>
    </x:row>
    <x:row r="15645">
      <x:c r="A15645" s="142"/>
    </x:row>
    <x:row r="15646">
      <x:c r="A15646" s="142"/>
    </x:row>
    <x:row r="15647">
      <x:c r="A15647" s="142"/>
    </x:row>
    <x:row r="15648">
      <x:c r="A15648" s="142"/>
    </x:row>
    <x:row r="15649">
      <x:c r="A15649" s="142"/>
    </x:row>
    <x:row r="15650">
      <x:c r="A15650" s="142"/>
    </x:row>
    <x:row r="15651">
      <x:c r="A15651" s="142"/>
    </x:row>
    <x:row r="15652">
      <x:c r="A15652" s="142"/>
    </x:row>
    <x:row r="15653">
      <x:c r="A15653" s="142"/>
    </x:row>
    <x:row r="15654">
      <x:c r="A15654" s="142"/>
    </x:row>
    <x:row r="15655">
      <x:c r="A15655" s="142"/>
    </x:row>
    <x:row r="15656">
      <x:c r="A15656" s="142"/>
    </x:row>
    <x:row r="15657">
      <x:c r="A15657" s="142"/>
    </x:row>
    <x:row r="15658">
      <x:c r="A15658" s="142"/>
    </x:row>
    <x:row r="15659">
      <x:c r="A15659" s="142"/>
    </x:row>
    <x:row r="15660">
      <x:c r="A15660" s="142"/>
    </x:row>
    <x:row r="15661">
      <x:c r="A15661" s="142"/>
    </x:row>
    <x:row r="15662">
      <x:c r="A15662" s="142"/>
    </x:row>
    <x:row r="15663">
      <x:c r="A15663" s="142"/>
    </x:row>
    <x:row r="15664">
      <x:c r="A15664" s="142"/>
    </x:row>
    <x:row r="15665">
      <x:c r="A15665" s="142"/>
    </x:row>
    <x:row r="15666">
      <x:c r="A15666" s="142"/>
    </x:row>
    <x:row r="15667">
      <x:c r="A15667" s="142"/>
    </x:row>
    <x:row r="15668">
      <x:c r="A15668" s="142"/>
    </x:row>
    <x:row r="15669">
      <x:c r="A15669" s="142"/>
    </x:row>
    <x:row r="15670">
      <x:c r="A15670" s="142"/>
    </x:row>
    <x:row r="15671">
      <x:c r="A15671" s="142"/>
    </x:row>
    <x:row r="15672">
      <x:c r="A15672" s="142"/>
    </x:row>
    <x:row r="15673">
      <x:c r="A15673" s="142"/>
    </x:row>
    <x:row r="15674">
      <x:c r="A15674" s="142"/>
    </x:row>
    <x:row r="15675">
      <x:c r="A15675" s="142"/>
    </x:row>
    <x:row r="15676">
      <x:c r="A15676" s="142"/>
    </x:row>
    <x:row r="15677">
      <x:c r="A15677" s="142"/>
    </x:row>
    <x:row r="15678">
      <x:c r="A15678" s="142"/>
    </x:row>
    <x:row r="15679">
      <x:c r="A15679" s="142"/>
    </x:row>
    <x:row r="15680">
      <x:c r="A15680" s="142"/>
    </x:row>
    <x:row r="15681">
      <x:c r="A15681" s="142"/>
    </x:row>
    <x:row r="15682">
      <x:c r="A15682" s="142"/>
    </x:row>
    <x:row r="15683">
      <x:c r="A15683" s="142"/>
    </x:row>
    <x:row r="15684">
      <x:c r="A15684" s="142"/>
    </x:row>
    <x:row r="15685">
      <x:c r="A15685" s="142"/>
    </x:row>
    <x:row r="15686">
      <x:c r="A15686" s="142"/>
    </x:row>
    <x:row r="15687">
      <x:c r="A15687" s="142"/>
    </x:row>
    <x:row r="15688">
      <x:c r="A15688" s="142"/>
    </x:row>
    <x:row r="15689">
      <x:c r="A15689" s="142"/>
    </x:row>
    <x:row r="15690">
      <x:c r="A15690" s="142"/>
    </x:row>
    <x:row r="15691">
      <x:c r="A15691" s="142"/>
    </x:row>
    <x:row r="15692">
      <x:c r="A15692" s="142"/>
    </x:row>
    <x:row r="15693">
      <x:c r="A15693" s="142"/>
    </x:row>
    <x:row r="15694">
      <x:c r="A15694" s="142"/>
    </x:row>
    <x:row r="15695">
      <x:c r="A15695" s="142"/>
    </x:row>
    <x:row r="15696">
      <x:c r="A15696" s="142"/>
    </x:row>
    <x:row r="15697">
      <x:c r="A15697" s="142"/>
    </x:row>
    <x:row r="15698">
      <x:c r="A15698" s="142"/>
    </x:row>
    <x:row r="15699">
      <x:c r="A15699" s="142"/>
    </x:row>
    <x:row r="15700">
      <x:c r="A15700" s="142"/>
    </x:row>
    <x:row r="15701">
      <x:c r="A15701" s="142"/>
    </x:row>
    <x:row r="15702">
      <x:c r="A15702" s="142"/>
    </x:row>
    <x:row r="15703">
      <x:c r="A15703" s="142"/>
    </x:row>
    <x:row r="15704">
      <x:c r="A15704" s="142"/>
    </x:row>
    <x:row r="15705">
      <x:c r="A15705" s="142"/>
    </x:row>
    <x:row r="15706">
      <x:c r="A15706" s="142"/>
    </x:row>
    <x:row r="15707">
      <x:c r="A15707" s="142"/>
    </x:row>
    <x:row r="15708">
      <x:c r="A15708" s="142"/>
    </x:row>
    <x:row r="15709">
      <x:c r="A15709" s="142"/>
    </x:row>
    <x:row r="15710">
      <x:c r="A15710" s="142"/>
    </x:row>
    <x:row r="15711">
      <x:c r="A15711" s="142"/>
    </x:row>
    <x:row r="15712">
      <x:c r="A15712" s="142"/>
    </x:row>
    <x:row r="15713">
      <x:c r="A15713" s="142"/>
    </x:row>
    <x:row r="15714">
      <x:c r="A15714" s="142"/>
    </x:row>
    <x:row r="15715">
      <x:c r="A15715" s="142"/>
    </x:row>
    <x:row r="15716">
      <x:c r="A15716" s="142"/>
    </x:row>
    <x:row r="15717">
      <x:c r="A15717" s="142"/>
    </x:row>
    <x:row r="15718">
      <x:c r="A15718" s="142"/>
    </x:row>
    <x:row r="15719">
      <x:c r="A15719" s="142"/>
    </x:row>
    <x:row r="15720">
      <x:c r="A15720" s="142"/>
    </x:row>
    <x:row r="15721">
      <x:c r="A15721" s="142"/>
    </x:row>
    <x:row r="15722">
      <x:c r="A15722" s="142"/>
    </x:row>
    <x:row r="15723">
      <x:c r="A15723" s="142"/>
    </x:row>
    <x:row r="15724">
      <x:c r="A15724" s="142"/>
    </x:row>
    <x:row r="15725">
      <x:c r="A15725" s="142"/>
    </x:row>
    <x:row r="15726">
      <x:c r="A15726" s="142"/>
    </x:row>
    <x:row r="15727">
      <x:c r="A15727" s="142"/>
    </x:row>
    <x:row r="15728">
      <x:c r="A15728" s="142"/>
    </x:row>
    <x:row r="15729">
      <x:c r="A15729" s="142"/>
    </x:row>
    <x:row r="15730">
      <x:c r="A15730" s="142"/>
    </x:row>
    <x:row r="15731">
      <x:c r="A15731" s="142"/>
    </x:row>
    <x:row r="15732">
      <x:c r="A15732" s="142"/>
    </x:row>
    <x:row r="15733">
      <x:c r="A15733" s="142"/>
    </x:row>
    <x:row r="15734">
      <x:c r="A15734" s="142"/>
    </x:row>
    <x:row r="15735">
      <x:c r="A15735" s="142"/>
    </x:row>
    <x:row r="15736">
      <x:c r="A15736" s="142"/>
    </x:row>
    <x:row r="15737">
      <x:c r="A15737" s="142"/>
    </x:row>
    <x:row r="15738">
      <x:c r="A15738" s="142"/>
    </x:row>
    <x:row r="15739">
      <x:c r="A15739" s="142"/>
    </x:row>
    <x:row r="15740">
      <x:c r="A15740" s="142"/>
    </x:row>
    <x:row r="15741">
      <x:c r="A15741" s="142"/>
    </x:row>
    <x:row r="15742">
      <x:c r="A15742" s="142"/>
    </x:row>
    <x:row r="15743">
      <x:c r="A15743" s="142"/>
    </x:row>
    <x:row r="15744">
      <x:c r="A15744" s="142"/>
    </x:row>
    <x:row r="15745">
      <x:c r="A15745" s="142"/>
    </x:row>
    <x:row r="15746">
      <x:c r="A15746" s="142"/>
    </x:row>
    <x:row r="15747">
      <x:c r="A15747" s="142"/>
    </x:row>
    <x:row r="15748">
      <x:c r="A15748" s="142"/>
    </x:row>
    <x:row r="15749">
      <x:c r="A15749" s="142"/>
    </x:row>
    <x:row r="15750">
      <x:c r="A15750" s="142"/>
    </x:row>
    <x:row r="15751">
      <x:c r="A15751" s="142"/>
    </x:row>
    <x:row r="15752">
      <x:c r="A15752" s="142"/>
    </x:row>
    <x:row r="15753">
      <x:c r="A15753" s="142"/>
    </x:row>
    <x:row r="15754">
      <x:c r="A15754" s="142"/>
    </x:row>
    <x:row r="15755">
      <x:c r="A15755" s="142"/>
    </x:row>
    <x:row r="15756">
      <x:c r="A15756" s="142"/>
    </x:row>
    <x:row r="15757">
      <x:c r="A15757" s="142"/>
    </x:row>
    <x:row r="15758">
      <x:c r="A15758" s="142"/>
    </x:row>
    <x:row r="15759">
      <x:c r="A15759" s="142"/>
    </x:row>
    <x:row r="15760">
      <x:c r="A15760" s="142"/>
    </x:row>
    <x:row r="15761">
      <x:c r="A15761" s="142"/>
    </x:row>
    <x:row r="15762">
      <x:c r="A15762" s="142"/>
    </x:row>
    <x:row r="15763">
      <x:c r="A15763" s="142"/>
    </x:row>
    <x:row r="15764">
      <x:c r="A15764" s="142"/>
    </x:row>
    <x:row r="15765">
      <x:c r="A15765" s="142"/>
    </x:row>
    <x:row r="15766">
      <x:c r="A15766" s="142"/>
    </x:row>
    <x:row r="15767">
      <x:c r="A15767" s="142"/>
    </x:row>
    <x:row r="15768">
      <x:c r="A15768" s="142"/>
    </x:row>
    <x:row r="15769">
      <x:c r="A15769" s="142"/>
    </x:row>
    <x:row r="15770">
      <x:c r="A15770" s="142"/>
    </x:row>
    <x:row r="15771">
      <x:c r="A15771" s="142"/>
    </x:row>
    <x:row r="15772">
      <x:c r="A15772" s="142"/>
    </x:row>
    <x:row r="15773">
      <x:c r="A15773" s="142"/>
    </x:row>
    <x:row r="15774">
      <x:c r="A15774" s="142"/>
    </x:row>
    <x:row r="15775">
      <x:c r="A15775" s="142"/>
    </x:row>
    <x:row r="15776">
      <x:c r="A15776" s="142"/>
    </x:row>
    <x:row r="15777">
      <x:c r="A15777" s="142"/>
    </x:row>
    <x:row r="15778">
      <x:c r="A15778" s="142"/>
    </x:row>
    <x:row r="15779">
      <x:c r="A15779" s="142"/>
    </x:row>
    <x:row r="15780">
      <x:c r="A15780" s="142"/>
    </x:row>
    <x:row r="15781">
      <x:c r="A15781" s="142"/>
    </x:row>
    <x:row r="15782">
      <x:c r="A15782" s="142"/>
    </x:row>
    <x:row r="15783">
      <x:c r="A15783" s="142"/>
    </x:row>
    <x:row r="15784">
      <x:c r="A15784" s="142"/>
    </x:row>
    <x:row r="15785">
      <x:c r="A15785" s="142"/>
    </x:row>
    <x:row r="15786">
      <x:c r="A15786" s="142"/>
    </x:row>
    <x:row r="15787">
      <x:c r="A15787" s="142"/>
    </x:row>
    <x:row r="15788">
      <x:c r="A15788" s="142"/>
    </x:row>
    <x:row r="15789">
      <x:c r="A15789" s="142"/>
    </x:row>
    <x:row r="15790">
      <x:c r="A15790" s="142"/>
    </x:row>
    <x:row r="15791">
      <x:c r="A15791" s="142"/>
    </x:row>
    <x:row r="15792">
      <x:c r="A15792" s="142"/>
    </x:row>
    <x:row r="15793">
      <x:c r="A15793" s="142"/>
    </x:row>
    <x:row r="15794">
      <x:c r="A15794" s="142"/>
    </x:row>
    <x:row r="15795">
      <x:c r="A15795" s="142"/>
    </x:row>
    <x:row r="15796">
      <x:c r="A15796" s="142"/>
    </x:row>
    <x:row r="15797">
      <x:c r="A15797" s="142"/>
    </x:row>
    <x:row r="15798">
      <x:c r="A15798" s="142"/>
    </x:row>
    <x:row r="15799">
      <x:c r="A15799" s="142"/>
    </x:row>
    <x:row r="15800">
      <x:c r="A15800" s="142"/>
    </x:row>
    <x:row r="15801">
      <x:c r="A15801" s="142"/>
    </x:row>
    <x:row r="15802">
      <x:c r="A15802" s="142"/>
    </x:row>
    <x:row r="15803">
      <x:c r="A15803" s="142"/>
    </x:row>
    <x:row r="15804">
      <x:c r="A15804" s="142"/>
    </x:row>
    <x:row r="15805">
      <x:c r="A15805" s="142"/>
    </x:row>
    <x:row r="15806">
      <x:c r="A15806" s="142"/>
    </x:row>
    <x:row r="15807">
      <x:c r="A15807" s="142"/>
    </x:row>
    <x:row r="15808">
      <x:c r="A15808" s="142"/>
    </x:row>
    <x:row r="15809">
      <x:c r="A15809" s="142"/>
    </x:row>
    <x:row r="15810">
      <x:c r="A15810" s="142"/>
    </x:row>
    <x:row r="15811">
      <x:c r="A15811" s="142"/>
    </x:row>
    <x:row r="15812">
      <x:c r="A15812" s="142"/>
    </x:row>
    <x:row r="15813">
      <x:c r="A15813" s="142"/>
    </x:row>
    <x:row r="15814">
      <x:c r="A15814" s="142"/>
    </x:row>
    <x:row r="15815">
      <x:c r="A15815" s="142"/>
    </x:row>
    <x:row r="15816">
      <x:c r="A15816" s="142"/>
    </x:row>
    <x:row r="15817">
      <x:c r="A15817" s="142"/>
    </x:row>
    <x:row r="15818">
      <x:c r="A15818" s="142"/>
    </x:row>
    <x:row r="15819">
      <x:c r="A15819" s="142"/>
    </x:row>
    <x:row r="15820">
      <x:c r="A15820" s="142"/>
    </x:row>
    <x:row r="15821">
      <x:c r="A15821" s="142"/>
    </x:row>
    <x:row r="15822">
      <x:c r="A15822" s="142"/>
    </x:row>
    <x:row r="15823">
      <x:c r="A15823" s="142"/>
    </x:row>
    <x:row r="15824">
      <x:c r="A15824" s="142"/>
    </x:row>
    <x:row r="15825">
      <x:c r="A15825" s="142"/>
    </x:row>
    <x:row r="15826">
      <x:c r="A15826" s="142"/>
    </x:row>
    <x:row r="15827">
      <x:c r="A15827" s="142"/>
    </x:row>
    <x:row r="15828">
      <x:c r="A15828" s="142"/>
    </x:row>
    <x:row r="15829">
      <x:c r="A15829" s="142"/>
    </x:row>
    <x:row r="15830">
      <x:c r="A15830" s="142"/>
    </x:row>
    <x:row r="15831">
      <x:c r="A15831" s="142"/>
    </x:row>
    <x:row r="15832">
      <x:c r="A15832" s="142"/>
    </x:row>
    <x:row r="15833">
      <x:c r="A15833" s="142"/>
    </x:row>
    <x:row r="15834">
      <x:c r="A15834" s="142"/>
    </x:row>
    <x:row r="15835">
      <x:c r="A15835" s="142"/>
    </x:row>
    <x:row r="15836">
      <x:c r="A15836" s="142"/>
    </x:row>
    <x:row r="15837">
      <x:c r="A15837" s="142"/>
    </x:row>
    <x:row r="15838">
      <x:c r="A15838" s="142"/>
    </x:row>
    <x:row r="15839">
      <x:c r="A15839" s="142"/>
    </x:row>
    <x:row r="15840">
      <x:c r="A15840" s="142"/>
    </x:row>
    <x:row r="15841">
      <x:c r="A15841" s="142"/>
    </x:row>
    <x:row r="15842">
      <x:c r="A15842" s="142"/>
    </x:row>
    <x:row r="15843">
      <x:c r="A15843" s="142"/>
    </x:row>
    <x:row r="15844">
      <x:c r="A15844" s="142"/>
    </x:row>
    <x:row r="15845">
      <x:c r="A15845" s="142"/>
    </x:row>
    <x:row r="15846">
      <x:c r="A15846" s="142"/>
    </x:row>
    <x:row r="15847">
      <x:c r="A15847" s="142"/>
    </x:row>
    <x:row r="15848">
      <x:c r="A15848" s="142"/>
    </x:row>
    <x:row r="15849">
      <x:c r="A15849" s="142"/>
    </x:row>
    <x:row r="15850">
      <x:c r="A15850" s="142"/>
    </x:row>
    <x:row r="15851">
      <x:c r="A15851" s="142"/>
    </x:row>
    <x:row r="15852">
      <x:c r="A15852" s="142"/>
    </x:row>
    <x:row r="15853">
      <x:c r="A15853" s="142"/>
    </x:row>
    <x:row r="15854">
      <x:c r="A15854" s="142"/>
    </x:row>
    <x:row r="15855">
      <x:c r="A15855" s="142"/>
    </x:row>
    <x:row r="15856">
      <x:c r="A15856" s="142"/>
    </x:row>
    <x:row r="15857">
      <x:c r="A15857" s="142"/>
    </x:row>
    <x:row r="15858">
      <x:c r="A15858" s="142"/>
    </x:row>
    <x:row r="15859">
      <x:c r="A15859" s="142"/>
    </x:row>
    <x:row r="15860">
      <x:c r="A15860" s="142"/>
    </x:row>
    <x:row r="15861">
      <x:c r="A15861" s="142"/>
    </x:row>
    <x:row r="15862">
      <x:c r="A15862" s="142"/>
    </x:row>
    <x:row r="15863">
      <x:c r="A15863" s="142"/>
    </x:row>
    <x:row r="15864">
      <x:c r="A15864" s="142"/>
    </x:row>
    <x:row r="15865">
      <x:c r="A15865" s="142"/>
    </x:row>
    <x:row r="15866">
      <x:c r="A15866" s="142"/>
    </x:row>
    <x:row r="15867">
      <x:c r="A15867" s="142"/>
    </x:row>
    <x:row r="15868">
      <x:c r="A15868" s="142"/>
    </x:row>
    <x:row r="15869">
      <x:c r="A15869" s="142"/>
    </x:row>
    <x:row r="15870">
      <x:c r="A15870" s="142"/>
    </x:row>
    <x:row r="15871">
      <x:c r="A15871" s="142"/>
    </x:row>
    <x:row r="15872">
      <x:c r="A15872" s="142"/>
    </x:row>
    <x:row r="15873">
      <x:c r="A15873" s="142"/>
    </x:row>
    <x:row r="15874">
      <x:c r="A15874" s="142"/>
    </x:row>
    <x:row r="15875">
      <x:c r="A15875" s="142"/>
    </x:row>
    <x:row r="15876">
      <x:c r="A15876" s="142"/>
    </x:row>
    <x:row r="15877">
      <x:c r="A15877" s="142"/>
    </x:row>
    <x:row r="15878">
      <x:c r="A15878" s="142"/>
    </x:row>
    <x:row r="15879">
      <x:c r="A15879" s="142"/>
    </x:row>
    <x:row r="15880">
      <x:c r="A15880" s="142"/>
    </x:row>
    <x:row r="15881">
      <x:c r="A15881" s="142"/>
    </x:row>
    <x:row r="15882">
      <x:c r="A15882" s="142"/>
    </x:row>
    <x:row r="15883">
      <x:c r="A15883" s="142"/>
    </x:row>
    <x:row r="15884">
      <x:c r="A15884" s="142"/>
    </x:row>
    <x:row r="15885">
      <x:c r="A15885" s="142"/>
    </x:row>
    <x:row r="15886">
      <x:c r="A15886" s="142"/>
    </x:row>
    <x:row r="15887">
      <x:c r="A15887" s="142"/>
    </x:row>
    <x:row r="15888">
      <x:c r="A15888" s="142"/>
    </x:row>
    <x:row r="15889">
      <x:c r="A15889" s="142"/>
    </x:row>
    <x:row r="15890">
      <x:c r="A15890" s="142"/>
    </x:row>
    <x:row r="15891">
      <x:c r="A15891" s="142"/>
    </x:row>
    <x:row r="15892">
      <x:c r="A15892" s="142"/>
    </x:row>
    <x:row r="15893">
      <x:c r="A15893" s="142"/>
    </x:row>
    <x:row r="15894">
      <x:c r="A15894" s="142"/>
    </x:row>
    <x:row r="15895">
      <x:c r="A15895" s="142"/>
    </x:row>
    <x:row r="15896">
      <x:c r="A15896" s="142"/>
    </x:row>
    <x:row r="15897">
      <x:c r="A15897" s="142"/>
    </x:row>
    <x:row r="15898">
      <x:c r="A15898" s="142"/>
    </x:row>
    <x:row r="15899">
      <x:c r="A15899" s="142"/>
    </x:row>
    <x:row r="15900">
      <x:c r="A15900" s="142"/>
    </x:row>
    <x:row r="15901">
      <x:c r="A15901" s="142"/>
    </x:row>
    <x:row r="15902">
      <x:c r="A15902" s="142"/>
    </x:row>
    <x:row r="15903">
      <x:c r="A15903" s="142"/>
    </x:row>
    <x:row r="15904">
      <x:c r="A15904" s="142"/>
    </x:row>
    <x:row r="15905">
      <x:c r="A15905" s="142"/>
    </x:row>
    <x:row r="15906">
      <x:c r="A15906" s="142"/>
    </x:row>
    <x:row r="15907">
      <x:c r="A15907" s="142"/>
    </x:row>
    <x:row r="15908">
      <x:c r="A15908" s="142"/>
    </x:row>
    <x:row r="15909">
      <x:c r="A15909" s="142"/>
    </x:row>
    <x:row r="15910">
      <x:c r="A15910" s="142"/>
    </x:row>
    <x:row r="15911">
      <x:c r="A15911" s="142"/>
    </x:row>
    <x:row r="15912">
      <x:c r="A15912" s="142"/>
    </x:row>
    <x:row r="15913">
      <x:c r="A15913" s="142"/>
    </x:row>
    <x:row r="15914">
      <x:c r="A15914" s="142"/>
    </x:row>
    <x:row r="15915">
      <x:c r="A15915" s="142"/>
    </x:row>
    <x:row r="15916">
      <x:c r="A15916" s="142"/>
    </x:row>
    <x:row r="15917">
      <x:c r="A15917" s="142"/>
    </x:row>
    <x:row r="15918">
      <x:c r="A15918" s="142"/>
    </x:row>
    <x:row r="15919">
      <x:c r="A15919" s="142"/>
    </x:row>
    <x:row r="15920">
      <x:c r="A15920" s="142"/>
    </x:row>
    <x:row r="15921">
      <x:c r="A15921" s="142"/>
    </x:row>
    <x:row r="15922">
      <x:c r="A15922" s="142"/>
    </x:row>
    <x:row r="15923">
      <x:c r="A15923" s="142"/>
    </x:row>
    <x:row r="15924">
      <x:c r="A15924" s="142"/>
    </x:row>
    <x:row r="15925">
      <x:c r="A15925" s="142"/>
    </x:row>
    <x:row r="15926">
      <x:c r="A15926" s="142"/>
    </x:row>
    <x:row r="15927">
      <x:c r="A15927" s="142"/>
    </x:row>
    <x:row r="15928">
      <x:c r="A15928" s="142"/>
    </x:row>
    <x:row r="15929">
      <x:c r="A15929" s="142"/>
    </x:row>
    <x:row r="15930">
      <x:c r="A15930" s="142"/>
    </x:row>
    <x:row r="15931">
      <x:c r="A15931" s="142"/>
    </x:row>
    <x:row r="15932">
      <x:c r="A15932" s="142"/>
    </x:row>
    <x:row r="15933">
      <x:c r="A15933" s="142"/>
    </x:row>
    <x:row r="15934">
      <x:c r="A15934" s="142"/>
    </x:row>
    <x:row r="15935">
      <x:c r="A15935" s="142"/>
    </x:row>
    <x:row r="15936">
      <x:c r="A15936" s="142"/>
    </x:row>
    <x:row r="15937">
      <x:c r="A15937" s="142"/>
    </x:row>
    <x:row r="15938">
      <x:c r="A15938" s="142"/>
    </x:row>
    <x:row r="15939">
      <x:c r="A15939" s="142"/>
    </x:row>
    <x:row r="15940">
      <x:c r="A15940" s="142"/>
    </x:row>
    <x:row r="15941">
      <x:c r="A15941" s="142"/>
    </x:row>
    <x:row r="15942">
      <x:c r="A15942" s="142"/>
    </x:row>
    <x:row r="15943">
      <x:c r="A15943" s="142"/>
    </x:row>
    <x:row r="15944">
      <x:c r="A15944" s="142"/>
    </x:row>
    <x:row r="15945">
      <x:c r="A15945" s="142"/>
    </x:row>
    <x:row r="15946">
      <x:c r="A15946" s="142"/>
    </x:row>
    <x:row r="15947">
      <x:c r="A15947" s="142"/>
    </x:row>
    <x:row r="15948">
      <x:c r="A15948" s="142"/>
    </x:row>
    <x:row r="15949">
      <x:c r="A15949" s="142"/>
    </x:row>
    <x:row r="15950">
      <x:c r="A15950" s="142"/>
    </x:row>
    <x:row r="15951">
      <x:c r="A15951" s="142"/>
    </x:row>
    <x:row r="15952">
      <x:c r="A15952" s="142"/>
    </x:row>
    <x:row r="15953">
      <x:c r="A15953" s="142"/>
    </x:row>
    <x:row r="15954">
      <x:c r="A15954" s="142"/>
    </x:row>
    <x:row r="15955">
      <x:c r="A15955" s="142"/>
    </x:row>
    <x:row r="15956">
      <x:c r="A15956" s="142"/>
    </x:row>
    <x:row r="15957">
      <x:c r="A15957" s="142"/>
    </x:row>
    <x:row r="15958">
      <x:c r="A15958" s="142"/>
    </x:row>
    <x:row r="15959">
      <x:c r="A15959" s="142"/>
    </x:row>
    <x:row r="15960">
      <x:c r="A15960" s="142"/>
    </x:row>
    <x:row r="15961">
      <x:c r="A15961" s="142"/>
    </x:row>
    <x:row r="15962">
      <x:c r="A15962" s="142"/>
    </x:row>
    <x:row r="15963">
      <x:c r="A15963" s="142"/>
    </x:row>
    <x:row r="15964">
      <x:c r="A15964" s="142"/>
    </x:row>
    <x:row r="15965">
      <x:c r="A15965" s="142"/>
    </x:row>
    <x:row r="15966">
      <x:c r="A15966" s="142"/>
    </x:row>
    <x:row r="15967">
      <x:c r="A15967" s="142"/>
    </x:row>
    <x:row r="15968">
      <x:c r="A15968" s="142"/>
    </x:row>
    <x:row r="15969">
      <x:c r="A15969" s="142"/>
    </x:row>
    <x:row r="15970">
      <x:c r="A15970" s="142"/>
    </x:row>
    <x:row r="15971">
      <x:c r="A15971" s="142"/>
    </x:row>
    <x:row r="15972">
      <x:c r="A15972" s="142"/>
    </x:row>
    <x:row r="15973">
      <x:c r="A15973" s="142"/>
    </x:row>
    <x:row r="15974">
      <x:c r="A15974" s="142"/>
    </x:row>
    <x:row r="15975">
      <x:c r="A15975" s="142"/>
    </x:row>
    <x:row r="15976">
      <x:c r="A15976" s="142"/>
    </x:row>
    <x:row r="15977">
      <x:c r="A15977" s="142"/>
    </x:row>
    <x:row r="15978">
      <x:c r="A15978" s="142"/>
    </x:row>
    <x:row r="15979">
      <x:c r="A15979" s="142"/>
    </x:row>
    <x:row r="15980">
      <x:c r="A15980" s="142"/>
    </x:row>
    <x:row r="15981">
      <x:c r="A15981" s="142"/>
    </x:row>
    <x:row r="15982">
      <x:c r="A15982" s="142"/>
    </x:row>
    <x:row r="15983">
      <x:c r="A15983" s="142"/>
    </x:row>
    <x:row r="15984">
      <x:c r="A15984" s="142"/>
    </x:row>
    <x:row r="15985">
      <x:c r="A15985" s="142"/>
    </x:row>
    <x:row r="15986">
      <x:c r="A15986" s="142"/>
    </x:row>
    <x:row r="15987">
      <x:c r="A15987" s="142"/>
    </x:row>
    <x:row r="15988">
      <x:c r="A15988" s="142"/>
    </x:row>
    <x:row r="15989">
      <x:c r="A15989" s="142"/>
    </x:row>
    <x:row r="15990">
      <x:c r="A15990" s="142"/>
    </x:row>
    <x:row r="15991">
      <x:c r="A15991" s="142"/>
    </x:row>
    <x:row r="15992">
      <x:c r="A15992" s="142"/>
    </x:row>
    <x:row r="15993">
      <x:c r="A15993" s="142"/>
    </x:row>
    <x:row r="15994">
      <x:c r="A15994" s="142"/>
    </x:row>
    <x:row r="15995">
      <x:c r="A15995" s="142"/>
    </x:row>
    <x:row r="15996">
      <x:c r="A15996" s="142"/>
    </x:row>
    <x:row r="15997">
      <x:c r="A15997" s="142"/>
    </x:row>
    <x:row r="15998">
      <x:c r="A15998" s="142"/>
    </x:row>
    <x:row r="15999">
      <x:c r="A15999" s="142"/>
    </x:row>
    <x:row r="16000">
      <x:c r="A16000" s="142"/>
    </x:row>
    <x:row r="16001">
      <x:c r="A16001" s="142"/>
    </x:row>
    <x:row r="16002">
      <x:c r="A16002" s="142"/>
    </x:row>
    <x:row r="16003">
      <x:c r="A16003" s="142"/>
    </x:row>
    <x:row r="16004">
      <x:c r="A16004" s="142"/>
    </x:row>
    <x:row r="16005">
      <x:c r="A16005" s="142"/>
    </x:row>
    <x:row r="16006">
      <x:c r="A16006" s="142"/>
    </x:row>
    <x:row r="16007">
      <x:c r="A16007" s="142"/>
    </x:row>
    <x:row r="16008">
      <x:c r="A16008" s="142"/>
    </x:row>
    <x:row r="16009">
      <x:c r="A16009" s="142"/>
    </x:row>
    <x:row r="16010">
      <x:c r="A16010" s="142"/>
    </x:row>
    <x:row r="16011">
      <x:c r="A16011" s="142"/>
    </x:row>
    <x:row r="16012">
      <x:c r="A16012" s="142"/>
    </x:row>
    <x:row r="16013">
      <x:c r="A16013" s="142"/>
    </x:row>
    <x:row r="16014">
      <x:c r="A16014" s="142"/>
    </x:row>
    <x:row r="16015">
      <x:c r="A16015" s="142"/>
    </x:row>
    <x:row r="16016">
      <x:c r="A16016" s="142"/>
    </x:row>
    <x:row r="16017">
      <x:c r="A16017" s="142"/>
    </x:row>
    <x:row r="16018">
      <x:c r="A16018" s="142"/>
    </x:row>
    <x:row r="16019">
      <x:c r="A16019" s="142"/>
    </x:row>
    <x:row r="16020">
      <x:c r="A16020" s="142"/>
    </x:row>
    <x:row r="16021">
      <x:c r="A16021" s="142"/>
    </x:row>
    <x:row r="16022">
      <x:c r="A16022" s="142"/>
    </x:row>
    <x:row r="16023">
      <x:c r="A16023" s="142"/>
    </x:row>
    <x:row r="16024">
      <x:c r="A16024" s="142"/>
    </x:row>
    <x:row r="16025">
      <x:c r="A16025" s="142"/>
    </x:row>
    <x:row r="16026">
      <x:c r="A16026" s="142"/>
    </x:row>
    <x:row r="16027">
      <x:c r="A16027" s="142"/>
    </x:row>
    <x:row r="16028">
      <x:c r="A16028" s="142"/>
    </x:row>
    <x:row r="16029">
      <x:c r="A16029" s="142"/>
    </x:row>
    <x:row r="16030">
      <x:c r="A16030" s="142"/>
    </x:row>
    <x:row r="16031">
      <x:c r="A16031" s="142"/>
    </x:row>
    <x:row r="16032">
      <x:c r="A16032" s="142"/>
    </x:row>
    <x:row r="16033">
      <x:c r="A16033" s="142"/>
    </x:row>
    <x:row r="16034">
      <x:c r="A16034" s="142"/>
    </x:row>
    <x:row r="16035">
      <x:c r="A16035" s="142"/>
    </x:row>
    <x:row r="16036">
      <x:c r="A16036" s="142"/>
    </x:row>
    <x:row r="16037">
      <x:c r="A16037" s="142"/>
    </x:row>
    <x:row r="16038">
      <x:c r="A16038" s="142"/>
    </x:row>
    <x:row r="16039">
      <x:c r="A16039" s="142"/>
    </x:row>
    <x:row r="16040">
      <x:c r="A16040" s="142"/>
    </x:row>
    <x:row r="16041">
      <x:c r="A16041" s="142"/>
    </x:row>
    <x:row r="16042">
      <x:c r="A16042" s="142"/>
    </x:row>
    <x:row r="16043">
      <x:c r="A16043" s="142"/>
    </x:row>
    <x:row r="16044">
      <x:c r="A16044" s="142"/>
    </x:row>
    <x:row r="16045">
      <x:c r="A16045" s="142"/>
    </x:row>
    <x:row r="16046">
      <x:c r="A16046" s="142"/>
    </x:row>
    <x:row r="16047">
      <x:c r="A16047" s="142"/>
    </x:row>
    <x:row r="16048">
      <x:c r="A16048" s="142"/>
    </x:row>
    <x:row r="16049">
      <x:c r="A16049" s="142"/>
    </x:row>
    <x:row r="16050">
      <x:c r="A16050" s="142"/>
    </x:row>
    <x:row r="16051">
      <x:c r="A16051" s="142"/>
    </x:row>
    <x:row r="16052">
      <x:c r="A16052" s="142"/>
    </x:row>
    <x:row r="16053">
      <x:c r="A16053" s="142"/>
    </x:row>
    <x:row r="16054">
      <x:c r="A16054" s="142"/>
    </x:row>
    <x:row r="16055">
      <x:c r="A16055" s="142"/>
    </x:row>
    <x:row r="16056">
      <x:c r="A16056" s="142"/>
    </x:row>
    <x:row r="16057">
      <x:c r="A16057" s="142"/>
    </x:row>
    <x:row r="16058">
      <x:c r="A16058" s="142"/>
    </x:row>
    <x:row r="16059">
      <x:c r="A16059" s="142"/>
    </x:row>
    <x:row r="16060">
      <x:c r="A16060" s="142"/>
    </x:row>
    <x:row r="16061">
      <x:c r="A16061" s="142"/>
    </x:row>
    <x:row r="16062">
      <x:c r="A16062" s="142"/>
    </x:row>
    <x:row r="16063">
      <x:c r="A16063" s="142"/>
    </x:row>
    <x:row r="16064">
      <x:c r="A16064" s="142"/>
    </x:row>
    <x:row r="16065">
      <x:c r="A16065" s="142"/>
    </x:row>
    <x:row r="16066">
      <x:c r="A16066" s="142"/>
    </x:row>
    <x:row r="16067">
      <x:c r="A16067" s="142"/>
    </x:row>
    <x:row r="16068">
      <x:c r="A16068" s="142"/>
    </x:row>
    <x:row r="16069">
      <x:c r="A16069" s="142"/>
    </x:row>
    <x:row r="16070">
      <x:c r="A16070" s="142"/>
    </x:row>
    <x:row r="16071">
      <x:c r="A16071" s="142"/>
    </x:row>
    <x:row r="16072">
      <x:c r="A16072" s="142"/>
    </x:row>
    <x:row r="16073">
      <x:c r="A16073" s="142"/>
    </x:row>
    <x:row r="16074">
      <x:c r="A16074" s="142"/>
    </x:row>
    <x:row r="16075">
      <x:c r="A16075" s="142"/>
    </x:row>
    <x:row r="16076">
      <x:c r="A16076" s="142"/>
    </x:row>
    <x:row r="16077">
      <x:c r="A16077" s="142"/>
    </x:row>
    <x:row r="16078">
      <x:c r="A16078" s="142"/>
    </x:row>
    <x:row r="16079">
      <x:c r="A16079" s="142"/>
    </x:row>
    <x:row r="16080">
      <x:c r="A16080" s="142"/>
    </x:row>
    <x:row r="16081">
      <x:c r="A16081" s="142"/>
    </x:row>
    <x:row r="16082">
      <x:c r="A16082" s="142"/>
    </x:row>
    <x:row r="16083">
      <x:c r="A16083" s="142"/>
    </x:row>
    <x:row r="16084">
      <x:c r="A16084" s="142"/>
    </x:row>
    <x:row r="16085">
      <x:c r="A16085" s="142"/>
    </x:row>
    <x:row r="16086">
      <x:c r="A16086" s="142"/>
    </x:row>
    <x:row r="16087">
      <x:c r="A16087" s="142"/>
    </x:row>
    <x:row r="16088">
      <x:c r="A16088" s="142"/>
    </x:row>
    <x:row r="16089">
      <x:c r="A16089" s="142"/>
    </x:row>
    <x:row r="16090">
      <x:c r="A16090" s="142"/>
    </x:row>
    <x:row r="16091">
      <x:c r="A16091" s="142"/>
    </x:row>
    <x:row r="16092">
      <x:c r="A16092" s="142"/>
    </x:row>
    <x:row r="16093">
      <x:c r="A16093" s="142"/>
    </x:row>
    <x:row r="16094">
      <x:c r="A16094" s="142"/>
    </x:row>
    <x:row r="16095">
      <x:c r="A16095" s="142"/>
    </x:row>
    <x:row r="16096">
      <x:c r="A16096" s="142"/>
    </x:row>
    <x:row r="16097">
      <x:c r="A16097" s="142"/>
    </x:row>
    <x:row r="16098">
      <x:c r="A16098" s="142"/>
    </x:row>
    <x:row r="16099">
      <x:c r="A16099" s="142"/>
    </x:row>
    <x:row r="16100">
      <x:c r="A16100" s="142"/>
    </x:row>
    <x:row r="16101">
      <x:c r="A16101" s="142"/>
    </x:row>
    <x:row r="16102">
      <x:c r="A16102" s="142"/>
    </x:row>
    <x:row r="16103">
      <x:c r="A16103" s="142"/>
    </x:row>
    <x:row r="16104">
      <x:c r="A16104" s="142"/>
    </x:row>
    <x:row r="16105">
      <x:c r="A16105" s="142"/>
    </x:row>
    <x:row r="16106">
      <x:c r="A16106" s="142"/>
    </x:row>
    <x:row r="16107">
      <x:c r="A16107" s="142"/>
    </x:row>
    <x:row r="16108">
      <x:c r="A16108" s="142"/>
    </x:row>
    <x:row r="16109">
      <x:c r="A16109" s="142"/>
    </x:row>
    <x:row r="16110">
      <x:c r="A16110" s="142"/>
    </x:row>
    <x:row r="16111">
      <x:c r="A16111" s="142"/>
    </x:row>
    <x:row r="16112">
      <x:c r="A16112" s="142"/>
    </x:row>
    <x:row r="16113">
      <x:c r="A16113" s="142"/>
    </x:row>
    <x:row r="16114">
      <x:c r="A16114" s="142"/>
    </x:row>
    <x:row r="16115">
      <x:c r="A16115" s="142"/>
    </x:row>
    <x:row r="16116">
      <x:c r="A16116" s="142"/>
    </x:row>
    <x:row r="16117">
      <x:c r="A16117" s="142"/>
    </x:row>
    <x:row r="16118">
      <x:c r="A16118" s="142"/>
    </x:row>
    <x:row r="16119">
      <x:c r="A16119" s="142"/>
    </x:row>
    <x:row r="16120">
      <x:c r="A16120" s="142"/>
    </x:row>
    <x:row r="16121">
      <x:c r="A16121" s="142"/>
    </x:row>
    <x:row r="16122">
      <x:c r="A16122" s="142"/>
    </x:row>
    <x:row r="16123">
      <x:c r="A16123" s="142"/>
    </x:row>
    <x:row r="16124">
      <x:c r="A16124" s="142"/>
    </x:row>
    <x:row r="16125">
      <x:c r="A16125" s="142"/>
    </x:row>
    <x:row r="16126">
      <x:c r="A16126" s="142"/>
    </x:row>
    <x:row r="16127">
      <x:c r="A16127" s="142"/>
    </x:row>
    <x:row r="16128">
      <x:c r="A16128" s="142"/>
    </x:row>
    <x:row r="16129">
      <x:c r="A16129" s="142"/>
    </x:row>
    <x:row r="16130">
      <x:c r="A16130" s="142"/>
    </x:row>
    <x:row r="16131">
      <x:c r="A16131" s="142"/>
    </x:row>
    <x:row r="16132">
      <x:c r="A16132" s="142"/>
    </x:row>
    <x:row r="16133">
      <x:c r="A16133" s="142"/>
    </x:row>
    <x:row r="16134">
      <x:c r="A16134" s="142"/>
    </x:row>
    <x:row r="16135">
      <x:c r="A16135" s="142"/>
    </x:row>
    <x:row r="16136">
      <x:c r="A16136" s="142"/>
    </x:row>
    <x:row r="16137">
      <x:c r="A16137" s="142"/>
    </x:row>
    <x:row r="16138">
      <x:c r="A16138" s="142"/>
    </x:row>
    <x:row r="16139">
      <x:c r="A16139" s="142"/>
    </x:row>
    <x:row r="16140">
      <x:c r="A16140" s="142"/>
    </x:row>
    <x:row r="16141">
      <x:c r="A16141" s="142"/>
    </x:row>
    <x:row r="16142">
      <x:c r="A16142" s="142"/>
    </x:row>
    <x:row r="16143">
      <x:c r="A16143" s="142"/>
    </x:row>
    <x:row r="16144">
      <x:c r="A16144" s="142"/>
    </x:row>
    <x:row r="16145">
      <x:c r="A16145" s="142"/>
    </x:row>
    <x:row r="16146">
      <x:c r="A16146" s="142"/>
    </x:row>
    <x:row r="16147">
      <x:c r="A16147" s="142"/>
    </x:row>
    <x:row r="16148">
      <x:c r="A16148" s="142"/>
    </x:row>
    <x:row r="16149">
      <x:c r="A16149" s="142"/>
    </x:row>
    <x:row r="16150">
      <x:c r="A16150" s="142"/>
    </x:row>
    <x:row r="16151">
      <x:c r="A16151" s="142"/>
    </x:row>
    <x:row r="16152">
      <x:c r="A16152" s="142"/>
    </x:row>
    <x:row r="16153">
      <x:c r="A16153" s="142"/>
    </x:row>
    <x:row r="16154">
      <x:c r="A16154" s="142"/>
    </x:row>
    <x:row r="16155">
      <x:c r="A16155" s="142"/>
    </x:row>
    <x:row r="16156">
      <x:c r="A16156" s="142"/>
    </x:row>
    <x:row r="16157">
      <x:c r="A16157" s="142"/>
    </x:row>
    <x:row r="16158">
      <x:c r="A16158" s="142"/>
    </x:row>
    <x:row r="16159">
      <x:c r="A16159" s="142"/>
    </x:row>
    <x:row r="16160">
      <x:c r="A16160" s="142"/>
    </x:row>
    <x:row r="16161">
      <x:c r="A16161" s="142"/>
    </x:row>
    <x:row r="16162">
      <x:c r="A16162" s="142"/>
    </x:row>
    <x:row r="16163">
      <x:c r="A16163" s="142"/>
    </x:row>
    <x:row r="16164">
      <x:c r="A16164" s="142"/>
    </x:row>
    <x:row r="16165">
      <x:c r="A16165" s="142"/>
    </x:row>
    <x:row r="16166">
      <x:c r="A16166" s="142"/>
    </x:row>
    <x:row r="16167">
      <x:c r="A16167" s="142"/>
    </x:row>
    <x:row r="16168">
      <x:c r="A16168" s="142"/>
    </x:row>
    <x:row r="16169">
      <x:c r="A16169" s="142"/>
    </x:row>
    <x:row r="16170">
      <x:c r="A16170" s="142"/>
    </x:row>
    <x:row r="16171">
      <x:c r="A16171" s="142"/>
    </x:row>
    <x:row r="16172">
      <x:c r="A16172" s="142"/>
    </x:row>
    <x:row r="16173">
      <x:c r="A16173" s="142"/>
    </x:row>
    <x:row r="16174">
      <x:c r="A16174" s="142"/>
    </x:row>
    <x:row r="16175">
      <x:c r="A16175" s="142"/>
    </x:row>
    <x:row r="16176">
      <x:c r="A16176" s="142"/>
    </x:row>
    <x:row r="16177">
      <x:c r="A16177" s="142"/>
    </x:row>
    <x:row r="16178">
      <x:c r="A16178" s="142"/>
    </x:row>
    <x:row r="16179">
      <x:c r="A16179" s="142"/>
    </x:row>
    <x:row r="16180">
      <x:c r="A16180" s="142"/>
    </x:row>
    <x:row r="16181">
      <x:c r="A16181" s="142"/>
    </x:row>
    <x:row r="16182">
      <x:c r="A16182" s="142"/>
    </x:row>
    <x:row r="16183">
      <x:c r="A16183" s="142"/>
    </x:row>
    <x:row r="16184">
      <x:c r="A16184" s="142"/>
    </x:row>
    <x:row r="16185">
      <x:c r="A16185" s="142"/>
    </x:row>
    <x:row r="16186">
      <x:c r="A16186" s="142"/>
    </x:row>
    <x:row r="16187">
      <x:c r="A16187" s="142"/>
    </x:row>
    <x:row r="16188">
      <x:c r="A16188" s="142"/>
    </x:row>
    <x:row r="16189">
      <x:c r="A16189" s="142"/>
    </x:row>
    <x:row r="16190">
      <x:c r="A16190" s="142"/>
    </x:row>
    <x:row r="16191">
      <x:c r="A16191" s="142"/>
    </x:row>
    <x:row r="16192">
      <x:c r="A16192" s="142"/>
    </x:row>
    <x:row r="16193">
      <x:c r="A16193" s="142"/>
    </x:row>
    <x:row r="16194">
      <x:c r="A16194" s="142"/>
    </x:row>
    <x:row r="16195">
      <x:c r="A16195" s="142"/>
    </x:row>
    <x:row r="16196">
      <x:c r="A16196" s="142"/>
    </x:row>
    <x:row r="16197">
      <x:c r="A16197" s="142"/>
    </x:row>
    <x:row r="16198">
      <x:c r="A16198" s="142"/>
    </x:row>
    <x:row r="16199">
      <x:c r="A16199" s="142"/>
    </x:row>
    <x:row r="16200">
      <x:c r="A16200" s="142"/>
    </x:row>
    <x:row r="16201">
      <x:c r="A16201" s="142"/>
    </x:row>
    <x:row r="16202">
      <x:c r="A16202" s="142"/>
    </x:row>
    <x:row r="16203">
      <x:c r="A16203" s="142"/>
    </x:row>
    <x:row r="16204">
      <x:c r="A16204" s="142"/>
    </x:row>
    <x:row r="16205">
      <x:c r="A16205" s="142"/>
    </x:row>
    <x:row r="16206">
      <x:c r="A16206" s="142"/>
    </x:row>
    <x:row r="16207">
      <x:c r="A16207" s="142"/>
    </x:row>
    <x:row r="16208">
      <x:c r="A16208" s="142"/>
    </x:row>
    <x:row r="16209">
      <x:c r="A16209" s="142"/>
    </x:row>
    <x:row r="16210">
      <x:c r="A16210" s="142"/>
    </x:row>
    <x:row r="16211">
      <x:c r="A16211" s="142"/>
    </x:row>
    <x:row r="16212">
      <x:c r="A16212" s="142"/>
    </x:row>
    <x:row r="16213">
      <x:c r="A16213" s="142"/>
    </x:row>
    <x:row r="16214">
      <x:c r="A16214" s="142"/>
    </x:row>
    <x:row r="16215">
      <x:c r="A16215" s="142"/>
    </x:row>
    <x:row r="16216">
      <x:c r="A16216" s="142"/>
    </x:row>
    <x:row r="16217">
      <x:c r="A16217" s="142"/>
    </x:row>
    <x:row r="16218">
      <x:c r="A16218" s="142"/>
    </x:row>
    <x:row r="16219">
      <x:c r="A16219" s="142"/>
    </x:row>
    <x:row r="16220">
      <x:c r="A16220" s="142"/>
    </x:row>
    <x:row r="16221">
      <x:c r="A16221" s="142"/>
    </x:row>
    <x:row r="16222">
      <x:c r="A16222" s="142"/>
    </x:row>
    <x:row r="16223">
      <x:c r="A16223" s="142"/>
    </x:row>
    <x:row r="16224">
      <x:c r="A16224" s="142"/>
    </x:row>
    <x:row r="16225">
      <x:c r="A16225" s="142"/>
    </x:row>
    <x:row r="16226">
      <x:c r="A16226" s="142"/>
    </x:row>
    <x:row r="16227">
      <x:c r="A16227" s="142"/>
    </x:row>
    <x:row r="16228">
      <x:c r="A16228" s="142"/>
    </x:row>
    <x:row r="16229">
      <x:c r="A16229" s="142"/>
    </x:row>
    <x:row r="16230">
      <x:c r="A16230" s="142"/>
    </x:row>
    <x:row r="16231">
      <x:c r="A16231" s="142"/>
    </x:row>
    <x:row r="16232">
      <x:c r="A16232" s="142"/>
    </x:row>
    <x:row r="16233">
      <x:c r="A16233" s="142"/>
    </x:row>
    <x:row r="16234">
      <x:c r="A16234" s="142"/>
    </x:row>
    <x:row r="16235">
      <x:c r="A16235" s="142"/>
    </x:row>
    <x:row r="16236">
      <x:c r="A16236" s="142"/>
    </x:row>
    <x:row r="16237">
      <x:c r="A16237" s="142"/>
    </x:row>
    <x:row r="16238">
      <x:c r="A16238" s="142"/>
    </x:row>
    <x:row r="16239">
      <x:c r="A16239" s="142"/>
    </x:row>
    <x:row r="16240">
      <x:c r="A16240" s="142"/>
    </x:row>
    <x:row r="16241">
      <x:c r="A16241" s="142"/>
    </x:row>
    <x:row r="16242">
      <x:c r="A16242" s="142"/>
    </x:row>
    <x:row r="16243">
      <x:c r="A16243" s="142"/>
    </x:row>
    <x:row r="16244">
      <x:c r="A16244" s="142"/>
    </x:row>
    <x:row r="16245">
      <x:c r="A16245" s="142"/>
    </x:row>
    <x:row r="16246">
      <x:c r="A16246" s="142"/>
    </x:row>
    <x:row r="16247">
      <x:c r="A16247" s="142"/>
    </x:row>
    <x:row r="16248">
      <x:c r="A16248" s="142"/>
    </x:row>
    <x:row r="16249">
      <x:c r="A16249" s="142"/>
    </x:row>
    <x:row r="16250">
      <x:c r="A16250" s="142"/>
    </x:row>
    <x:row r="16251">
      <x:c r="A16251" s="142"/>
    </x:row>
    <x:row r="16252">
      <x:c r="A16252" s="142"/>
    </x:row>
    <x:row r="16253">
      <x:c r="A16253" s="142"/>
    </x:row>
    <x:row r="16254">
      <x:c r="A16254" s="142"/>
    </x:row>
    <x:row r="16255">
      <x:c r="A16255" s="142"/>
    </x:row>
    <x:row r="16256">
      <x:c r="A16256" s="142"/>
    </x:row>
    <x:row r="16257">
      <x:c r="A16257" s="142"/>
    </x:row>
    <x:row r="16258">
      <x:c r="A16258" s="142"/>
    </x:row>
    <x:row r="16259">
      <x:c r="A16259" s="142"/>
    </x:row>
    <x:row r="16260">
      <x:c r="A16260" s="142"/>
    </x:row>
    <x:row r="16261">
      <x:c r="A16261" s="142"/>
    </x:row>
    <x:row r="16262">
      <x:c r="A16262" s="142"/>
    </x:row>
    <x:row r="16263">
      <x:c r="A16263" s="142"/>
    </x:row>
    <x:row r="16264">
      <x:c r="A16264" s="142"/>
    </x:row>
    <x:row r="16265">
      <x:c r="A16265" s="142"/>
    </x:row>
    <x:row r="16266">
      <x:c r="A16266" s="142"/>
    </x:row>
    <x:row r="16267">
      <x:c r="A16267" s="142"/>
    </x:row>
    <x:row r="16268">
      <x:c r="A16268" s="142"/>
    </x:row>
    <x:row r="16269">
      <x:c r="A16269" s="142"/>
    </x:row>
    <x:row r="16270">
      <x:c r="A16270" s="142"/>
    </x:row>
    <x:row r="16271">
      <x:c r="A16271" s="142"/>
    </x:row>
    <x:row r="16272">
      <x:c r="A16272" s="142"/>
    </x:row>
    <x:row r="16273">
      <x:c r="A16273" s="142"/>
    </x:row>
    <x:row r="16274">
      <x:c r="A16274" s="142"/>
    </x:row>
    <x:row r="16275">
      <x:c r="A16275" s="142"/>
    </x:row>
    <x:row r="16276">
      <x:c r="A16276" s="142"/>
    </x:row>
    <x:row r="16277">
      <x:c r="A16277" s="142"/>
    </x:row>
    <x:row r="16278">
      <x:c r="A16278" s="142"/>
    </x:row>
    <x:row r="16279">
      <x:c r="A16279" s="142"/>
    </x:row>
    <x:row r="16280">
      <x:c r="A16280" s="142"/>
    </x:row>
    <x:row r="16281">
      <x:c r="A16281" s="142"/>
    </x:row>
    <x:row r="16282">
      <x:c r="A16282" s="142"/>
    </x:row>
    <x:row r="16283">
      <x:c r="A16283" s="142"/>
    </x:row>
    <x:row r="16284">
      <x:c r="A16284" s="142"/>
    </x:row>
    <x:row r="16285">
      <x:c r="A16285" s="142"/>
    </x:row>
    <x:row r="16286">
      <x:c r="A16286" s="142"/>
    </x:row>
    <x:row r="16287">
      <x:c r="A16287" s="142"/>
    </x:row>
    <x:row r="16288">
      <x:c r="A16288" s="142"/>
    </x:row>
    <x:row r="16289">
      <x:c r="A16289" s="142"/>
    </x:row>
    <x:row r="16290">
      <x:c r="A16290" s="142"/>
    </x:row>
    <x:row r="16291">
      <x:c r="A16291" s="142"/>
    </x:row>
    <x:row r="16292">
      <x:c r="A16292" s="142"/>
    </x:row>
    <x:row r="16293">
      <x:c r="A16293" s="142"/>
    </x:row>
    <x:row r="16294">
      <x:c r="A16294" s="142"/>
    </x:row>
    <x:row r="16295">
      <x:c r="A16295" s="142"/>
    </x:row>
    <x:row r="16296">
      <x:c r="A16296" s="142"/>
    </x:row>
    <x:row r="16297">
      <x:c r="A16297" s="142"/>
    </x:row>
    <x:row r="16298">
      <x:c r="A16298" s="142"/>
    </x:row>
    <x:row r="16299">
      <x:c r="A16299" s="142"/>
    </x:row>
    <x:row r="16300">
      <x:c r="A16300" s="142"/>
    </x:row>
    <x:row r="16301">
      <x:c r="A16301" s="142"/>
    </x:row>
    <x:row r="16302">
      <x:c r="A16302" s="142"/>
    </x:row>
    <x:row r="16303">
      <x:c r="A16303" s="142"/>
    </x:row>
    <x:row r="16304">
      <x:c r="A16304" s="142"/>
    </x:row>
    <x:row r="16305">
      <x:c r="A16305" s="142"/>
    </x:row>
    <x:row r="16306">
      <x:c r="A16306" s="142"/>
    </x:row>
    <x:row r="16307">
      <x:c r="A16307" s="142"/>
    </x:row>
    <x:row r="16308">
      <x:c r="A16308" s="142"/>
    </x:row>
    <x:row r="16309">
      <x:c r="A16309" s="142"/>
    </x:row>
    <x:row r="16310">
      <x:c r="A16310" s="142"/>
    </x:row>
    <x:row r="16311">
      <x:c r="A16311" s="142"/>
    </x:row>
  </x:sheetData>
  <x:mergeCells>
    <x:mergeCell ref="A1:G1"/>
    <x:mergeCell ref="H1:W1"/>
  </x:mergeCells>
  <x:dataValidations count="5">
    <x:dataValidation type="list" allowBlank="1" showInputMessage="1" sqref="U1:U1048576">
      <x:formula1>"DELETE_IMMEDIATELY,DELETE_AFTER_RETENTION_PERIOD"</x:formula1>
    </x:dataValidation>
    <x:dataValidation type="list" allowBlank="1" showInputMessage="1" sqref="O1:O1048576">
      <x:formula1>"OBJECT_STORE,DBRS"</x:formula1>
    </x:dataValidation>
    <x:dataValidation type="list" showInputMessage="1" sqref="N1:N1048576 V1:V1048576">
      <x:formula1>"TRUE,FALSE"</x:formula1>
    </x:dataValidation>
    <x:dataValidation prompt="Select an OCI Region." sqref="A2:A7 A2:E2 A12:A16311 I2 W3:W7 P2:Q2 W2:XFD2"/>
    <x:dataValidation sqref="A12:A16311 C3:C7 D3:D4 D5:E6 D7 E3:E7 G2:H2 J2 P7:Q7 X2:XFD7 P2:Q2"/>
  </x:dataValidations>
  <x:pageMargins left="0.7" right="0.7" top="0.75" bottom="0.75" header="0.3" footer="0.3"/>
  <x:legacyDrawing xmlns:r="http://schemas.openxmlformats.org/officeDocument/2006/relationships" r:id="R9b0d13577d014e10"/>
</x:worksheet>
</file>

<file path=xl/worksheets/sheet40.xml><?xml version="1.0" encoding="utf-8"?>
<x:worksheet xmlns:x="http://schemas.openxmlformats.org/spreadsheetml/2006/main">
  <x:sheetPr>
    <x:tabColor rgb="FF009193"/>
  </x:sheetPr>
  <x:sheetFormatPr baseColWidth="10" defaultColWidth="39.6640625" defaultRowHeight="15"/>
  <x:cols>
    <x:col min="1" max="1" width="10.1640625" customWidth="1"/>
    <x:col min="2" max="2" width="16.83203125" customWidth="1"/>
    <x:col min="3" max="3" width="25.33203125" customWidth="1"/>
    <x:col min="4" max="4" width="21.5" customWidth="1"/>
    <x:col min="5" max="5" width="16.6640625" customWidth="1"/>
    <x:col min="6" max="6" width="11.6640625" customWidth="1"/>
    <x:col min="7" max="7" width="11.1640625" customWidth="1"/>
    <x:col min="8" max="8" width="20" customWidth="1"/>
    <x:col min="9" max="9" width="18.6640625" customWidth="1"/>
    <x:col min="10" max="10" width="38.33203125" customWidth="1"/>
  </x:cols>
  <x:sheetData>
    <x:row r="1" s="144" customFormat="1" ht="173" customHeight="1">
      <x:c r="A1" s="169" t="s">
        <x:v>370</x:v>
      </x:c>
      <x:c r="B1" s="147"/>
      <x:c r="C1" s="147"/>
      <x:c r="D1" s="147"/>
      <x:c r="E1" s="147"/>
      <x:c r="F1" s="147"/>
      <x:c r="G1" s="147"/>
      <x:c r="H1" s="147"/>
      <x:c r="I1" s="147"/>
      <x:c r="J1" s="148"/>
    </x:row>
    <x:row r="2" s="70" customFormat="1" ht="32" customHeight="1">
      <x:c r="A2" s="136" t="s">
        <x:v>2</x:v>
      </x:c>
      <x:c r="B2" s="136" t="s">
        <x:v>20</x:v>
      </x:c>
      <x:c r="C2" s="136" t="s">
        <x:v>334</x:v>
      </x:c>
      <x:c r="D2" s="136" t="s">
        <x:v>340</x:v>
      </x:c>
      <x:c r="E2" s="136" t="s">
        <x:v>352</x:v>
      </x:c>
      <x:c r="F2" s="136" t="s">
        <x:v>355</x:v>
      </x:c>
      <x:c r="G2" s="136" t="s">
        <x:v>327</x:v>
      </x:c>
      <x:c r="H2" s="136" t="s">
        <x:v>371</x:v>
      </x:c>
      <x:c r="I2" s="136" t="s">
        <x:v>358</x:v>
      </x:c>
      <x:c r="J2" s="136" t="s">
        <x:v>6</x:v>
      </x:c>
    </x:row>
    <x:row r="3">
      <x:c r="A3" s="33" t="str">
        <x:v>&lt;END&gt;</x:v>
      </x:c>
      <x:c r="B3" s="33"/>
      <x:c r="C3" s="33"/>
      <x:c r="D3" s="33"/>
      <x:c r="E3" s="33"/>
      <x:c r="F3" s="33"/>
      <x:c r="G3" s="33"/>
      <x:c r="H3" s="33"/>
      <x:c r="I3" s="33"/>
      <x:c r="J3" s="33"/>
    </x:row>
    <x:row r="4" ht="16" customHeight="1">
      <x:c r="A4" s="33"/>
      <x:c r="B4" s="33"/>
      <x:c r="C4" s="33"/>
      <x:c r="D4" s="33"/>
      <x:c r="E4" s="33"/>
      <x:c r="F4" s="33"/>
      <x:c r="G4" s="32"/>
      <x:c r="H4" s="33"/>
      <x:c r="I4" s="33"/>
      <x:c r="J4" s="32"/>
    </x:row>
    <x:row r="5" ht="96" customHeight="1">
      <x:c r="A5" s="33"/>
      <x:c r="B5" s="33"/>
      <x:c r="C5" s="33"/>
      <x:c r="D5" s="33"/>
      <x:c r="E5" s="33"/>
      <x:c r="F5" s="33"/>
      <x:c r="G5" s="32"/>
      <x:c r="H5" s="32"/>
      <x:c r="I5" s="32"/>
      <x:c r="J5" s="33"/>
    </x:row>
    <x:row r="6" ht="16" customHeight="1">
      <x:c r="A6" s="33"/>
      <x:c r="B6" s="33"/>
      <x:c r="C6" s="33"/>
      <x:c r="D6" s="33"/>
      <x:c r="E6" s="33"/>
      <x:c r="F6" s="33"/>
      <x:c r="G6" s="32"/>
      <x:c r="H6" s="33"/>
      <x:c r="I6" s="33"/>
      <x:c r="J6" s="33"/>
    </x:row>
    <x:row r="7" ht="80" customHeight="1">
      <x:c r="A7" s="33"/>
      <x:c r="B7" s="33"/>
      <x:c r="C7" s="32"/>
      <x:c r="D7" s="32"/>
      <x:c r="E7" s="33"/>
      <x:c r="F7" s="33"/>
      <x:c r="G7" s="32"/>
      <x:c r="H7" s="33"/>
      <x:c r="I7" s="33"/>
      <x:c r="J7" s="33"/>
    </x:row>
    <x:row r="17"/>
    <x:row r="18"/>
    <x:row r="19"/>
    <x:row r="20"/>
    <x:row r="21"/>
    <x:row r="22"/>
    <x:row r="23"/>
    <x:row r="24"/>
    <x:row r="25"/>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sheetData>
  <x:mergeCells>
    <x:mergeCell ref="A1:J1"/>
  </x:mergeCells>
  <x:dataValidations count="2">
    <x:dataValidation prompt="Select an OCI Region." sqref="A1:A2 A4:A7 B2:E2 G2:H2 J2:XFD2 J4:J7"/>
    <x:dataValidation sqref="C4:C7 D4 D5:E6 D7 E4:E7 G4:G7 H2:I2 K1:XFD1"/>
  </x:dataValidations>
  <x:pageMargins left="0.7" right="0.7" top="0.75" bottom="0.75" header="0.3" footer="0.3"/>
</x:worksheet>
</file>

<file path=xl/worksheets/sheet41.xml><?xml version="1.0" encoding="utf-8"?>
<x:worksheet xmlns:x="http://schemas.openxmlformats.org/spreadsheetml/2006/main">
  <x:sheetPr>
    <x:tabColor theme="9" tint="0.59999"/>
  </x:sheetPr>
  <x:sheetFormatPr baseColWidth="10" defaultColWidth="8.83203125" defaultRowHeight="15"/>
  <x:cols>
    <x:col min="2" max="2" width="13.83203125" customWidth="1"/>
    <x:col min="3" max="3" width="21" customWidth="1"/>
    <x:col min="4" max="4" width="16.6640625" customWidth="1"/>
    <x:col min="5" max="5" width="10.33203125" customWidth="1"/>
    <x:col min="6" max="6" width="10.83203125" customWidth="1"/>
    <x:col min="7" max="7" width="16" customWidth="1"/>
    <x:col min="8" max="8" width="15.83203125" customWidth="1"/>
    <x:col min="9" max="9" width="16.1640625" customWidth="1"/>
    <x:col min="10" max="10" width="17.83203125" customWidth="1"/>
    <x:col min="12" max="12" width="30" customWidth="1"/>
    <x:col min="13" max="13" width="25.5" customWidth="1"/>
    <x:col min="14" max="14" width="7.5" customWidth="1"/>
    <x:col min="17" max="17" width="13.83203125" customWidth="1"/>
    <x:col min="19" max="19" width="15" customWidth="1"/>
  </x:cols>
  <x:sheetData>
    <x:row r="1" ht="169.5" customHeight="1">
      <x:c r="A1" s="170" t="s">
        <x:v>372</x:v>
      </x:c>
      <x:c r="B1" s="168"/>
      <x:c r="C1" s="168"/>
      <x:c r="D1" s="168"/>
      <x:c r="E1" s="168"/>
      <x:c r="F1" s="168"/>
      <x:c r="G1" s="168"/>
      <x:c r="H1" s="168"/>
      <x:c r="I1" s="168"/>
      <x:c r="J1" s="168"/>
      <x:c r="K1" s="168"/>
      <x:c r="L1" s="168"/>
      <x:c r="M1" s="168"/>
      <x:c r="N1" s="168"/>
      <x:c r="O1" s="168"/>
      <x:c r="P1" s="168"/>
      <x:c r="Q1" s="168"/>
      <x:c r="R1" s="171"/>
      <x:c r="S1" s="13"/>
    </x:row>
    <x:row r="2" s="48" customFormat="1" ht="72.75" customHeight="1">
      <x:c r="A2" s="34" t="s">
        <x:v>2</x:v>
      </x:c>
      <x:c r="B2" s="34" t="s">
        <x:v>20</x:v>
      </x:c>
      <x:c r="C2" s="34" t="s">
        <x:v>373</x:v>
      </x:c>
      <x:c r="D2" s="34" t="s">
        <x:v>374</x:v>
      </x:c>
      <x:c r="E2" s="103" t="s">
        <x:v>375</x:v>
      </x:c>
      <x:c r="F2" s="103" t="s">
        <x:v>376</x:v>
      </x:c>
      <x:c r="G2" s="34" t="s">
        <x:v>377</x:v>
      </x:c>
      <x:c r="H2" s="103" t="s">
        <x:v>378</x:v>
      </x:c>
      <x:c r="I2" s="34" t="s">
        <x:v>379</x:v>
      </x:c>
      <x:c r="J2" s="34" t="s">
        <x:v>380</x:v>
      </x:c>
      <x:c r="K2" s="34" t="s">
        <x:v>381</x:v>
      </x:c>
      <x:c r="L2" s="124" t="s">
        <x:v>382</x:v>
      </x:c>
      <x:c r="M2" s="124" t="s">
        <x:v>383</x:v>
      </x:c>
      <x:c r="N2" s="34" t="s">
        <x:v>384</x:v>
      </x:c>
      <x:c r="O2" s="34" t="s">
        <x:v>385</x:v>
      </x:c>
      <x:c r="P2" s="34" t="s">
        <x:v>386</x:v>
      </x:c>
      <x:c r="Q2" s="34" t="s">
        <x:v>168</x:v>
      </x:c>
      <x:c r="R2" s="34" t="s">
        <x:v>6</x:v>
      </x:c>
    </x:row>
    <x:row r="3" s="30" customFormat="1" ht="16">
      <x:c r="A3" s="32" t="str">
        <x:v>&lt;END&gt;</x:v>
      </x:c>
      <x:c r="B3" s="32"/>
      <x:c r="C3" s="32"/>
      <x:c r="D3" s="32"/>
      <x:c r="E3" s="32"/>
      <x:c r="F3" s="32"/>
      <x:c r="G3" s="32"/>
      <x:c r="H3" s="32"/>
      <x:c r="I3" s="32"/>
      <x:c r="J3" s="32"/>
      <x:c r="K3" s="32"/>
      <x:c r="L3"/>
      <x:c r="M3"/>
      <x:c r="N3" s="32"/>
      <x:c r="O3" s="32"/>
      <x:c r="P3" s="32"/>
      <x:c r="Q3" s="32"/>
      <x:c r="R3" s="28"/>
    </x:row>
    <x:row r="4" s="30" customFormat="1" ht="16">
      <x:c r="A4" s="32"/>
      <x:c r="B4" s="32"/>
      <x:c r="C4" s="32"/>
      <x:c r="D4" s="32"/>
      <x:c r="E4" s="32"/>
      <x:c r="F4" s="32"/>
      <x:c r="G4" s="32"/>
      <x:c r="H4" s="32"/>
      <x:c r="I4" s="32"/>
      <x:c r="J4" s="32"/>
      <x:c r="K4" s="32"/>
      <x:c r="L4" s="32"/>
      <x:c r="M4" s="32"/>
      <x:c r="N4" s="32"/>
      <x:c r="O4" s="32"/>
      <x:c r="P4" s="32"/>
      <x:c r="Q4" s="32"/>
      <x:c r="R4" s="28"/>
    </x:row>
    <x:row r="5" ht="16">
      <x:c r="A5" s="97"/>
    </x:row>
  </x:sheetData>
  <x:mergeCells>
    <x:mergeCell ref="A1:R1"/>
  </x:mergeCells>
  <x:dataValidations count="10">
    <x:dataValidation showInputMessage="1" showErrorMessage="1" sqref="Q2"/>
    <x:dataValidation type="list" showInputMessage="1" showErrorMessage="1" sqref="J2 J21:J1048576">
      <x:formula1>"BM.DenseIO2.52,BM.DenseIO.E4.128"</x:formula1>
    </x:dataValidation>
    <x:dataValidation type="list" showInputMessage="1" showErrorMessage="1" sqref="I11:I1048576 I2">
      <x:formula1>"AD1,AD2,AD3,multi-AD"</x:formula1>
    </x:dataValidation>
    <x:dataValidation type="list" showInputMessage="1" showErrorMessage="1" sqref="H11:H1048576 H2">
      <x:formula1>"HOUR,MONTH,ONE_YEAR,THREE_YEARS"</x:formula1>
    </x:dataValidation>
    <x:dataValidation type="list" showInputMessage="1" showErrorMessage="1" sqref="F11:F1048576 F2">
      <x:formula1>"Advanced,Enterprise"</x:formula1>
    </x:dataValidation>
    <x:dataValidation type="list" showInputMessage="1" showErrorMessage="1" sqref="J11:J20">
      <x:formula1>"BM.DenseIO2.52,BM.DenseIO.E4.128,BM.Standard2.52,BM.Standard3.64,BM.Standard.E4.128"</x:formula1>
    </x:dataValidation>
    <x:dataValidation type="list" sqref="I3:I4">
      <x:formula1>"AD1,AD2,AD3,multi-AD"</x:formula1>
    </x:dataValidation>
    <x:dataValidation type="list" sqref="H3:H4">
      <x:formula1>"HOUR,MONTH,ONE_YEAR,THREE_YEARS"</x:formula1>
    </x:dataValidation>
    <x:dataValidation type="list" sqref="F3:F4">
      <x:formula1>"Advanced,Enterprise"</x:formula1>
    </x:dataValidation>
    <x:dataValidation type="list" showInputMessage="1" sqref="J3:J4">
      <x:formula1>"BM.DenseIO2.52,BM.DenseIO.E4.128"</x:formula1>
    </x:dataValidation>
  </x:dataValidations>
  <x:pageMargins left="0.7" right="0.7" top="0.75" bottom="0.75" header="0.3" footer="0.3"/>
  <x:legacyDrawing xmlns:r="http://schemas.openxmlformats.org/officeDocument/2006/relationships" r:id="R8c2b96a351444e6e"/>
</x:worksheet>
</file>

<file path=xl/worksheets/sheet42.xml><?xml version="1.0" encoding="utf-8"?>
<x:worksheet xmlns:x="http://schemas.openxmlformats.org/spreadsheetml/2006/main">
  <x:sheetPr>
    <x:tabColor theme="9" tint="0.59999"/>
  </x:sheetPr>
  <x:sheetFormatPr baseColWidth="10" defaultColWidth="46.6640625" defaultRowHeight="15"/>
  <x:cols>
    <x:col min="1" max="1" width="7.33203125" customWidth="1"/>
    <x:col min="2" max="2" width="19.5" customWidth="1"/>
    <x:col min="3" max="3" width="31.6640625" style="1" customWidth="1"/>
    <x:col min="4" max="4" width="23.6640625" customWidth="1"/>
    <x:col min="5" max="5" width="22.5" customWidth="1"/>
    <x:col min="6" max="6" width="19.83203125" customWidth="1"/>
    <x:col min="7" max="7" width="16.33203125" customWidth="1"/>
    <x:col min="8" max="8" width="17" customWidth="1"/>
    <x:col min="9" max="9" width="13.6640625" customWidth="1"/>
    <x:col min="10" max="10" width="16.33203125" customWidth="1"/>
    <x:col min="11" max="11" width="13" customWidth="1"/>
    <x:col min="12" max="12" width="18.83203125" customWidth="1"/>
    <x:col min="13" max="13" width="20" customWidth="1"/>
    <x:col min="14" max="14" width="17" customWidth="1"/>
    <x:col min="15" max="15" width="46.6640625" style="1" customWidth="0"/>
  </x:cols>
  <x:sheetData>
    <x:row r="1" ht="52" customHeight="1">
      <x:c r="A1" s="160" t="s">
        <x:v>387</x:v>
      </x:c>
      <x:c r="B1" s="168"/>
      <x:c r="C1" s="168"/>
      <x:c r="D1" s="168"/>
      <x:c r="E1" s="168"/>
      <x:c r="F1" s="168"/>
      <x:c r="G1" s="168"/>
      <x:c r="H1" s="168"/>
      <x:c r="I1" s="168"/>
      <x:c r="J1" s="168"/>
      <x:c r="K1" s="168"/>
      <x:c r="L1" s="168"/>
      <x:c r="M1" s="168"/>
      <x:c r="N1" s="168"/>
    </x:row>
    <x:row r="2" s="40" customFormat="1" ht="15" customHeight="1">
      <x:c r="A2" s="35" t="s">
        <x:v>2</x:v>
      </x:c>
      <x:c r="B2" s="35" t="s">
        <x:v>373</x:v>
      </x:c>
      <x:c r="C2" s="103" t="s">
        <x:v>144</x:v>
      </x:c>
      <x:c r="D2" s="34" t="s">
        <x:v>388</x:v>
      </x:c>
      <x:c r="E2" s="34" t="s">
        <x:v>389</x:v>
      </x:c>
      <x:c r="F2" s="34" t="s">
        <x:v>390</x:v>
      </x:c>
      <x:c r="G2" s="34" t="s">
        <x:v>391</x:v>
      </x:c>
      <x:c r="H2" s="34" t="s">
        <x:v>392</x:v>
      </x:c>
      <x:c r="I2" s="34" t="s">
        <x:v>393</x:v>
      </x:c>
      <x:c r="J2" s="34" t="s">
        <x:v>394</x:v>
      </x:c>
      <x:c r="K2" s="34" t="s">
        <x:v>395</x:v>
      </x:c>
      <x:c r="L2" s="34" t="s">
        <x:v>396</x:v>
      </x:c>
      <x:c r="M2" s="34" t="s">
        <x:v>397</x:v>
      </x:c>
      <x:c r="N2" s="34" t="s">
        <x:v>398</x:v>
      </x:c>
      <x:c r="O2" s="48"/>
    </x:row>
    <x:row r="3" s="30" customFormat="1" ht="32">
      <x:c r="A3" s="32" t="str">
        <x:v>&lt;END&gt;</x:v>
      </x:c>
      <x:c r="B3" s="32"/>
      <x:c r="C3" s="32"/>
      <x:c r="D3" s="32"/>
      <x:c r="E3" s="32"/>
      <x:c r="F3" s="32"/>
      <x:c r="G3" s="32"/>
      <x:c r="H3" s="32"/>
      <x:c r="I3" s="32"/>
      <x:c r="J3" s="32"/>
      <x:c r="K3" s="32"/>
      <x:c r="L3" s="32"/>
      <x:c r="M3" s="32"/>
      <x:c r="N3" s="32"/>
      <x:c r="O3" s="118"/>
    </x:row>
    <x:row r="4" s="30" customFormat="1" ht="32">
      <x:c r="A4" s="32"/>
      <x:c r="B4" s="32"/>
      <x:c r="C4" s="32"/>
      <x:c r="D4" s="32"/>
      <x:c r="E4" s="32"/>
      <x:c r="F4" s="32"/>
      <x:c r="G4" s="32"/>
      <x:c r="H4" s="32"/>
      <x:c r="I4" s="32"/>
      <x:c r="J4" s="32"/>
      <x:c r="K4" s="32"/>
      <x:c r="L4" s="32"/>
      <x:c r="M4" s="32"/>
      <x:c r="N4" s="32"/>
      <x:c r="O4" s="118"/>
    </x:row>
    <x:row r="5" ht="16">
      <x:c r="A5" s="97"/>
      <x:c r="B5" s="119"/>
      <x:c r="C5"/>
      <x:c r="O5"/>
    </x:row>
    <x:row r="6">
      <x:c r="C6"/>
      <x:c r="O6"/>
    </x:row>
    <x:row r="7">
      <x:c r="C7"/>
      <x:c r="O7"/>
    </x:row>
    <x:row r="8">
      <x:c r="C8"/>
      <x:c r="O8"/>
    </x:row>
  </x:sheetData>
  <x:mergeCells>
    <x:mergeCell ref="A1:N1"/>
  </x:mergeCells>
  <x:dataValidations count="6">
    <x:dataValidation showInputMessage="1" showErrorMessage="1" sqref="D3:M4"/>
    <x:dataValidation type="list" showInputMessage="1" showErrorMessage="1" sqref="G5:G8">
      <x:formula1>"Advanced,Enterprise"</x:formula1>
    </x:dataValidation>
    <x:dataValidation type="list" showInputMessage="1" showErrorMessage="1" sqref="I5:I8">
      <x:formula1>"HOUR,MONTH,ONE_YEAR,THREE_YEARS"</x:formula1>
    </x:dataValidation>
    <x:dataValidation type="list" showInputMessage="1" showErrorMessage="1" sqref="J5:J8">
      <x:formula1>"AD1,AD2,AD3,multi-AD"</x:formula1>
    </x:dataValidation>
    <x:dataValidation type="list" showInputMessage="1" showErrorMessage="1" sqref="K5:K8">
      <x:formula1>"BM.DenseIO2.52,BM.DenseIO.E4.128,BM.Standard2.52,BM.Standard3.64,BM.Standard.E4.128"</x:formula1>
    </x:dataValidation>
    <x:dataValidation type="list" showInputMessage="1" showErrorMessage="1" sqref="F5:F8">
      <x:formula1>"TRUE,FALSE"</x:formula1>
    </x:dataValidation>
  </x:dataValidations>
  <x:pageMargins left="0.7" right="0.7" top="0.75" bottom="0.75" header="0.3" footer="0.3"/>
  <x:legacyDrawing xmlns:r="http://schemas.openxmlformats.org/officeDocument/2006/relationships" r:id="Re8035d554bef4bde"/>
</x:worksheet>
</file>

<file path=xl/worksheets/sheet43.xml><?xml version="1.0" encoding="utf-8"?>
<x:worksheet xmlns:x="http://schemas.openxmlformats.org/spreadsheetml/2006/main">
  <x:sheetPr>
    <x:tabColor theme="7" tint="0.59999"/>
  </x:sheetPr>
  <x:sheetFormatPr baseColWidth="10" defaultColWidth="8.6640625" defaultRowHeight="15"/>
  <x:cols>
    <x:col min="1" max="1" width="7.6640625" style="33" customWidth="1"/>
    <x:col min="2" max="2" width="13.5" style="33" customWidth="1"/>
    <x:col min="3" max="3" width="12.5" style="33" customWidth="1"/>
    <x:col min="4" max="4" width="11.33203125" style="33" customWidth="1"/>
    <x:col min="5" max="5" width="11.83203125" style="33" customWidth="1"/>
    <x:col min="6" max="6" width="15.6640625" style="33" customWidth="1"/>
    <x:col min="7" max="7" width="15.83203125" style="33" customWidth="1"/>
    <x:col min="8" max="8" width="8.83203125" style="33" customWidth="1"/>
    <x:col min="9" max="9" width="38.33203125" style="33" customWidth="1"/>
    <x:col min="10" max="10" width="25.6640625" style="33" customWidth="1"/>
    <x:col min="11" max="11" width="13.33203125" style="33" customWidth="1"/>
    <x:col min="12" max="12" width="23.6640625" style="33" customWidth="1"/>
    <x:col min="13" max="13" width="13" style="33" customWidth="1"/>
    <x:col min="14" max="14" width="11.6640625" style="32" customWidth="1"/>
    <x:col min="15" max="15" width="15.5" style="33" customWidth="1"/>
    <x:col min="16" max="16" width="14.6640625" style="33" customWidth="1"/>
    <x:col min="17" max="17" width="14.33203125" style="33" customWidth="1"/>
    <x:col min="18" max="18" width="12" style="33" customWidth="1"/>
    <x:col min="19" max="16384" width="8.6640625" style="33" customWidth="0"/>
  </x:cols>
  <x:sheetData>
    <x:row r="1" ht="292" customHeight="1">
      <x:c r="A1" s="172" t="s">
        <x:v>399</x:v>
      </x:c>
      <x:c r="B1" s="173"/>
      <x:c r="C1" s="173"/>
      <x:c r="D1" s="173"/>
      <x:c r="E1" s="173"/>
      <x:c r="F1" s="173"/>
      <x:c r="G1" s="173"/>
      <x:c r="H1" s="173"/>
      <x:c r="I1" s="173"/>
      <x:c r="J1" s="173"/>
      <x:c r="K1" s="173"/>
      <x:c r="L1" s="173"/>
      <x:c r="M1" s="173"/>
      <x:c r="N1" s="173"/>
      <x:c r="O1" s="173"/>
      <x:c r="P1" s="173"/>
      <x:c r="Q1" s="173"/>
      <x:c r="R1" s="174"/>
    </x:row>
    <x:row r="2" ht="48">
      <x:c r="A2" s="26" t="s">
        <x:v>2</x:v>
      </x:c>
      <x:c r="B2" s="27" t="s">
        <x:v>20</x:v>
      </x:c>
      <x:c r="C2" s="26" t="s">
        <x:v>400</x:v>
      </x:c>
      <x:c r="D2" s="26" t="s">
        <x:v>401</x:v>
      </x:c>
      <x:c r="E2" s="26" t="s">
        <x:v>402</x:v>
      </x:c>
      <x:c r="F2" s="26" t="s">
        <x:v>403</x:v>
      </x:c>
      <x:c r="G2" s="26" t="s">
        <x:v>404</x:v>
      </x:c>
      <x:c r="H2" s="26" t="s">
        <x:v>405</x:v>
      </x:c>
      <x:c r="I2" s="26" t="s">
        <x:v>406</x:v>
      </x:c>
      <x:c r="J2" s="26" t="s">
        <x:v>407</x:v>
      </x:c>
      <x:c r="K2" s="27" t="s">
        <x:v>408</x:v>
      </x:c>
      <x:c r="L2" s="26" t="s">
        <x:v>409</x:v>
      </x:c>
      <x:c r="M2" s="27" t="s">
        <x:v>410</x:v>
      </x:c>
      <x:c r="N2" s="27" t="s">
        <x:v>411</x:v>
      </x:c>
      <x:c r="O2" s="27" t="s">
        <x:v>412</x:v>
      </x:c>
      <x:c r="P2" s="27" t="s">
        <x:v>413</x:v>
      </x:c>
      <x:c r="Q2" s="27" t="s">
        <x:v>414</x:v>
      </x:c>
      <x:c r="R2" s="26" t="s">
        <x:v>6</x:v>
      </x:c>
    </x:row>
    <x:row r="3">
      <x:c r="A3" s="33" t="str">
        <x:v>&lt;END&gt;</x:v>
      </x:c>
      <x:c r="B3"/>
      <x:c r="C3"/>
      <x:c r="D3"/>
      <x:c r="E3"/>
      <x:c r="F3"/>
      <x:c r="G3"/>
      <x:c r="H3"/>
      <x:c r="I3"/>
      <x:c r="J3"/>
      <x:c r="K3"/>
      <x:c r="L3"/>
      <x:c r="M3"/>
      <x:c r="N3"/>
      <x:c r="O3"/>
      <x:c r="P3"/>
      <x:c r="Q3"/>
      <x:c r="R3"/>
    </x:row>
    <x:row r="4" ht="29.25" customHeight="1">
      <x:c r="A4" s="33"/>
      <x:c r="B4" s="33"/>
      <x:c r="C4" s="33"/>
      <x:c r="D4" s="33"/>
      <x:c r="E4" s="33"/>
      <x:c r="F4" s="33"/>
      <x:c r="G4" s="33"/>
      <x:c r="H4" s="33"/>
      <x:c r="I4" s="29"/>
      <x:c r="J4" s="28"/>
      <x:c r="K4" s="28"/>
      <x:c r="L4" s="28"/>
      <x:c r="M4" s="28"/>
      <x:c r="N4" s="29"/>
      <x:c r="O4" s="28"/>
      <x:c r="P4" s="28"/>
      <x:c r="Q4" s="28"/>
      <x:c r="R4"/>
    </x:row>
    <x:row r="5" ht="29.25" customHeight="1">
      <x:c r="A5" s="33"/>
      <x:c r="B5" s="33"/>
      <x:c r="C5" s="33"/>
      <x:c r="D5" s="33"/>
      <x:c r="E5" s="33"/>
      <x:c r="F5" s="33"/>
      <x:c r="G5" s="33"/>
      <x:c r="H5" s="33"/>
      <x:c r="I5" s="29"/>
      <x:c r="J5" s="28"/>
      <x:c r="K5" s="28"/>
      <x:c r="L5" s="28"/>
      <x:c r="M5" s="28"/>
      <x:c r="N5" s="29"/>
      <x:c r="O5" s="28"/>
      <x:c r="P5" s="28"/>
      <x:c r="Q5" s="28"/>
      <x:c r="R5"/>
    </x:row>
    <x:row r="6">
      <x:c r="A6" s="33"/>
      <x:c r="B6" s="33"/>
      <x:c r="C6" s="33"/>
      <x:c r="D6" s="33"/>
      <x:c r="E6" s="33"/>
      <x:c r="F6" s="33"/>
      <x:c r="G6" s="33"/>
      <x:c r="H6" s="33"/>
      <x:c r="I6" s="29"/>
      <x:c r="J6" s="28"/>
      <x:c r="K6" s="28"/>
      <x:c r="L6" s="28"/>
      <x:c r="M6" s="28"/>
      <x:c r="N6" s="29"/>
      <x:c r="O6" s="28"/>
      <x:c r="P6" s="28"/>
      <x:c r="Q6" s="28"/>
    </x:row>
    <x:row r="7" ht="16">
      <x:c r="A7" s="33"/>
      <x:c r="B7" s="33"/>
      <x:c r="C7" s="33"/>
      <x:c r="D7" s="33"/>
      <x:c r="E7" s="33"/>
      <x:c r="F7" s="33"/>
      <x:c r="G7" s="33"/>
      <x:c r="H7" s="33"/>
      <x:c r="I7" s="29"/>
      <x:c r="J7" s="28"/>
      <x:c r="K7" s="28"/>
      <x:c r="L7" s="28"/>
      <x:c r="M7" s="28"/>
      <x:c r="N7" s="29"/>
      <x:c r="O7" s="28"/>
      <x:c r="P7" s="28"/>
      <x:c r="Q7" s="28"/>
    </x:row>
  </x:sheetData>
  <x:mergeCells>
    <x:mergeCell ref="A1:R1"/>
  </x:mergeCells>
  <x:dataValidations count="27">
    <x:dataValidation type="list" allowBlank="1" showInputMessage="1" showErrorMessage="1" sqref="E2:E3 E8:E1048576">
      <x:formula1>"Enabled, Disabled"</x:formula1>
    </x:dataValidation>
    <x:dataValidation type="list" errorStyle="warning" allowBlank="1" showErrorMessage="1" prompt="The type of public access enabled on this bucket. Specify Private to set it to Private." sqref="H2:H3 H8:H1048576">
      <x:formula1>"Private,Public"</x:formula1>
    </x:dataValidation>
    <x:dataValidation type="list" allowBlank="1" showErrorMessage="1" prompt="By default, objectEventsEnabled is set to false." sqref="G2:G3 G8:G1048576">
      <x:formula1>"Enabled,Disabled"</x:formula1>
    </x:dataValidation>
    <x:dataValidation type="list" allowBlank="1" showErrorMessage="1" prompt="By default, a bucket is created with versioning Disabled.Allowed Create values: Enabled, Disabled." sqref="F2 F533:F1048576">
      <x:formula1>"Enabled, Disabled"</x:formula1>
    </x:dataValidation>
    <x:dataValidation allowBlank="1" showErrorMessage="1" prompt="Mention the Bucket name" sqref="C2:C3 C8:C1048576"/>
    <x:dataValidation allowBlank="1" showErrorMessage="1" prompt="Mention the name of the Compartment" sqref="B2"/>
    <x:dataValidation allowBlank="1" showErrorMessage="1" prompt="Select a Region from the drop down" sqref="A1:A2"/>
    <x:dataValidation type="list" allowBlank="1" showErrorMessage="1" prompt="Select Standard or Archive from the drop down. By default its set to Standard." sqref="D3 D8:D1048576">
      <x:formula1>"Standard, Archive"</x:formula1>
    </x:dataValidation>
    <x:dataValidation allowBlank="1" showErrorMessage="1" sqref="O2:O3 O8:O1048576"/>
    <x:dataValidation allowBlank="1" showErrorMessage="1" prompt="Format should be in TimeUnit::TimeAmount_x000a_Time Unit: No of Days or Years_x000a_Time Amount: DAYS or YEARS_x000a_" sqref="N2:N3 N8:N1048576"/>
    <x:dataValidation type="list" allowBlank="1" showErrorMessage="1" sqref="M2:M3 M8:M1048576">
      <x:formula1>"TRUE,FALSE"</x:formula1>
    </x:dataValidation>
    <x:dataValidation type="list" allowBlank="1" showErrorMessage="1" sqref="L2:L3 L8:L1048576">
      <x:formula1>"objects::ARCHIVE, objects::INFREQUENT_ACCESS, objects::Delete, previous-object-versions::Archive, previous-object-versions::Delete, multipart-uploads::Abort"</x:formula1>
    </x:dataValidation>
    <x:dataValidation allowBlank="1" showErrorMessage="1" prompt="Specify LifeCycle Policy Name" sqref="K2:K3 K8:K1048576"/>
    <x:dataValidation allowBlank="1" showErrorMessage="1" promptTitle="Destination Bucket should exist" prompt="1. The destination bucket should be already created in the tenancy and cannot have versioning enabled. _x000a_2. The destination bucket cannot have retention rules. The format should be policyname::destinationregion::destinationbucket" sqref="J2:J3 J8:J1048576"/>
    <x:dataValidation allowBlank="1" sqref="I1:I1048576"/>
    <x:dataValidation showErrorMessage="1" promptTitle="Destination Bucket should exist" prompt="1. The destination bucket should be already created in the tenancy and cannot have versioning enabled. _x000a_2. The destination bucket cannot have retention rules. The format should be policyname::destinationregion::destinationbucket" sqref="J6:J7"/>
    <x:dataValidation showInputMessage="1" showErrorMessage="1" prompt="Specify LifeCycle Policy Name" sqref="K4"/>
    <x:dataValidation showInputMessage="1" showErrorMessage="1" prompt="Format should be in TimeUnit::TimeAmount_x000a_Time Unit: No of Days or Years_x000a_Time Amount: DAYS or YEARS_x000a_" sqref="N4"/>
    <x:dataValidation type="list" showInputMessage="1" showErrorMessage="1" sqref="L4:L7">
      <x:formula1>"objects::ARCHIVE, objects::INFREQUENT_ACCESS, objects::Delete, previous-object-versions::Archive, previous-object-versions::Delete, multipart-uploads::Abort"</x:formula1>
    </x:dataValidation>
    <x:dataValidation type="list" showInputMessage="1" showErrorMessage="1" sqref="M4:M7">
      <x:formula1>"TRUE,FALSE"</x:formula1>
    </x:dataValidation>
    <x:dataValidation type="list" showErrorMessage="1" prompt="Select Standard or Archive from the drop down. By default its set to Standard." sqref="D4:D7">
      <x:formula1>"Standard, Archive"</x:formula1>
    </x:dataValidation>
    <x:dataValidation showErrorMessage="1" prompt="Mention the Bucket name" sqref="C4:C7"/>
    <x:dataValidation type="list" showErrorMessage="1" prompt="By default, a bucket is created with versioning Disabled.Allowed Create values: Enabled, Disabled." sqref="F4:F7">
      <x:formula1>"Enabled, Disabled"</x:formula1>
    </x:dataValidation>
    <x:dataValidation type="list" showErrorMessage="1" prompt="By default, objectEventsEnabled is set to false." sqref="G4:G7">
      <x:formula1>"Enabled,Disabled"</x:formula1>
    </x:dataValidation>
    <x:dataValidation type="list" errorStyle="warning" showErrorMessage="1" prompt="The type of public access enabled on this bucket. Specify Private to set it to Private." sqref="H4:H7">
      <x:formula1>"Private,Public"</x:formula1>
    </x:dataValidation>
    <x:dataValidation type="list" showInputMessage="1" showErrorMessage="1" sqref="E4:E7">
      <x:formula1>"Enabled, Disabled"</x:formula1>
    </x:dataValidation>
    <x:dataValidation type="list" allowBlank="1" showErrorMessage="1" prompt="By default, a bucket is created with versioning Disabled.Allowed Create values: Enabled, Disabled." sqref="F3 F8:F532">
      <x:formula1>"Enabled, Disabled,Suspended"</x:formula1>
    </x:dataValidation>
  </x:dataValidations>
  <x:pageMargins left="0.7" right="0.7" top="0.75" bottom="0.75" header="0.3" footer="0.3"/>
</x:worksheet>
</file>

<file path=xl/worksheets/sheet44.xml><?xml version="1.0" encoding="utf-8"?>
<x:worksheet xmlns:x="http://schemas.openxmlformats.org/spreadsheetml/2006/main">
  <x:sheetPr>
    <x:tabColor rgb="FF009193"/>
  </x:sheetPr>
  <x:sheetFormatPr baseColWidth="10" defaultColWidth="8.83203125" defaultRowHeight="15"/>
  <x:cols>
    <x:col min="1" max="1" width="8.83203125" customWidth="1"/>
    <x:col min="2" max="2" width="23" customWidth="1"/>
    <x:col min="3" max="3" width="17.83203125" customWidth="1"/>
    <x:col min="4" max="4" width="15.83203125" customWidth="1"/>
    <x:col min="5" max="6" width="17.33203125" customWidth="1"/>
    <x:col min="7" max="7" width="21.83203125" customWidth="1"/>
    <x:col min="8" max="8" width="20.1640625" customWidth="1"/>
    <x:col min="9" max="9" width="17.6640625" customWidth="1"/>
    <x:col min="10" max="10" width="14.1640625" style="4" customWidth="1"/>
    <x:col min="11" max="11" width="14" customWidth="1"/>
    <x:col min="12" max="12" width="16.6640625" customWidth="1"/>
    <x:col min="13" max="13" width="17.33203125" style="4" customWidth="1"/>
    <x:col min="14" max="14" width="19.1640625" customWidth="1"/>
    <x:col min="15" max="15" width="15" customWidth="1"/>
  </x:cols>
  <x:sheetData>
    <x:row r="1" ht="234" customHeight="1">
      <x:c r="A1" s="145" t="s">
        <x:v>415</x:v>
      </x:c>
      <x:c r="B1" s="145"/>
      <x:c r="C1" s="145"/>
      <x:c r="D1" s="145"/>
      <x:c r="E1" s="145"/>
      <x:c r="F1" s="145"/>
      <x:c r="G1" s="145"/>
      <x:c r="H1" s="156" t="s">
        <x:v>416</x:v>
      </x:c>
      <x:c r="I1" s="145"/>
      <x:c r="J1" s="145"/>
      <x:c r="K1" s="145"/>
      <x:c r="L1" s="145"/>
      <x:c r="M1" s="145"/>
      <x:c r="N1" s="145"/>
      <x:c r="O1" s="145"/>
    </x:row>
    <x:row r="2" ht="44" customHeight="1">
      <x:c r="A2" s="16" t="s">
        <x:v>2</x:v>
      </x:c>
      <x:c r="B2" s="16" t="s">
        <x:v>417</x:v>
      </x:c>
      <x:c r="C2" s="120" t="s">
        <x:v>418</x:v>
      </x:c>
      <x:c r="D2" s="16" t="s">
        <x:v>419</x:v>
      </x:c>
      <x:c r="E2" s="16" t="s">
        <x:v>420</x:v>
      </x:c>
      <x:c r="F2" s="16" t="s">
        <x:v>421</x:v>
      </x:c>
      <x:c r="G2" s="49" t="s">
        <x:v>422</x:v>
      </x:c>
      <x:c r="H2" s="92" t="s">
        <x:v>423</x:v>
      </x:c>
      <x:c r="I2" s="16" t="s">
        <x:v>424</x:v>
      </x:c>
      <x:c r="J2" s="121" t="s">
        <x:v>425</x:v>
      </x:c>
      <x:c r="K2" s="16" t="s">
        <x:v>426</x:v>
      </x:c>
      <x:c r="L2" s="16" t="s">
        <x:v>427</x:v>
      </x:c>
      <x:c r="M2" s="122" t="s">
        <x:v>428</x:v>
      </x:c>
      <x:c r="N2" s="16" t="s">
        <x:v>429</x:v>
      </x:c>
      <x:c r="O2" s="16" t="s">
        <x:v>430</x:v>
      </x:c>
    </x:row>
    <x:row r="3" ht="16">
      <x:c r="A3" s="32" t="str">
        <x:v>&lt;END&gt;</x:v>
      </x:c>
      <x:c r="B3" s="32"/>
      <x:c r="C3" s="32"/>
      <x:c r="D3" s="32"/>
      <x:c r="E3" s="32"/>
      <x:c r="F3" s="32"/>
      <x:c r="G3" s="32"/>
      <x:c r="H3" s="32"/>
      <x:c r="I3" s="32"/>
      <x:c r="J3" s="123"/>
      <x:c r="K3" s="32"/>
      <x:c r="L3" s="32"/>
      <x:c r="M3" s="123"/>
      <x:c r="N3" s="32"/>
      <x:c r="O3" s="32"/>
    </x:row>
    <x:row r="4" ht="16">
      <x:c r="A4" s="32"/>
      <x:c r="B4" s="32"/>
      <x:c r="C4" s="32"/>
      <x:c r="D4" s="32"/>
      <x:c r="E4" s="32"/>
      <x:c r="F4" s="32"/>
      <x:c r="G4" s="32"/>
      <x:c r="H4" s="32"/>
      <x:c r="I4" s="32"/>
      <x:c r="J4" s="123"/>
      <x:c r="K4" s="32"/>
      <x:c r="L4" s="32"/>
      <x:c r="M4" s="123"/>
      <x:c r="N4" s="32"/>
      <x:c r="O4" s="32"/>
    </x:row>
    <x:row r="5" ht="16">
      <x:c r="A5" s="32"/>
      <x:c r="B5" s="32"/>
      <x:c r="C5" s="32"/>
      <x:c r="D5" s="32"/>
      <x:c r="E5" s="32"/>
      <x:c r="F5" s="32"/>
      <x:c r="G5" s="32"/>
      <x:c r="H5" s="32"/>
      <x:c r="I5" s="32"/>
      <x:c r="J5" s="123"/>
      <x:c r="K5" s="32"/>
      <x:c r="L5" s="32"/>
      <x:c r="M5" s="123"/>
      <x:c r="N5" s="32"/>
      <x:c r="O5" s="32"/>
    </x:row>
    <x:row r="6" ht="16">
      <x:c r="A6" s="32"/>
      <x:c r="B6" s="32"/>
      <x:c r="C6" s="32"/>
      <x:c r="D6" s="32"/>
      <x:c r="E6" s="32"/>
      <x:c r="F6" s="32"/>
      <x:c r="G6" s="32"/>
      <x:c r="H6" s="32"/>
      <x:c r="I6" s="32"/>
      <x:c r="J6" s="123"/>
      <x:c r="K6" s="32"/>
      <x:c r="L6" s="32"/>
      <x:c r="M6" s="123"/>
      <x:c r="N6" s="32"/>
      <x:c r="O6" s="32"/>
    </x:row>
    <x:row r="7" ht="16">
      <x:c r="A7" s="32"/>
      <x:c r="B7" s="32"/>
      <x:c r="C7" s="32"/>
      <x:c r="D7" s="32"/>
      <x:c r="E7" s="32"/>
      <x:c r="F7" s="32"/>
      <x:c r="G7" s="32"/>
      <x:c r="H7" s="32"/>
      <x:c r="I7" s="32"/>
      <x:c r="J7" s="123"/>
      <x:c r="K7" s="32"/>
      <x:c r="L7" s="32"/>
      <x:c r="M7" s="123"/>
      <x:c r="N7" s="32"/>
      <x:c r="O7" s="32"/>
    </x:row>
    <x:row r="8" ht="16">
      <x:c r="A8" s="32"/>
      <x:c r="B8" s="32"/>
      <x:c r="C8" s="32"/>
      <x:c r="D8" s="32"/>
      <x:c r="E8" s="32"/>
      <x:c r="F8" s="32"/>
      <x:c r="G8" s="32"/>
      <x:c r="H8" s="32"/>
      <x:c r="I8" s="32"/>
      <x:c r="J8" s="123"/>
      <x:c r="K8" s="32"/>
      <x:c r="L8" s="32"/>
      <x:c r="M8" s="123"/>
      <x:c r="N8" s="32"/>
      <x:c r="O8" s="32"/>
    </x:row>
    <x:row r="9">
      <x:c r="A9" s="32"/>
      <x:c r="B9" s="32"/>
      <x:c r="C9" s="32"/>
      <x:c r="D9" s="32"/>
      <x:c r="E9" s="32"/>
      <x:c r="F9" s="32"/>
      <x:c r="G9" s="32"/>
      <x:c r="H9" s="32"/>
      <x:c r="I9" s="32"/>
      <x:c r="J9" s="123"/>
      <x:c r="K9" s="32"/>
      <x:c r="L9" s="32"/>
      <x:c r="M9" s="123"/>
      <x:c r="N9" s="32"/>
      <x:c r="O9" s="32"/>
    </x:row>
    <x:row r="10">
      <x:c r="A10" s="32"/>
      <x:c r="B10" s="32"/>
      <x:c r="C10" s="32"/>
      <x:c r="D10" s="32"/>
      <x:c r="E10" s="32"/>
      <x:c r="F10" s="32"/>
      <x:c r="G10" s="32"/>
      <x:c r="H10" s="32"/>
      <x:c r="I10" s="32"/>
      <x:c r="J10" s="123"/>
      <x:c r="K10" s="32"/>
      <x:c r="L10" s="32"/>
      <x:c r="M10" s="123"/>
      <x:c r="N10" s="32"/>
      <x:c r="O10" s="32"/>
    </x:row>
    <x:row r="11">
      <x:c r="A11" s="32"/>
      <x:c r="B11" s="32"/>
      <x:c r="C11" s="32"/>
      <x:c r="D11" s="32"/>
      <x:c r="E11" s="32"/>
      <x:c r="F11" s="32"/>
      <x:c r="G11" s="32"/>
      <x:c r="H11" s="32"/>
      <x:c r="I11" s="32"/>
      <x:c r="J11" s="123"/>
      <x:c r="K11" s="32"/>
      <x:c r="L11" s="32"/>
      <x:c r="M11" s="123"/>
      <x:c r="N11" s="32"/>
      <x:c r="O11" s="32"/>
    </x:row>
    <x:row r="12">
      <x:c r="A12" s="32"/>
      <x:c r="B12" s="32"/>
      <x:c r="C12" s="32"/>
      <x:c r="D12" s="32"/>
      <x:c r="E12" s="32"/>
      <x:c r="F12" s="32"/>
      <x:c r="G12" s="32"/>
      <x:c r="H12" s="32"/>
      <x:c r="I12" s="32"/>
      <x:c r="J12" s="123"/>
      <x:c r="K12" s="32"/>
      <x:c r="L12" s="32"/>
      <x:c r="M12" s="123"/>
      <x:c r="N12" s="32"/>
      <x:c r="O12" s="32"/>
    </x:row>
    <x:row r="13">
      <x:c r="A13" s="32"/>
      <x:c r="B13" s="32"/>
      <x:c r="C13" s="32"/>
      <x:c r="D13" s="32"/>
      <x:c r="E13" s="32"/>
      <x:c r="F13" s="32"/>
      <x:c r="G13" s="32"/>
      <x:c r="H13" s="32"/>
      <x:c r="I13" s="32"/>
      <x:c r="J13" s="123"/>
      <x:c r="K13" s="32"/>
      <x:c r="L13" s="32"/>
      <x:c r="M13" s="123"/>
      <x:c r="N13" s="32"/>
      <x:c r="O13" s="32"/>
    </x:row>
    <x:row r="14">
      <x:c r="A14" s="32"/>
      <x:c r="B14" s="32"/>
      <x:c r="C14" s="32"/>
      <x:c r="D14" s="32"/>
      <x:c r="E14" s="32"/>
      <x:c r="F14" s="32"/>
      <x:c r="G14" s="32"/>
      <x:c r="H14" s="32"/>
      <x:c r="I14" s="32"/>
      <x:c r="J14" s="123"/>
      <x:c r="K14" s="32"/>
      <x:c r="L14" s="32"/>
      <x:c r="M14" s="123"/>
      <x:c r="N14" s="32"/>
      <x:c r="O14" s="32"/>
    </x:row>
    <x:row r="15">
      <x:c r="A15" s="32"/>
      <x:c r="B15" s="32"/>
      <x:c r="C15" s="32"/>
      <x:c r="D15" s="32"/>
      <x:c r="E15" s="32"/>
      <x:c r="F15" s="32"/>
      <x:c r="G15" s="32"/>
      <x:c r="H15" s="32"/>
      <x:c r="I15" s="32"/>
      <x:c r="J15" s="123"/>
      <x:c r="K15" s="32"/>
      <x:c r="L15" s="32"/>
      <x:c r="M15" s="123"/>
      <x:c r="N15" s="32"/>
      <x:c r="O15" s="32"/>
    </x:row>
    <x:row r="16">
      <x:c r="A16" s="32"/>
      <x:c r="B16" s="32"/>
      <x:c r="C16" s="32"/>
      <x:c r="D16" s="32"/>
      <x:c r="E16" s="32"/>
      <x:c r="F16" s="32"/>
      <x:c r="G16" s="32"/>
      <x:c r="H16" s="32"/>
      <x:c r="I16" s="32"/>
      <x:c r="J16" s="123"/>
      <x:c r="K16" s="32"/>
      <x:c r="L16" s="32"/>
      <x:c r="M16" s="123"/>
      <x:c r="N16" s="32"/>
      <x:c r="O16" s="32"/>
    </x:row>
    <x:row r="17">
      <x:c r="A17" s="32"/>
      <x:c r="B17" s="32"/>
      <x:c r="C17" s="32"/>
      <x:c r="D17" s="32"/>
      <x:c r="E17" s="32"/>
      <x:c r="F17" s="32"/>
      <x:c r="G17" s="32"/>
      <x:c r="H17" s="32"/>
      <x:c r="I17" s="32"/>
      <x:c r="J17" s="123"/>
      <x:c r="K17" s="32"/>
      <x:c r="L17" s="32"/>
      <x:c r="M17" s="123"/>
      <x:c r="N17" s="32"/>
      <x:c r="O17" s="32"/>
    </x:row>
    <x:row r="18">
      <x:c r="A18" s="32"/>
      <x:c r="B18" s="32"/>
      <x:c r="C18" s="32"/>
      <x:c r="D18" s="32"/>
      <x:c r="E18" s="32"/>
      <x:c r="F18" s="32"/>
      <x:c r="G18" s="32"/>
      <x:c r="H18" s="32"/>
      <x:c r="I18" s="32"/>
      <x:c r="J18" s="123"/>
      <x:c r="K18" s="32"/>
      <x:c r="L18" s="32"/>
      <x:c r="M18" s="123"/>
      <x:c r="N18" s="32"/>
      <x:c r="O18" s="32"/>
    </x:row>
    <x:row r="19">
      <x:c r="A19" s="32"/>
      <x:c r="B19" s="32"/>
      <x:c r="C19" s="32"/>
      <x:c r="D19" s="32"/>
      <x:c r="E19" s="32"/>
      <x:c r="F19" s="32"/>
      <x:c r="G19" s="32"/>
      <x:c r="H19" s="32"/>
      <x:c r="I19" s="32"/>
      <x:c r="J19" s="123"/>
      <x:c r="K19" s="32"/>
      <x:c r="L19" s="32"/>
      <x:c r="M19" s="123"/>
      <x:c r="N19" s="32"/>
      <x:c r="O19" s="32"/>
    </x:row>
    <x:row r="20">
      <x:c r="A20" s="32"/>
      <x:c r="B20" s="32"/>
      <x:c r="C20" s="32"/>
      <x:c r="D20" s="32"/>
      <x:c r="E20" s="32"/>
      <x:c r="F20" s="32"/>
      <x:c r="G20" s="32"/>
      <x:c r="H20" s="32"/>
      <x:c r="I20" s="32"/>
      <x:c r="J20" s="123"/>
      <x:c r="K20" s="32"/>
      <x:c r="L20" s="32"/>
      <x:c r="M20" s="123"/>
      <x:c r="N20" s="32"/>
      <x:c r="O20" s="32"/>
    </x:row>
    <x:row r="21">
      <x:c r="A21" s="32"/>
      <x:c r="B21" s="32"/>
      <x:c r="C21" s="32"/>
      <x:c r="D21" s="32"/>
      <x:c r="E21" s="32"/>
      <x:c r="F21" s="32"/>
      <x:c r="G21" s="32"/>
      <x:c r="H21" s="32"/>
      <x:c r="I21" s="32"/>
      <x:c r="J21" s="123"/>
      <x:c r="K21" s="32"/>
      <x:c r="L21" s="32"/>
      <x:c r="M21" s="123"/>
      <x:c r="N21" s="32"/>
      <x:c r="O21" s="32"/>
    </x:row>
    <x:row r="22">
      <x:c r="A22" s="32"/>
      <x:c r="B22" s="32"/>
      <x:c r="C22" s="32"/>
      <x:c r="D22" s="32"/>
      <x:c r="E22" s="32"/>
      <x:c r="F22" s="32"/>
      <x:c r="G22" s="32"/>
      <x:c r="H22" s="32"/>
      <x:c r="I22" s="32"/>
      <x:c r="J22" s="123"/>
      <x:c r="K22" s="32"/>
      <x:c r="L22" s="32"/>
      <x:c r="M22" s="123"/>
      <x:c r="N22" s="32"/>
      <x:c r="O22" s="32"/>
    </x:row>
    <x:row r="23">
      <x:c r="A23" s="32"/>
      <x:c r="B23" s="32"/>
      <x:c r="C23" s="32"/>
      <x:c r="D23" s="32"/>
      <x:c r="E23" s="32"/>
      <x:c r="F23" s="32"/>
      <x:c r="G23" s="32"/>
      <x:c r="H23" s="32"/>
      <x:c r="I23" s="32"/>
      <x:c r="J23" s="123"/>
      <x:c r="K23" s="32"/>
      <x:c r="L23" s="32"/>
      <x:c r="M23" s="123"/>
      <x:c r="N23" s="32"/>
      <x:c r="O23" s="32"/>
    </x:row>
    <x:row r="24">
      <x:c r="A24" s="32"/>
      <x:c r="B24" s="32"/>
      <x:c r="C24" s="32"/>
      <x:c r="D24" s="32"/>
      <x:c r="E24" s="32"/>
      <x:c r="F24" s="32"/>
      <x:c r="G24" s="32"/>
      <x:c r="H24" s="32"/>
      <x:c r="I24" s="32"/>
      <x:c r="J24" s="123"/>
      <x:c r="K24" s="32"/>
      <x:c r="L24" s="32"/>
      <x:c r="M24" s="123"/>
      <x:c r="N24" s="32"/>
      <x:c r="O24" s="32"/>
    </x:row>
    <x:row r="25">
      <x:c r="A25" s="32"/>
      <x:c r="B25" s="32"/>
      <x:c r="C25" s="32"/>
      <x:c r="D25" s="32"/>
      <x:c r="E25" s="32"/>
      <x:c r="F25" s="32"/>
      <x:c r="G25" s="32"/>
      <x:c r="H25" s="32"/>
      <x:c r="I25" s="32"/>
      <x:c r="J25" s="123"/>
      <x:c r="K25" s="32"/>
      <x:c r="L25" s="32"/>
      <x:c r="M25" s="123"/>
      <x:c r="N25" s="32"/>
      <x:c r="O25" s="32"/>
    </x:row>
    <x:row r="26">
      <x:c r="A26" s="32"/>
      <x:c r="B26" s="32"/>
      <x:c r="C26" s="32"/>
      <x:c r="D26" s="32"/>
      <x:c r="E26" s="32"/>
      <x:c r="F26" s="32"/>
      <x:c r="G26" s="32"/>
      <x:c r="H26" s="32"/>
      <x:c r="I26" s="32"/>
      <x:c r="J26" s="123"/>
      <x:c r="K26" s="32"/>
      <x:c r="L26" s="32"/>
      <x:c r="M26" s="123"/>
      <x:c r="N26" s="32"/>
      <x:c r="O26" s="32"/>
    </x:row>
    <x:row r="27">
      <x:c r="A27" s="32"/>
      <x:c r="B27" s="32"/>
      <x:c r="C27" s="32"/>
      <x:c r="D27" s="32"/>
      <x:c r="E27" s="32"/>
      <x:c r="F27" s="32"/>
      <x:c r="G27" s="32"/>
      <x:c r="H27" s="32"/>
      <x:c r="I27" s="32"/>
      <x:c r="J27" s="123"/>
      <x:c r="K27" s="32"/>
      <x:c r="L27" s="32"/>
      <x:c r="M27" s="123"/>
      <x:c r="N27" s="32"/>
      <x:c r="O27" s="32"/>
    </x:row>
    <x:row r="28">
      <x:c r="A28" s="32"/>
      <x:c r="B28" s="32"/>
      <x:c r="C28" s="32"/>
      <x:c r="D28" s="32"/>
      <x:c r="E28" s="32"/>
      <x:c r="F28" s="32"/>
      <x:c r="G28" s="32"/>
      <x:c r="H28" s="32"/>
      <x:c r="I28" s="32"/>
      <x:c r="J28" s="123"/>
      <x:c r="K28" s="32"/>
      <x:c r="L28" s="32"/>
      <x:c r="M28" s="123"/>
      <x:c r="N28" s="32"/>
      <x:c r="O28" s="32"/>
    </x:row>
    <x:row r="29">
      <x:c r="A29" s="32"/>
      <x:c r="B29" s="32"/>
      <x:c r="C29" s="32"/>
      <x:c r="D29" s="32"/>
      <x:c r="E29" s="32"/>
      <x:c r="F29" s="32"/>
      <x:c r="G29" s="32"/>
      <x:c r="H29" s="32"/>
      <x:c r="I29" s="32"/>
      <x:c r="J29" s="123"/>
      <x:c r="K29" s="32"/>
      <x:c r="L29" s="32"/>
      <x:c r="M29" s="123"/>
      <x:c r="N29" s="32"/>
      <x:c r="O29" s="32"/>
    </x:row>
    <x:row r="30">
      <x:c r="A30" s="32"/>
      <x:c r="B30" s="32"/>
      <x:c r="C30" s="32"/>
      <x:c r="D30" s="32"/>
      <x:c r="E30" s="32"/>
      <x:c r="F30" s="32"/>
      <x:c r="G30" s="32"/>
      <x:c r="H30" s="32"/>
      <x:c r="I30" s="32"/>
      <x:c r="J30" s="123"/>
      <x:c r="K30" s="32"/>
      <x:c r="L30" s="32"/>
      <x:c r="M30" s="123"/>
      <x:c r="N30" s="32"/>
      <x:c r="O30" s="32"/>
    </x:row>
    <x:row r="31">
      <x:c r="A31" s="32"/>
      <x:c r="B31" s="32"/>
      <x:c r="C31" s="32"/>
      <x:c r="D31" s="32"/>
      <x:c r="E31" s="32"/>
      <x:c r="F31" s="32"/>
      <x:c r="G31" s="32"/>
      <x:c r="H31" s="32"/>
      <x:c r="I31" s="32"/>
      <x:c r="J31" s="123"/>
      <x:c r="K31" s="32"/>
      <x:c r="L31" s="32"/>
      <x:c r="M31" s="123"/>
      <x:c r="N31" s="32"/>
      <x:c r="O31" s="32"/>
    </x:row>
    <x:row r="32">
      <x:c r="A32" s="32"/>
      <x:c r="B32" s="32"/>
      <x:c r="C32" s="32"/>
      <x:c r="D32" s="32"/>
      <x:c r="E32" s="32"/>
      <x:c r="F32" s="32"/>
      <x:c r="G32" s="32"/>
      <x:c r="H32" s="32"/>
      <x:c r="I32" s="32"/>
      <x:c r="J32" s="123"/>
      <x:c r="K32" s="32"/>
      <x:c r="L32" s="32"/>
      <x:c r="M32" s="123"/>
      <x:c r="N32" s="32"/>
      <x:c r="O32" s="32"/>
    </x:row>
    <x:row r="33">
      <x:c r="A33" s="32"/>
      <x:c r="B33" s="32"/>
      <x:c r="C33" s="32"/>
      <x:c r="D33" s="32"/>
      <x:c r="E33" s="32"/>
      <x:c r="F33" s="32"/>
      <x:c r="G33" s="32"/>
      <x:c r="H33" s="32"/>
      <x:c r="I33" s="32"/>
      <x:c r="J33" s="123"/>
      <x:c r="K33" s="32"/>
      <x:c r="L33" s="32"/>
      <x:c r="M33" s="123"/>
      <x:c r="N33" s="32"/>
      <x:c r="O33" s="32"/>
    </x:row>
    <x:row r="34">
      <x:c r="A34" s="32"/>
      <x:c r="B34" s="32"/>
      <x:c r="C34" s="32"/>
      <x:c r="D34" s="32"/>
      <x:c r="E34" s="32"/>
      <x:c r="F34" s="32"/>
      <x:c r="G34" s="32"/>
      <x:c r="H34" s="32"/>
      <x:c r="I34" s="32"/>
      <x:c r="J34" s="123"/>
      <x:c r="K34" s="32"/>
      <x:c r="L34" s="32"/>
      <x:c r="M34" s="123"/>
      <x:c r="N34" s="32"/>
      <x:c r="O34" s="32"/>
    </x:row>
    <x:row r="35">
      <x:c r="A35" s="32"/>
      <x:c r="B35" s="32"/>
      <x:c r="C35" s="32"/>
      <x:c r="D35" s="32"/>
      <x:c r="E35" s="32"/>
      <x:c r="F35" s="32"/>
      <x:c r="G35" s="32"/>
      <x:c r="H35" s="32"/>
      <x:c r="I35" s="32"/>
      <x:c r="J35" s="123"/>
      <x:c r="K35" s="32"/>
      <x:c r="L35" s="32"/>
      <x:c r="M35" s="123"/>
      <x:c r="N35" s="32"/>
      <x:c r="O35" s="32"/>
    </x:row>
    <x:row r="36">
      <x:c r="A36" s="32"/>
      <x:c r="B36" s="32"/>
      <x:c r="C36" s="32"/>
      <x:c r="D36" s="32"/>
      <x:c r="E36" s="32"/>
      <x:c r="F36" s="32"/>
      <x:c r="G36" s="32"/>
      <x:c r="H36" s="32"/>
      <x:c r="I36" s="32"/>
      <x:c r="J36" s="123"/>
      <x:c r="K36" s="32"/>
      <x:c r="L36" s="32"/>
      <x:c r="M36" s="123"/>
      <x:c r="N36" s="32"/>
      <x:c r="O36" s="32"/>
    </x:row>
    <x:row r="37">
      <x:c r="A37" s="32"/>
      <x:c r="B37" s="32"/>
      <x:c r="C37" s="32"/>
      <x:c r="D37" s="32"/>
      <x:c r="E37" s="32"/>
      <x:c r="F37" s="32"/>
      <x:c r="G37" s="32"/>
      <x:c r="H37" s="32"/>
      <x:c r="I37" s="32"/>
      <x:c r="J37" s="123"/>
      <x:c r="K37" s="32"/>
      <x:c r="L37" s="32"/>
      <x:c r="M37" s="123"/>
      <x:c r="N37" s="32"/>
      <x:c r="O37" s="32"/>
    </x:row>
    <x:row r="38">
      <x:c r="A38" s="32"/>
      <x:c r="B38" s="32"/>
      <x:c r="C38" s="32"/>
      <x:c r="D38" s="32"/>
      <x:c r="E38" s="32"/>
      <x:c r="F38" s="32"/>
      <x:c r="G38" s="32"/>
      <x:c r="H38" s="32"/>
      <x:c r="I38" s="32"/>
      <x:c r="J38" s="123"/>
      <x:c r="K38" s="32"/>
      <x:c r="L38" s="32"/>
      <x:c r="M38" s="123"/>
      <x:c r="N38" s="32"/>
      <x:c r="O38" s="32"/>
    </x:row>
    <x:row r="39">
      <x:c r="A39" s="32"/>
      <x:c r="B39" s="32"/>
      <x:c r="C39" s="32"/>
      <x:c r="D39" s="32"/>
      <x:c r="E39" s="32"/>
      <x:c r="F39" s="32"/>
      <x:c r="G39" s="32"/>
      <x:c r="H39" s="32"/>
      <x:c r="I39" s="32"/>
      <x:c r="J39" s="123"/>
      <x:c r="K39" s="32"/>
      <x:c r="L39" s="32"/>
      <x:c r="M39" s="123"/>
      <x:c r="N39" s="32"/>
      <x:c r="O39" s="32"/>
    </x:row>
    <x:row r="40">
      <x:c r="A40" s="32"/>
      <x:c r="B40" s="32"/>
      <x:c r="C40" s="32"/>
      <x:c r="D40" s="32"/>
      <x:c r="E40" s="32"/>
      <x:c r="F40" s="32"/>
      <x:c r="G40" s="32"/>
      <x:c r="H40" s="32"/>
      <x:c r="I40" s="32"/>
      <x:c r="J40" s="123"/>
      <x:c r="K40" s="32"/>
      <x:c r="L40" s="32"/>
      <x:c r="M40" s="123"/>
      <x:c r="N40" s="32"/>
      <x:c r="O40" s="32"/>
    </x:row>
    <x:row r="41">
      <x:c r="A41" s="32"/>
      <x:c r="B41" s="32"/>
      <x:c r="C41" s="32"/>
      <x:c r="D41" s="32"/>
      <x:c r="E41" s="32"/>
      <x:c r="F41" s="32"/>
      <x:c r="G41" s="32"/>
      <x:c r="H41" s="32"/>
      <x:c r="I41" s="32"/>
      <x:c r="J41" s="123"/>
      <x:c r="K41" s="32"/>
      <x:c r="L41" s="32"/>
      <x:c r="M41" s="123"/>
      <x:c r="N41" s="32"/>
      <x:c r="O41" s="32"/>
    </x:row>
    <x:row r="42">
      <x:c r="A42" s="32"/>
      <x:c r="B42" s="32"/>
      <x:c r="C42" s="32"/>
      <x:c r="D42" s="32"/>
      <x:c r="E42" s="32"/>
      <x:c r="F42" s="32"/>
      <x:c r="G42" s="32"/>
      <x:c r="H42" s="32"/>
      <x:c r="I42" s="32"/>
      <x:c r="J42" s="123"/>
      <x:c r="K42" s="32"/>
      <x:c r="L42" s="32"/>
      <x:c r="M42" s="123"/>
      <x:c r="N42" s="32"/>
      <x:c r="O42" s="32"/>
    </x:row>
    <x:row r="43">
      <x:c r="A43" s="32"/>
      <x:c r="B43" s="32"/>
      <x:c r="C43" s="32"/>
      <x:c r="D43" s="32"/>
      <x:c r="E43" s="32"/>
      <x:c r="F43" s="32"/>
      <x:c r="G43" s="32"/>
      <x:c r="H43" s="32"/>
      <x:c r="I43" s="32"/>
      <x:c r="J43" s="123"/>
      <x:c r="K43" s="32"/>
      <x:c r="L43" s="32"/>
      <x:c r="M43" s="123"/>
      <x:c r="N43" s="32"/>
      <x:c r="O43" s="32"/>
    </x:row>
    <x:row r="44">
      <x:c r="A44" s="32"/>
      <x:c r="B44" s="32"/>
      <x:c r="C44" s="32"/>
      <x:c r="D44" s="32"/>
      <x:c r="E44" s="32"/>
      <x:c r="F44" s="32"/>
      <x:c r="G44" s="32"/>
      <x:c r="H44" s="32"/>
      <x:c r="I44" s="32"/>
      <x:c r="J44" s="123"/>
      <x:c r="K44" s="32"/>
      <x:c r="L44" s="32"/>
      <x:c r="M44" s="123"/>
      <x:c r="N44" s="32"/>
      <x:c r="O44" s="32"/>
    </x:row>
    <x:row r="45">
      <x:c r="A45" s="32"/>
      <x:c r="B45" s="32"/>
      <x:c r="C45" s="32"/>
      <x:c r="D45" s="32"/>
      <x:c r="E45" s="32"/>
      <x:c r="F45" s="32"/>
      <x:c r="G45" s="32"/>
      <x:c r="H45" s="32"/>
      <x:c r="I45" s="32"/>
      <x:c r="J45" s="123"/>
      <x:c r="K45" s="32"/>
      <x:c r="L45" s="32"/>
      <x:c r="M45" s="123"/>
      <x:c r="N45" s="32"/>
      <x:c r="O45" s="32"/>
    </x:row>
    <x:row r="46">
      <x:c r="A46" s="32"/>
      <x:c r="B46" s="32"/>
      <x:c r="C46" s="32"/>
      <x:c r="D46" s="32"/>
      <x:c r="E46" s="32"/>
      <x:c r="F46" s="32"/>
      <x:c r="G46" s="32"/>
      <x:c r="H46" s="32"/>
      <x:c r="I46" s="32"/>
      <x:c r="J46" s="123"/>
      <x:c r="K46" s="32"/>
      <x:c r="L46" s="32"/>
      <x:c r="M46" s="123"/>
      <x:c r="N46" s="32"/>
      <x:c r="O46" s="32"/>
    </x:row>
    <x:row r="47">
      <x:c r="A47" s="32"/>
      <x:c r="B47" s="32"/>
      <x:c r="C47" s="32"/>
      <x:c r="D47" s="32"/>
      <x:c r="E47" s="32"/>
      <x:c r="F47" s="32"/>
      <x:c r="G47" s="32"/>
      <x:c r="H47" s="32"/>
      <x:c r="I47" s="32"/>
      <x:c r="J47" s="123"/>
      <x:c r="K47" s="32"/>
      <x:c r="L47" s="32"/>
      <x:c r="M47" s="123"/>
      <x:c r="N47" s="32"/>
      <x:c r="O47" s="32"/>
    </x:row>
    <x:row r="48">
      <x:c r="A48" s="32"/>
      <x:c r="B48" s="32"/>
      <x:c r="C48" s="32"/>
      <x:c r="D48" s="32"/>
      <x:c r="E48" s="32"/>
      <x:c r="F48" s="32"/>
      <x:c r="G48" s="32"/>
      <x:c r="H48" s="32"/>
      <x:c r="I48" s="32"/>
      <x:c r="J48" s="123"/>
      <x:c r="K48" s="32"/>
      <x:c r="L48" s="32"/>
      <x:c r="M48" s="123"/>
      <x:c r="N48" s="32"/>
      <x:c r="O48" s="32"/>
    </x:row>
    <x:row r="49">
      <x:c r="A49" s="32"/>
      <x:c r="B49" s="32"/>
      <x:c r="C49" s="32"/>
      <x:c r="D49" s="32"/>
      <x:c r="E49" s="32"/>
      <x:c r="F49" s="32"/>
      <x:c r="G49" s="32"/>
      <x:c r="H49" s="32"/>
      <x:c r="I49" s="32"/>
      <x:c r="J49" s="123"/>
      <x:c r="K49" s="32"/>
      <x:c r="L49" s="32"/>
      <x:c r="M49" s="123"/>
      <x:c r="N49" s="32"/>
      <x:c r="O49" s="32"/>
    </x:row>
    <x:row r="50">
      <x:c r="A50" s="32"/>
      <x:c r="B50" s="32"/>
      <x:c r="C50" s="32"/>
      <x:c r="D50" s="32"/>
      <x:c r="E50" s="32"/>
      <x:c r="F50" s="32"/>
      <x:c r="G50" s="32"/>
      <x:c r="H50" s="32"/>
      <x:c r="I50" s="32"/>
      <x:c r="J50" s="123"/>
      <x:c r="K50" s="32"/>
      <x:c r="L50" s="32"/>
      <x:c r="M50" s="123"/>
      <x:c r="N50" s="32"/>
      <x:c r="O50" s="32"/>
    </x:row>
    <x:row r="51">
      <x:c r="A51" s="32"/>
      <x:c r="B51" s="32"/>
      <x:c r="C51" s="32"/>
      <x:c r="D51" s="32"/>
      <x:c r="E51" s="32"/>
      <x:c r="F51" s="32"/>
      <x:c r="G51" s="32"/>
      <x:c r="H51" s="32"/>
      <x:c r="I51" s="32"/>
      <x:c r="J51" s="123"/>
      <x:c r="K51" s="32"/>
      <x:c r="L51" s="32"/>
      <x:c r="M51" s="123"/>
      <x:c r="N51" s="32"/>
      <x:c r="O51" s="32"/>
    </x:row>
    <x:row r="52">
      <x:c r="A52" s="32"/>
      <x:c r="B52" s="32"/>
      <x:c r="C52" s="32"/>
      <x:c r="D52" s="32"/>
      <x:c r="E52" s="32"/>
      <x:c r="F52" s="32"/>
      <x:c r="G52" s="32"/>
      <x:c r="H52" s="32"/>
      <x:c r="I52" s="32"/>
      <x:c r="J52" s="123"/>
      <x:c r="K52" s="32"/>
      <x:c r="L52" s="32"/>
      <x:c r="M52" s="123"/>
      <x:c r="N52" s="32"/>
      <x:c r="O52" s="32"/>
    </x:row>
    <x:row r="53">
      <x:c r="A53" s="32"/>
      <x:c r="B53" s="32"/>
      <x:c r="C53" s="32"/>
      <x:c r="D53" s="32"/>
      <x:c r="E53" s="32"/>
      <x:c r="F53" s="32"/>
      <x:c r="G53" s="32"/>
      <x:c r="H53" s="32"/>
      <x:c r="I53" s="32"/>
      <x:c r="J53" s="123"/>
      <x:c r="K53" s="32"/>
      <x:c r="L53" s="32"/>
      <x:c r="M53" s="123"/>
      <x:c r="N53" s="32"/>
      <x:c r="O53" s="32"/>
    </x:row>
    <x:row r="54">
      <x:c r="A54" s="32"/>
      <x:c r="B54" s="32"/>
      <x:c r="C54" s="32"/>
      <x:c r="D54" s="32"/>
      <x:c r="E54" s="32"/>
      <x:c r="F54" s="32"/>
      <x:c r="G54" s="32"/>
      <x:c r="H54" s="32"/>
      <x:c r="I54" s="32"/>
      <x:c r="J54" s="123"/>
      <x:c r="K54" s="32"/>
      <x:c r="L54" s="32"/>
      <x:c r="M54" s="123"/>
      <x:c r="N54" s="32"/>
      <x:c r="O54" s="32"/>
    </x:row>
    <x:row r="55">
      <x:c r="A55" s="32"/>
      <x:c r="B55" s="32"/>
      <x:c r="C55" s="32"/>
      <x:c r="D55" s="32"/>
      <x:c r="E55" s="32"/>
      <x:c r="F55" s="32"/>
      <x:c r="G55" s="32"/>
      <x:c r="H55" s="32"/>
      <x:c r="I55" s="32"/>
      <x:c r="J55" s="123"/>
      <x:c r="K55" s="32"/>
      <x:c r="L55" s="32"/>
      <x:c r="M55" s="123"/>
      <x:c r="N55" s="32"/>
      <x:c r="O55" s="32"/>
    </x:row>
    <x:row r="56">
      <x:c r="A56" s="32"/>
      <x:c r="B56" s="32"/>
      <x:c r="C56" s="32"/>
      <x:c r="D56" s="32"/>
      <x:c r="E56" s="32"/>
      <x:c r="F56" s="32"/>
      <x:c r="G56" s="32"/>
      <x:c r="H56" s="32"/>
      <x:c r="I56" s="32"/>
      <x:c r="J56" s="123"/>
      <x:c r="K56" s="32"/>
      <x:c r="L56" s="32"/>
      <x:c r="M56" s="123"/>
      <x:c r="N56" s="32"/>
      <x:c r="O56" s="32"/>
    </x:row>
    <x:row r="57">
      <x:c r="A57" s="32"/>
      <x:c r="B57" s="32"/>
      <x:c r="C57" s="32"/>
      <x:c r="D57" s="32"/>
      <x:c r="E57" s="32"/>
      <x:c r="F57" s="32"/>
      <x:c r="G57" s="32"/>
      <x:c r="H57" s="32"/>
      <x:c r="I57" s="32"/>
      <x:c r="J57" s="123"/>
      <x:c r="K57" s="32"/>
      <x:c r="L57" s="32"/>
      <x:c r="M57" s="123"/>
      <x:c r="N57" s="32"/>
      <x:c r="O57" s="32"/>
    </x:row>
    <x:row r="58">
      <x:c r="A58" s="32"/>
      <x:c r="B58" s="32"/>
      <x:c r="C58" s="32"/>
      <x:c r="D58" s="32"/>
      <x:c r="E58" s="32"/>
      <x:c r="F58" s="32"/>
      <x:c r="G58" s="32"/>
      <x:c r="H58" s="32"/>
      <x:c r="I58" s="32"/>
      <x:c r="J58" s="123"/>
      <x:c r="K58" s="32"/>
      <x:c r="L58" s="32"/>
      <x:c r="M58" s="123"/>
      <x:c r="N58" s="32"/>
      <x:c r="O58" s="32"/>
    </x:row>
    <x:row r="59">
      <x:c r="A59" s="32"/>
      <x:c r="B59" s="32"/>
      <x:c r="C59" s="32"/>
      <x:c r="D59" s="32"/>
      <x:c r="E59" s="32"/>
      <x:c r="F59" s="32"/>
      <x:c r="G59" s="32"/>
      <x:c r="H59" s="32"/>
      <x:c r="I59" s="32"/>
      <x:c r="J59" s="123"/>
      <x:c r="K59" s="32"/>
      <x:c r="L59" s="32"/>
      <x:c r="M59" s="123"/>
      <x:c r="N59" s="32"/>
      <x:c r="O59" s="32"/>
    </x:row>
    <x:row r="60">
      <x:c r="A60" s="32"/>
      <x:c r="B60" s="32"/>
      <x:c r="C60" s="32"/>
      <x:c r="D60" s="32"/>
      <x:c r="E60" s="32"/>
      <x:c r="F60" s="32"/>
      <x:c r="G60" s="32"/>
      <x:c r="H60" s="32"/>
      <x:c r="I60" s="32"/>
      <x:c r="J60" s="123"/>
      <x:c r="K60" s="32"/>
      <x:c r="L60" s="32"/>
      <x:c r="M60" s="123"/>
      <x:c r="N60" s="32"/>
      <x:c r="O60" s="32"/>
    </x:row>
    <x:row r="61">
      <x:c r="A61" s="32"/>
      <x:c r="B61" s="32"/>
      <x:c r="C61" s="32"/>
      <x:c r="D61" s="32"/>
      <x:c r="E61" s="32"/>
      <x:c r="F61" s="32"/>
      <x:c r="G61" s="32"/>
      <x:c r="H61" s="32"/>
      <x:c r="I61" s="32"/>
      <x:c r="J61" s="123"/>
      <x:c r="K61" s="32"/>
      <x:c r="L61" s="32"/>
      <x:c r="M61" s="123"/>
      <x:c r="N61" s="32"/>
      <x:c r="O61" s="32"/>
    </x:row>
    <x:row r="62">
      <x:c r="A62" s="32"/>
      <x:c r="B62" s="32"/>
      <x:c r="C62" s="32"/>
      <x:c r="D62" s="32"/>
      <x:c r="E62" s="32"/>
      <x:c r="F62" s="32"/>
      <x:c r="G62" s="32"/>
      <x:c r="H62" s="32"/>
      <x:c r="I62" s="32"/>
      <x:c r="J62" s="123"/>
      <x:c r="K62" s="32"/>
      <x:c r="L62" s="32"/>
      <x:c r="M62" s="123"/>
      <x:c r="N62" s="32"/>
      <x:c r="O62" s="32"/>
    </x:row>
    <x:row r="63">
      <x:c r="A63" s="32"/>
      <x:c r="B63" s="32"/>
      <x:c r="C63" s="32"/>
      <x:c r="D63" s="32"/>
      <x:c r="E63" s="32"/>
      <x:c r="F63" s="32"/>
      <x:c r="G63" s="32"/>
      <x:c r="H63" s="32"/>
      <x:c r="I63" s="32"/>
      <x:c r="J63" s="123"/>
      <x:c r="K63" s="32"/>
      <x:c r="L63" s="32"/>
      <x:c r="M63" s="123"/>
      <x:c r="N63" s="32"/>
      <x:c r="O63" s="32"/>
    </x:row>
    <x:row r="64">
      <x:c r="A64" s="32"/>
      <x:c r="B64" s="32"/>
      <x:c r="C64" s="32"/>
      <x:c r="D64" s="32"/>
      <x:c r="E64" s="32"/>
      <x:c r="F64" s="32"/>
      <x:c r="G64" s="32"/>
      <x:c r="H64" s="32"/>
      <x:c r="I64" s="32"/>
      <x:c r="J64" s="123"/>
      <x:c r="K64" s="32"/>
      <x:c r="L64" s="32"/>
      <x:c r="M64" s="123"/>
      <x:c r="N64" s="32"/>
      <x:c r="O64" s="32"/>
    </x:row>
    <x:row r="65">
      <x:c r="A65" s="32"/>
      <x:c r="B65" s="32"/>
      <x:c r="C65" s="32"/>
      <x:c r="D65" s="32"/>
      <x:c r="E65" s="32"/>
      <x:c r="F65" s="32"/>
      <x:c r="G65" s="32"/>
      <x:c r="H65" s="32"/>
      <x:c r="I65" s="32"/>
      <x:c r="J65" s="123"/>
      <x:c r="K65" s="32"/>
      <x:c r="L65" s="32"/>
      <x:c r="M65" s="123"/>
      <x:c r="N65" s="32"/>
      <x:c r="O65" s="32"/>
    </x:row>
  </x:sheetData>
  <x:mergeCells>
    <x:mergeCell ref="A1:G1"/>
    <x:mergeCell ref="H1:O1"/>
  </x:mergeCells>
  <x:dataValidations count="5">
    <x:dataValidation type="list" sqref="I3:I1048576">
      <x:formula1>"AES,RSA,ECDSA"</x:formula1>
    </x:dataValidation>
    <x:dataValidation type="list" sqref="K3:K1048576">
      <x:formula1>"NIST_P256,NIST_P384,NIST_P521"</x:formula1>
    </x:dataValidation>
    <x:dataValidation type="list" sqref="H3:H1048576">
      <x:formula1>"HSM,SOFTWARE"</x:formula1>
    </x:dataValidation>
    <x:dataValidation type="list" sqref="D3:D1048576">
      <x:formula1>"default,virtual_private"</x:formula1>
    </x:dataValidation>
    <x:dataValidation showInputMessage="1" showErrorMessage="1" sqref="A1:A2 H2:I2 K2 J2:J1048576 B2 C2:C1048576 D2:F2 L2:XFD1048576 P1:XFD1 G2:G1048576 H1"/>
  </x:dataValidations>
  <x:pageMargins left="0.7" right="0.7" top="0.75" bottom="0.75" header="0.3" footer="0.3"/>
</x:worksheet>
</file>

<file path=xl/worksheets/sheet45.xml><?xml version="1.0" encoding="utf-8"?>
<x:worksheet xmlns:x="http://schemas.openxmlformats.org/spreadsheetml/2006/main">
  <x:sheetPr>
    <x:tabColor theme="8" tint="0.59999"/>
  </x:sheetPr>
  <x:sheetFormatPr baseColWidth="10" defaultColWidth="8.83203125" defaultRowHeight="15"/>
  <x:cols>
    <x:col min="1" max="1" width="12.5" customWidth="1"/>
    <x:col min="2" max="2" width="13.33203125" customWidth="1"/>
    <x:col min="3" max="3" width="13.1640625" customWidth="1"/>
    <x:col min="4" max="4" width="12.1640625" customWidth="1"/>
    <x:col min="5" max="5" width="10.1640625" customWidth="1"/>
    <x:col min="6" max="6" width="8.33203125" style="1" customWidth="1"/>
    <x:col min="7" max="7" width="14.83203125" customWidth="1"/>
    <x:col min="8" max="8" width="15.1640625" customWidth="1"/>
    <x:col min="9" max="9" width="20.83203125" style="1" customWidth="1"/>
    <x:col min="10" max="10" width="11" customWidth="1"/>
    <x:col min="11" max="11" width="10.6640625" customWidth="1"/>
    <x:col min="12" max="12" width="11.83203125" customWidth="1"/>
    <x:col min="13" max="13" width="13.5" customWidth="1"/>
    <x:col min="14" max="14" width="15.33203125" customWidth="1"/>
    <x:col min="15" max="15" width="20" customWidth="1"/>
    <x:col min="16" max="16" width="13.83203125" customWidth="1"/>
    <x:col min="17" max="17" width="15.5" customWidth="1"/>
    <x:col min="18" max="18" width="14.1640625" customWidth="1"/>
    <x:col min="19" max="19" width="10.83203125" customWidth="1"/>
    <x:col min="20" max="20" width="14.1640625" customWidth="1"/>
    <x:col min="21" max="21" width="17.33203125" customWidth="1"/>
    <x:col min="22" max="22" width="16.33203125" customWidth="1"/>
    <x:col min="23" max="23" width="15.1640625" customWidth="1"/>
    <x:col min="24" max="24" width="13.5" customWidth="1"/>
    <x:col min="25" max="25" width="10.1640625" customWidth="1"/>
    <x:col min="27" max="27" width="10.5" customWidth="1"/>
    <x:col min="28" max="28" width="20" customWidth="1"/>
    <x:col min="29" max="29" width="10.83203125" customWidth="1"/>
  </x:cols>
  <x:sheetData>
    <x:row r="1" ht="212" customHeight="1">
      <x:c r="A1" s="175" t="s">
        <x:v>431</x:v>
      </x:c>
      <x:c r="B1" s="168"/>
      <x:c r="C1" s="168"/>
      <x:c r="D1" s="168"/>
      <x:c r="E1" s="168"/>
      <x:c r="F1" s="168"/>
      <x:c r="G1" s="168"/>
      <x:c r="H1" s="171"/>
      <x:c r="I1" s="160" t="s">
        <x:v>432</x:v>
      </x:c>
      <x:c r="J1" s="161"/>
      <x:c r="K1" s="161"/>
      <x:c r="L1" s="161"/>
      <x:c r="M1" s="161"/>
      <x:c r="N1" s="161"/>
      <x:c r="O1" s="161"/>
      <x:c r="P1" s="161"/>
      <x:c r="Q1" s="161"/>
      <x:c r="R1" s="161"/>
      <x:c r="S1" s="161"/>
      <x:c r="T1" s="161"/>
      <x:c r="U1" s="161"/>
      <x:c r="V1" s="161"/>
      <x:c r="W1" s="161"/>
      <x:c r="X1" s="161"/>
      <x:c r="Y1" s="161"/>
      <x:c r="Z1" s="161"/>
      <x:c r="AA1" s="161"/>
      <x:c r="AB1" s="161"/>
      <x:c r="AC1" s="161"/>
    </x:row>
    <x:row r="2" s="40" customFormat="1" ht="48">
      <x:c r="A2" s="35" t="s">
        <x:v>2</x:v>
      </x:c>
      <x:c r="B2" s="34" t="s">
        <x:v>20</x:v>
      </x:c>
      <x:c r="C2" s="35" t="s">
        <x:v>83</x:v>
      </x:c>
      <x:c r="D2" s="35" t="s">
        <x:v>4</x:v>
      </x:c>
      <x:c r="E2" s="34" t="s">
        <x:v>433</x:v>
      </x:c>
      <x:c r="F2" s="35" t="s">
        <x:v>434</x:v>
      </x:c>
      <x:c r="G2" s="34" t="s">
        <x:v>139</x:v>
      </x:c>
      <x:c r="H2" s="34" t="s">
        <x:v>141</x:v>
      </x:c>
      <x:c r="I2" s="34" t="s">
        <x:v>144</x:v>
      </x:c>
      <x:c r="J2" s="35" t="s">
        <x:v>140</x:v>
      </x:c>
      <x:c r="K2" s="35" t="s">
        <x:v>435</x:v>
      </x:c>
      <x:c r="L2" s="35" t="s">
        <x:v>436</x:v>
      </x:c>
      <x:c r="M2" s="34" t="s">
        <x:v>146</x:v>
      </x:c>
      <x:c r="N2" s="34" t="s">
        <x:v>437</x:v>
      </x:c>
      <x:c r="O2" s="34" t="s">
        <x:v>438</x:v>
      </x:c>
      <x:c r="P2" s="34" t="s">
        <x:v>439</x:v>
      </x:c>
      <x:c r="Q2" s="34" t="s">
        <x:v>440</x:v>
      </x:c>
      <x:c r="R2" s="34" t="s">
        <x:v>441</x:v>
      </x:c>
      <x:c r="S2" s="34" t="s">
        <x:v>442</x:v>
      </x:c>
      <x:c r="T2" s="34" t="s">
        <x:v>443</x:v>
      </x:c>
      <x:c r="U2" s="34" t="s">
        <x:v>444</x:v>
      </x:c>
      <x:c r="V2" s="34" t="s">
        <x:v>445</x:v>
      </x:c>
      <x:c r="W2" s="34" t="s">
        <x:v>446</x:v>
      </x:c>
      <x:c r="X2" s="34" t="s">
        <x:v>447</x:v>
      </x:c>
      <x:c r="Y2" s="34" t="s">
        <x:v>448</x:v>
      </x:c>
      <x:c r="Z2" s="34" t="s">
        <x:v>449</x:v>
      </x:c>
      <x:c r="AA2" s="34" t="s">
        <x:v>122</x:v>
      </x:c>
      <x:c r="AB2" s="34" t="s">
        <x:v>450</x:v>
      </x:c>
      <x:c r="AC2" s="35" t="s">
        <x:v>6</x:v>
      </x:c>
    </x:row>
    <x:row r="3" ht="33" customHeight="1">
      <x:c r="A3" s="33" t="str">
        <x:v>&lt;END&gt;</x:v>
      </x:c>
      <x:c r="B3" s="33"/>
      <x:c r="C3" s="33"/>
      <x:c r="D3" s="33"/>
      <x:c r="E3" s="33"/>
      <x:c r="F3" s="32"/>
      <x:c r="G3" s="33"/>
      <x:c r="H3" s="33"/>
      <x:c r="I3" s="32"/>
      <x:c r="J3" s="33"/>
      <x:c r="K3" s="33"/>
      <x:c r="L3" s="33"/>
      <x:c r="M3" s="33"/>
      <x:c r="N3" s="33"/>
      <x:c r="O3" s="33"/>
      <x:c r="P3" s="33"/>
      <x:c r="Q3" s="33"/>
      <x:c r="R3" s="33"/>
      <x:c r="S3" s="33"/>
      <x:c r="T3" s="33"/>
      <x:c r="U3" s="33"/>
      <x:c r="V3" s="33"/>
      <x:c r="W3" s="33"/>
      <x:c r="X3" s="33"/>
      <x:c r="Y3" s="33"/>
      <x:c r="Z3" s="33"/>
      <x:c r="AA3" s="33"/>
      <x:c r="AB3" s="33"/>
      <x:c r="AC3" s="33"/>
    </x:row>
    <x:row r="4" ht="33" customHeight="1">
      <x:c r="A4" s="18"/>
      <x:c r="B4" s="18"/>
      <x:c r="C4" s="18"/>
      <x:c r="D4" s="18"/>
      <x:c r="E4" s="18"/>
      <x:c r="F4" s="18"/>
      <x:c r="G4" s="18"/>
      <x:c r="H4" s="18"/>
      <x:c r="I4" s="18"/>
      <x:c r="J4" s="18"/>
      <x:c r="K4" s="18"/>
      <x:c r="L4" s="18"/>
      <x:c r="M4" s="33"/>
      <x:c r="N4" s="18"/>
      <x:c r="O4" s="18"/>
      <x:c r="P4" s="18"/>
      <x:c r="Q4" s="18"/>
      <x:c r="R4" s="18"/>
      <x:c r="S4" s="18"/>
      <x:c r="T4" s="18"/>
      <x:c r="U4" s="18"/>
      <x:c r="V4" s="18"/>
      <x:c r="W4" s="18"/>
      <x:c r="X4" s="129"/>
      <x:c r="Y4" s="18"/>
      <x:c r="Z4" s="18"/>
      <x:c r="AA4" s="18"/>
      <x:c r="AB4" s="8"/>
      <x:c r="AC4" s="18"/>
    </x:row>
    <x:row r="5" ht="33" customHeight="1">
      <x:c r="A5" s="32"/>
      <x:c r="B5" s="32"/>
      <x:c r="C5" s="32"/>
      <x:c r="D5" s="32"/>
      <x:c r="E5" s="32"/>
      <x:c r="F5" s="32"/>
      <x:c r="G5" s="32"/>
      <x:c r="H5" s="32"/>
      <x:c r="I5" s="1"/>
      <x:c r="J5" s="32"/>
      <x:c r="K5" s="32"/>
      <x:c r="L5" s="32"/>
      <x:c r="M5" s="32"/>
      <x:c r="N5" s="32"/>
      <x:c r="O5" s="32"/>
      <x:c r="P5" s="32"/>
      <x:c r="Q5" s="32"/>
      <x:c r="R5" s="32"/>
      <x:c r="S5" s="32"/>
      <x:c r="T5" s="32"/>
      <x:c r="U5" s="32"/>
      <x:c r="V5" s="32"/>
      <x:c r="W5" s="32"/>
      <x:c r="X5" s="32"/>
      <x:c r="Y5" s="32"/>
      <x:c r="Z5" s="32"/>
      <x:c r="AA5" s="32"/>
      <x:c r="AB5" s="33"/>
      <x:c r="AC5" s="32"/>
    </x:row>
    <x:row r="6" ht="33" customHeight="1">
      <x:c r="A6" s="32"/>
      <x:c r="B6" s="32"/>
      <x:c r="C6" s="32"/>
      <x:c r="D6" s="32"/>
      <x:c r="E6" s="32"/>
      <x:c r="F6" s="32"/>
      <x:c r="G6" s="32"/>
      <x:c r="H6" s="32"/>
      <x:c r="I6" s="32"/>
      <x:c r="J6" s="32"/>
      <x:c r="K6" s="32"/>
      <x:c r="L6" s="32"/>
      <x:c r="M6" s="32"/>
      <x:c r="N6" s="32"/>
      <x:c r="O6" s="32"/>
      <x:c r="P6" s="32"/>
      <x:c r="Q6" s="32"/>
      <x:c r="R6" s="32"/>
      <x:c r="S6" s="32"/>
      <x:c r="T6" s="32"/>
      <x:c r="U6" s="32"/>
      <x:c r="V6" s="32"/>
      <x:c r="W6" s="32"/>
      <x:c r="X6" s="32"/>
      <x:c r="Y6" s="32"/>
      <x:c r="Z6" s="32"/>
      <x:c r="AA6" s="32"/>
      <x:c r="AB6" s="32"/>
      <x:c r="AC6" s="32"/>
    </x:row>
    <x:row r="7" ht="33" customHeight="1">
      <x:c r="A7" s="32"/>
      <x:c r="B7" s="32"/>
      <x:c r="C7" s="32"/>
      <x:c r="D7" s="32"/>
      <x:c r="E7" s="32"/>
      <x:c r="F7" s="32"/>
      <x:c r="G7" s="32"/>
      <x:c r="H7" s="32"/>
      <x:c r="I7" s="32"/>
      <x:c r="J7" s="32"/>
      <x:c r="K7" s="32"/>
      <x:c r="L7" s="32"/>
      <x:c r="M7" s="32"/>
      <x:c r="N7" s="32"/>
      <x:c r="O7" s="32"/>
      <x:c r="P7" s="32"/>
      <x:c r="Q7" s="32"/>
      <x:c r="R7" s="32"/>
      <x:c r="S7" s="32"/>
      <x:c r="T7" s="32"/>
      <x:c r="U7" s="32"/>
      <x:c r="V7" s="32"/>
      <x:c r="W7" s="32"/>
      <x:c r="X7" s="32"/>
      <x:c r="Y7" s="32"/>
      <x:c r="Z7" s="32"/>
      <x:c r="AA7" s="32"/>
      <x:c r="AB7" s="32"/>
      <x:c r="AC7" s="32"/>
    </x:row>
    <x:row r="8" ht="33" customHeight="1">
      <x:c r="A8" s="32"/>
      <x:c r="B8" s="32"/>
      <x:c r="C8" s="32"/>
      <x:c r="D8" s="32"/>
      <x:c r="E8" s="32"/>
      <x:c r="F8" s="32"/>
      <x:c r="G8" s="32"/>
      <x:c r="H8" s="32"/>
      <x:c r="I8" s="32"/>
      <x:c r="J8" s="32"/>
      <x:c r="K8" s="32"/>
      <x:c r="L8" s="32"/>
      <x:c r="M8" s="32"/>
      <x:c r="N8" s="32"/>
      <x:c r="O8" s="32"/>
      <x:c r="P8" s="32"/>
      <x:c r="Q8" s="32"/>
      <x:c r="R8" s="32"/>
      <x:c r="S8" s="32"/>
      <x:c r="T8" s="32"/>
      <x:c r="U8" s="32"/>
      <x:c r="V8" s="32"/>
      <x:c r="W8" s="32"/>
      <x:c r="X8" s="32"/>
      <x:c r="Y8" s="32"/>
      <x:c r="Z8" s="32"/>
      <x:c r="AA8" s="32"/>
      <x:c r="AB8" s="32"/>
      <x:c r="AC8" s="32"/>
    </x:row>
    <x:row r="9" ht="33" customHeight="1">
      <x:c r="A9" s="32"/>
      <x:c r="B9" s="32"/>
      <x:c r="C9" s="32"/>
      <x:c r="D9" s="32"/>
      <x:c r="E9" s="32"/>
      <x:c r="F9" s="32"/>
      <x:c r="G9" s="32"/>
      <x:c r="H9" s="32"/>
      <x:c r="I9" s="32"/>
      <x:c r="J9" s="32"/>
      <x:c r="K9" s="32"/>
      <x:c r="L9" s="32"/>
      <x:c r="M9" s="32"/>
      <x:c r="N9" s="32"/>
      <x:c r="O9" s="32"/>
      <x:c r="P9" s="32"/>
      <x:c r="Q9" s="32"/>
      <x:c r="R9" s="32"/>
      <x:c r="S9" s="32"/>
      <x:c r="T9" s="32"/>
      <x:c r="U9" s="32"/>
      <x:c r="V9" s="32"/>
      <x:c r="W9" s="32"/>
      <x:c r="X9" s="32"/>
      <x:c r="Y9" s="32"/>
      <x:c r="Z9" s="32"/>
      <x:c r="AA9" s="32"/>
      <x:c r="AB9" s="32"/>
      <x:c r="AC9" s="32"/>
    </x:row>
    <x:row r="10" ht="33" customHeight="1">
      <x:c r="A10" s="32"/>
      <x:c r="B10" s="32"/>
      <x:c r="C10" s="32"/>
      <x:c r="D10" s="32"/>
      <x:c r="E10" s="32"/>
      <x:c r="F10" s="32"/>
      <x:c r="G10" s="32"/>
      <x:c r="H10" s="32"/>
      <x:c r="I10" s="32"/>
      <x:c r="J10" s="32"/>
      <x:c r="K10" s="32"/>
      <x:c r="L10" s="32"/>
      <x:c r="M10" s="32"/>
      <x:c r="N10" s="32"/>
      <x:c r="O10" s="32"/>
      <x:c r="P10" s="32"/>
      <x:c r="Q10" s="32"/>
      <x:c r="R10" s="32"/>
      <x:c r="S10" s="32"/>
      <x:c r="T10" s="32"/>
      <x:c r="U10" s="32"/>
      <x:c r="V10" s="32"/>
      <x:c r="W10" s="32"/>
      <x:c r="X10" s="32"/>
      <x:c r="Y10" s="32"/>
      <x:c r="Z10" s="32"/>
      <x:c r="AA10" s="32"/>
      <x:c r="AB10" s="32"/>
      <x:c r="AC10" s="32"/>
    </x:row>
    <x:row r="11" ht="33" customHeight="1">
      <x:c r="A11" s="32"/>
      <x:c r="B11" s="32"/>
      <x:c r="C11" s="32"/>
      <x:c r="D11" s="32"/>
      <x:c r="E11" s="32"/>
      <x:c r="F11" s="32"/>
      <x:c r="G11" s="32"/>
      <x:c r="H11" s="32"/>
      <x:c r="I11" s="32"/>
      <x:c r="J11" s="32"/>
      <x:c r="K11" s="32"/>
      <x:c r="L11" s="32"/>
      <x:c r="M11" s="32"/>
      <x:c r="N11" s="32"/>
      <x:c r="O11" s="32"/>
      <x:c r="P11" s="32"/>
      <x:c r="Q11" s="32"/>
      <x:c r="R11" s="32"/>
      <x:c r="S11" s="32"/>
      <x:c r="T11" s="32"/>
      <x:c r="U11" s="32"/>
      <x:c r="V11" s="32"/>
      <x:c r="W11" s="32"/>
      <x:c r="X11" s="32"/>
      <x:c r="Y11" s="32"/>
      <x:c r="Z11" s="32"/>
      <x:c r="AA11" s="32"/>
      <x:c r="AB11" s="32"/>
      <x:c r="AC11" s="32"/>
    </x:row>
    <x:row r="12" ht="33" customHeight="1">
      <x:c r="A12" s="32"/>
      <x:c r="B12" s="32"/>
      <x:c r="C12" s="32"/>
      <x:c r="D12" s="32"/>
      <x:c r="E12" s="32"/>
      <x:c r="F12" s="32"/>
      <x:c r="G12" s="32"/>
      <x:c r="H12" s="32"/>
      <x:c r="I12" s="32"/>
      <x:c r="J12" s="32"/>
      <x:c r="K12" s="32"/>
      <x:c r="L12" s="32"/>
      <x:c r="M12" s="32"/>
      <x:c r="N12" s="32"/>
      <x:c r="O12" s="32"/>
      <x:c r="P12" s="32"/>
      <x:c r="Q12" s="32"/>
      <x:c r="R12" s="32"/>
      <x:c r="S12" s="32"/>
      <x:c r="T12" s="32"/>
      <x:c r="U12" s="32"/>
      <x:c r="V12" s="32"/>
      <x:c r="W12" s="32"/>
      <x:c r="X12" s="32"/>
      <x:c r="Y12" s="32"/>
      <x:c r="Z12" s="32"/>
      <x:c r="AA12" s="32"/>
      <x:c r="AB12" s="32"/>
      <x:c r="AC12" s="32"/>
    </x:row>
    <x:row r="13">
      <x:c r="A13" s="32"/>
      <x:c r="B13" s="32"/>
      <x:c r="C13" s="32"/>
      <x:c r="D13" s="32"/>
      <x:c r="E13" s="32"/>
      <x:c r="F13" s="32"/>
      <x:c r="G13" s="32"/>
      <x:c r="H13" s="32"/>
      <x:c r="I13" s="32"/>
      <x:c r="J13" s="32"/>
      <x:c r="K13" s="32"/>
      <x:c r="L13" s="32"/>
      <x:c r="M13" s="32"/>
      <x:c r="N13" s="32"/>
      <x:c r="O13" s="32"/>
      <x:c r="P13" s="32"/>
      <x:c r="Q13" s="32"/>
      <x:c r="R13" s="32"/>
      <x:c r="S13" s="32"/>
      <x:c r="T13" s="32"/>
      <x:c r="U13" s="32"/>
      <x:c r="V13" s="32"/>
      <x:c r="W13" s="32"/>
      <x:c r="X13" s="32"/>
      <x:c r="Y13" s="32"/>
      <x:c r="Z13" s="32"/>
      <x:c r="AA13" s="32"/>
      <x:c r="AB13" s="32"/>
      <x:c r="AC13" s="32"/>
    </x:row>
    <x:row r="14">
      <x:c r="A14" s="32"/>
      <x:c r="B14" s="32"/>
      <x:c r="C14" s="32"/>
      <x:c r="D14" s="32"/>
      <x:c r="E14" s="32"/>
      <x:c r="F14" s="32"/>
      <x:c r="G14" s="32"/>
      <x:c r="H14" s="32"/>
      <x:c r="I14" s="32"/>
      <x:c r="J14" s="32"/>
      <x:c r="K14" s="32"/>
      <x:c r="L14" s="32"/>
      <x:c r="M14" s="32"/>
      <x:c r="N14" s="32"/>
      <x:c r="O14" s="32"/>
      <x:c r="P14" s="32"/>
      <x:c r="Q14" s="32"/>
      <x:c r="R14" s="32"/>
      <x:c r="S14" s="32"/>
      <x:c r="T14" s="32"/>
      <x:c r="U14" s="32"/>
      <x:c r="V14" s="32"/>
      <x:c r="W14" s="32"/>
      <x:c r="X14" s="32"/>
      <x:c r="Y14" s="32"/>
      <x:c r="Z14" s="32"/>
      <x:c r="AA14" s="32"/>
      <x:c r="AB14" s="32"/>
      <x:c r="AC14" s="32"/>
    </x:row>
    <x:row r="15">
      <x:c r="A15" s="32"/>
      <x:c r="B15" s="32"/>
      <x:c r="C15" s="32"/>
      <x:c r="D15" s="32"/>
      <x:c r="E15" s="32"/>
      <x:c r="F15" s="32"/>
      <x:c r="G15" s="32"/>
      <x:c r="H15" s="32"/>
      <x:c r="I15" s="32"/>
      <x:c r="J15" s="32"/>
      <x:c r="K15" s="32"/>
      <x:c r="L15" s="32"/>
      <x:c r="M15" s="32"/>
      <x:c r="N15" s="32"/>
      <x:c r="O15" s="32"/>
      <x:c r="P15" s="32"/>
      <x:c r="Q15" s="32"/>
      <x:c r="R15" s="32"/>
      <x:c r="S15" s="32"/>
      <x:c r="T15" s="32"/>
      <x:c r="U15" s="32"/>
      <x:c r="V15" s="32"/>
      <x:c r="W15" s="32"/>
      <x:c r="X15" s="32"/>
      <x:c r="Y15" s="32"/>
      <x:c r="Z15" s="32"/>
      <x:c r="AA15" s="32"/>
      <x:c r="AB15" s="32"/>
      <x:c r="AC15" s="32"/>
    </x:row>
    <x:row r="16">
      <x:c r="A16" s="32"/>
      <x:c r="B16" s="32"/>
      <x:c r="C16" s="32"/>
      <x:c r="D16" s="32"/>
      <x:c r="E16" s="32"/>
      <x:c r="F16" s="32"/>
      <x:c r="G16" s="32"/>
      <x:c r="H16" s="32"/>
      <x:c r="I16" s="32"/>
      <x:c r="J16" s="32"/>
      <x:c r="K16" s="32"/>
      <x:c r="L16" s="32"/>
      <x:c r="M16" s="32"/>
      <x:c r="N16" s="32"/>
      <x:c r="O16" s="32"/>
      <x:c r="P16" s="32"/>
      <x:c r="Q16" s="32"/>
      <x:c r="R16" s="32"/>
      <x:c r="S16" s="32"/>
      <x:c r="T16" s="32"/>
      <x:c r="U16" s="32"/>
      <x:c r="V16" s="32"/>
      <x:c r="W16" s="32"/>
      <x:c r="X16" s="32"/>
      <x:c r="Y16" s="32"/>
      <x:c r="Z16" s="32"/>
      <x:c r="AA16" s="32"/>
      <x:c r="AB16" s="32"/>
      <x:c r="AC16" s="32"/>
    </x:row>
    <x:row r="17">
      <x:c r="A17" s="32"/>
      <x:c r="B17" s="32"/>
      <x:c r="C17" s="32"/>
      <x:c r="D17" s="32"/>
      <x:c r="E17" s="32"/>
      <x:c r="F17" s="32"/>
      <x:c r="G17" s="32"/>
      <x:c r="H17" s="32"/>
      <x:c r="I17" s="32"/>
      <x:c r="J17" s="32"/>
      <x:c r="K17" s="32"/>
      <x:c r="L17" s="32"/>
      <x:c r="M17" s="32"/>
      <x:c r="N17" s="32"/>
      <x:c r="O17" s="32"/>
      <x:c r="P17" s="32"/>
      <x:c r="Q17" s="32"/>
      <x:c r="R17" s="32"/>
      <x:c r="S17" s="32"/>
      <x:c r="T17" s="32"/>
      <x:c r="U17" s="32"/>
      <x:c r="V17" s="32"/>
      <x:c r="W17" s="32"/>
      <x:c r="X17" s="32"/>
      <x:c r="Y17" s="32"/>
      <x:c r="Z17" s="32"/>
      <x:c r="AA17" s="32"/>
      <x:c r="AB17" s="32"/>
      <x:c r="AC17" s="32"/>
    </x:row>
    <x:row r="18">
      <x:c r="A18" s="32"/>
      <x:c r="B18" s="32"/>
      <x:c r="C18" s="32"/>
      <x:c r="D18" s="32"/>
      <x:c r="E18" s="32"/>
      <x:c r="F18" s="32"/>
      <x:c r="G18" s="32"/>
      <x:c r="H18" s="32"/>
      <x:c r="I18" s="32"/>
      <x:c r="J18" s="32"/>
      <x:c r="K18" s="32"/>
      <x:c r="L18" s="32"/>
      <x:c r="M18" s="32"/>
      <x:c r="N18" s="32"/>
      <x:c r="O18" s="32"/>
      <x:c r="P18" s="32"/>
      <x:c r="Q18" s="32"/>
      <x:c r="R18" s="32"/>
      <x:c r="S18" s="32"/>
      <x:c r="T18" s="32"/>
      <x:c r="U18" s="32"/>
      <x:c r="V18" s="32"/>
      <x:c r="W18" s="32"/>
      <x:c r="X18" s="32"/>
      <x:c r="Y18" s="32"/>
      <x:c r="Z18" s="32"/>
      <x:c r="AA18" s="32"/>
      <x:c r="AB18" s="32"/>
      <x:c r="AC18" s="32"/>
    </x:row>
    <x:row r="26">
      <x:c r="A26" s="32"/>
      <x:c r="B26" s="32"/>
      <x:c r="C26" s="32"/>
      <x:c r="D26" s="32"/>
      <x:c r="E26" s="32"/>
      <x:c r="F26" s="32"/>
      <x:c r="G26" s="32"/>
      <x:c r="H26" s="32"/>
      <x:c r="I26" s="32"/>
      <x:c r="J26" s="32"/>
      <x:c r="K26" s="32"/>
      <x:c r="L26" s="32"/>
      <x:c r="M26" s="32"/>
      <x:c r="N26" s="32"/>
      <x:c r="O26" s="32"/>
      <x:c r="P26" s="32"/>
      <x:c r="Q26" s="32"/>
      <x:c r="R26" s="32"/>
      <x:c r="S26" s="32"/>
      <x:c r="T26" s="32"/>
      <x:c r="U26" s="32"/>
      <x:c r="V26" s="32"/>
      <x:c r="W26" s="32"/>
      <x:c r="X26" s="32"/>
      <x:c r="Y26" s="32"/>
      <x:c r="Z26" s="32"/>
      <x:c r="AA26" s="32"/>
      <x:c r="AB26" s="32"/>
      <x:c r="AC26" s="32"/>
    </x:row>
    <x:row r="27">
      <x:c r="A27" s="32"/>
      <x:c r="B27" s="32"/>
      <x:c r="C27" s="32"/>
      <x:c r="D27" s="32"/>
      <x:c r="E27" s="32"/>
      <x:c r="F27" s="32"/>
      <x:c r="G27" s="32"/>
      <x:c r="H27" s="32"/>
      <x:c r="I27" s="32"/>
      <x:c r="J27" s="32"/>
      <x:c r="K27" s="32"/>
      <x:c r="L27" s="32"/>
      <x:c r="M27" s="32"/>
      <x:c r="N27" s="32"/>
      <x:c r="O27" s="32"/>
      <x:c r="P27" s="32"/>
      <x:c r="Q27" s="32"/>
      <x:c r="R27" s="32"/>
      <x:c r="S27" s="32"/>
      <x:c r="T27" s="32"/>
      <x:c r="U27" s="32"/>
      <x:c r="V27" s="32"/>
      <x:c r="W27" s="32"/>
      <x:c r="X27" s="32"/>
      <x:c r="Y27" s="32"/>
      <x:c r="Z27" s="32"/>
      <x:c r="AA27" s="32"/>
      <x:c r="AB27" s="32"/>
      <x:c r="AC27" s="32"/>
    </x:row>
    <x:row r="28">
      <x:c r="A28" s="32"/>
      <x:c r="B28" s="32"/>
      <x:c r="C28" s="32"/>
      <x:c r="D28" s="32"/>
      <x:c r="E28" s="32"/>
      <x:c r="F28" s="32"/>
      <x:c r="G28" s="32"/>
      <x:c r="H28" s="32"/>
      <x:c r="I28" s="32"/>
      <x:c r="J28" s="32"/>
      <x:c r="K28" s="32"/>
      <x:c r="L28" s="32"/>
      <x:c r="M28" s="32"/>
      <x:c r="N28" s="32"/>
      <x:c r="O28" s="32"/>
      <x:c r="P28" s="32"/>
      <x:c r="Q28" s="32"/>
      <x:c r="R28" s="32"/>
      <x:c r="S28" s="32"/>
      <x:c r="T28" s="32"/>
      <x:c r="U28" s="32"/>
      <x:c r="V28" s="32"/>
      <x:c r="W28" s="32"/>
      <x:c r="X28" s="32"/>
      <x:c r="Y28" s="32"/>
      <x:c r="Z28" s="32"/>
      <x:c r="AA28" s="32"/>
      <x:c r="AB28" s="32"/>
      <x:c r="AC28" s="32"/>
    </x:row>
    <x:row r="29">
      <x:c r="A29" s="32"/>
      <x:c r="B29" s="32"/>
      <x:c r="C29" s="32"/>
      <x:c r="D29" s="32"/>
      <x:c r="E29" s="32"/>
      <x:c r="F29" s="32"/>
      <x:c r="G29" s="32"/>
      <x:c r="H29" s="32"/>
      <x:c r="I29" s="32"/>
      <x:c r="J29" s="32"/>
      <x:c r="K29" s="32"/>
      <x:c r="L29" s="32"/>
      <x:c r="M29" s="32"/>
      <x:c r="N29" s="32"/>
      <x:c r="O29" s="32"/>
      <x:c r="P29" s="32"/>
      <x:c r="Q29" s="32"/>
      <x:c r="R29" s="32"/>
      <x:c r="S29" s="32"/>
      <x:c r="T29" s="32"/>
      <x:c r="U29" s="32"/>
      <x:c r="V29" s="32"/>
      <x:c r="W29" s="32"/>
      <x:c r="X29" s="32"/>
      <x:c r="Y29" s="32"/>
      <x:c r="Z29" s="32"/>
      <x:c r="AA29" s="32"/>
      <x:c r="AB29" s="32"/>
      <x:c r="AC29" s="32"/>
    </x:row>
    <x:row r="30">
      <x:c r="A30" s="32"/>
      <x:c r="B30" s="32"/>
      <x:c r="C30" s="32"/>
      <x:c r="D30" s="32"/>
      <x:c r="E30" s="32"/>
      <x:c r="F30" s="32"/>
      <x:c r="G30" s="32"/>
      <x:c r="H30" s="32"/>
      <x:c r="I30" s="32"/>
      <x:c r="J30" s="32"/>
      <x:c r="K30" s="32"/>
      <x:c r="L30" s="32"/>
      <x:c r="M30" s="32"/>
      <x:c r="N30" s="32"/>
      <x:c r="O30" s="32"/>
      <x:c r="P30" s="32"/>
      <x:c r="Q30" s="32"/>
      <x:c r="R30" s="32"/>
      <x:c r="S30" s="32"/>
      <x:c r="T30" s="32"/>
      <x:c r="U30" s="32"/>
      <x:c r="V30" s="32"/>
      <x:c r="W30" s="32"/>
      <x:c r="X30" s="32"/>
      <x:c r="Y30" s="32"/>
      <x:c r="Z30" s="32"/>
      <x:c r="AA30" s="32"/>
      <x:c r="AB30" s="32"/>
      <x:c r="AC30" s="32"/>
    </x:row>
    <x:row r="31">
      <x:c r="A31" s="32"/>
      <x:c r="B31" s="32"/>
      <x:c r="C31" s="32"/>
      <x:c r="D31" s="32"/>
      <x:c r="E31" s="32"/>
      <x:c r="F31" s="32"/>
      <x:c r="G31" s="32"/>
      <x:c r="H31" s="32"/>
      <x:c r="I31" s="32"/>
      <x:c r="J31" s="32"/>
      <x:c r="K31" s="32"/>
      <x:c r="L31" s="32"/>
      <x:c r="M31" s="32"/>
      <x:c r="N31" s="32"/>
      <x:c r="O31" s="32"/>
      <x:c r="P31" s="32"/>
      <x:c r="Q31" s="32"/>
      <x:c r="R31" s="32"/>
      <x:c r="S31" s="32"/>
      <x:c r="T31" s="32"/>
      <x:c r="U31" s="32"/>
      <x:c r="V31" s="32"/>
      <x:c r="W31" s="32"/>
      <x:c r="X31" s="32"/>
      <x:c r="Y31" s="32"/>
      <x:c r="Z31" s="32"/>
      <x:c r="AA31" s="32"/>
      <x:c r="AB31" s="32"/>
      <x:c r="AC31" s="32"/>
    </x:row>
    <x:row r="32">
      <x:c r="A32" s="32"/>
      <x:c r="B32" s="32"/>
      <x:c r="C32" s="32"/>
      <x:c r="D32" s="32"/>
      <x:c r="E32" s="32"/>
      <x:c r="F32" s="32"/>
      <x:c r="G32" s="32"/>
      <x:c r="H32" s="32"/>
      <x:c r="I32" s="32"/>
      <x:c r="J32" s="32"/>
      <x:c r="K32" s="32"/>
      <x:c r="L32" s="32"/>
      <x:c r="M32" s="32"/>
      <x:c r="N32" s="32"/>
      <x:c r="O32" s="32"/>
      <x:c r="P32" s="32"/>
      <x:c r="Q32" s="32"/>
      <x:c r="R32" s="32"/>
      <x:c r="S32" s="32"/>
      <x:c r="T32" s="32"/>
      <x:c r="U32" s="32"/>
      <x:c r="V32" s="32"/>
      <x:c r="W32" s="32"/>
      <x:c r="X32" s="32"/>
      <x:c r="Y32" s="32"/>
      <x:c r="Z32" s="32"/>
      <x:c r="AA32" s="32"/>
      <x:c r="AB32" s="32"/>
      <x:c r="AC32" s="32"/>
    </x:row>
    <x:row r="33">
      <x:c r="A33" s="32"/>
      <x:c r="B33" s="32"/>
      <x:c r="C33" s="32"/>
      <x:c r="D33" s="32"/>
      <x:c r="E33" s="32"/>
      <x:c r="F33" s="32"/>
      <x:c r="G33" s="32"/>
      <x:c r="H33" s="32"/>
      <x:c r="I33" s="32"/>
      <x:c r="J33" s="32"/>
      <x:c r="K33" s="32"/>
      <x:c r="L33" s="32"/>
      <x:c r="M33" s="32"/>
      <x:c r="N33" s="32"/>
      <x:c r="O33" s="32"/>
      <x:c r="P33" s="32"/>
      <x:c r="Q33" s="32"/>
      <x:c r="R33" s="32"/>
      <x:c r="S33" s="32"/>
      <x:c r="T33" s="32"/>
      <x:c r="U33" s="32"/>
      <x:c r="V33" s="32"/>
      <x:c r="W33" s="32"/>
      <x:c r="X33" s="32"/>
      <x:c r="Y33" s="32"/>
      <x:c r="Z33" s="32"/>
      <x:c r="AA33" s="32"/>
      <x:c r="AB33" s="32"/>
      <x:c r="AC33" s="32"/>
    </x:row>
    <x:row r="34">
      <x:c r="A34" s="32"/>
      <x:c r="B34" s="32"/>
      <x:c r="C34" s="32"/>
      <x:c r="D34" s="32"/>
      <x:c r="E34" s="32"/>
      <x:c r="F34" s="32"/>
      <x:c r="G34" s="32"/>
      <x:c r="H34" s="32"/>
      <x:c r="I34" s="32"/>
      <x:c r="J34" s="32"/>
      <x:c r="K34" s="32"/>
      <x:c r="L34" s="32"/>
      <x:c r="M34" s="32"/>
      <x:c r="N34" s="32"/>
      <x:c r="O34" s="32"/>
      <x:c r="P34" s="32"/>
      <x:c r="Q34" s="32"/>
      <x:c r="R34" s="32"/>
      <x:c r="S34" s="32"/>
      <x:c r="T34" s="32"/>
      <x:c r="U34" s="32"/>
      <x:c r="V34" s="32"/>
      <x:c r="W34" s="32"/>
      <x:c r="X34" s="32"/>
      <x:c r="Y34" s="32"/>
      <x:c r="Z34" s="32"/>
      <x:c r="AA34" s="32"/>
      <x:c r="AB34" s="32"/>
      <x:c r="AC34" s="32"/>
    </x:row>
    <x:row r="35">
      <x:c r="A35" s="32"/>
      <x:c r="B35" s="32"/>
      <x:c r="C35" s="32"/>
      <x:c r="D35" s="32"/>
      <x:c r="E35" s="32"/>
      <x:c r="F35" s="32"/>
      <x:c r="G35" s="32"/>
      <x:c r="H35" s="32"/>
      <x:c r="I35" s="32"/>
      <x:c r="J35" s="32"/>
      <x:c r="K35" s="32"/>
      <x:c r="L35" s="32"/>
      <x:c r="M35" s="32"/>
      <x:c r="N35" s="32"/>
      <x:c r="O35" s="32"/>
      <x:c r="P35" s="32"/>
      <x:c r="Q35" s="32"/>
      <x:c r="R35" s="32"/>
      <x:c r="S35" s="32"/>
      <x:c r="T35" s="32"/>
      <x:c r="U35" s="32"/>
      <x:c r="V35" s="32"/>
      <x:c r="W35" s="32"/>
      <x:c r="X35" s="32"/>
      <x:c r="Y35" s="32"/>
      <x:c r="Z35" s="32"/>
      <x:c r="AA35" s="32"/>
      <x:c r="AB35" s="32"/>
      <x:c r="AC35" s="32"/>
    </x:row>
    <x:row r="36">
      <x:c r="A36" s="32"/>
      <x:c r="B36" s="32"/>
      <x:c r="C36" s="32"/>
      <x:c r="D36" s="32"/>
      <x:c r="E36" s="32"/>
      <x:c r="F36" s="32"/>
      <x:c r="G36" s="32"/>
      <x:c r="H36" s="32"/>
      <x:c r="I36" s="32"/>
      <x:c r="J36" s="32"/>
      <x:c r="K36" s="32"/>
      <x:c r="L36" s="32"/>
      <x:c r="M36" s="32"/>
      <x:c r="N36" s="32"/>
      <x:c r="O36" s="32"/>
      <x:c r="P36" s="32"/>
      <x:c r="Q36" s="32"/>
      <x:c r="R36" s="32"/>
      <x:c r="S36" s="32"/>
      <x:c r="T36" s="32"/>
      <x:c r="U36" s="32"/>
      <x:c r="V36" s="32"/>
      <x:c r="W36" s="32"/>
      <x:c r="X36" s="32"/>
      <x:c r="Y36" s="32"/>
      <x:c r="Z36" s="32"/>
      <x:c r="AA36" s="32"/>
      <x:c r="AB36" s="32"/>
      <x:c r="AC36" s="32"/>
    </x:row>
    <x:row r="37">
      <x:c r="A37" s="32"/>
      <x:c r="B37" s="32"/>
      <x:c r="C37" s="32"/>
      <x:c r="D37" s="32"/>
      <x:c r="E37" s="32"/>
      <x:c r="F37" s="32"/>
      <x:c r="G37" s="32"/>
      <x:c r="H37" s="32"/>
      <x:c r="I37" s="32"/>
      <x:c r="J37" s="32"/>
      <x:c r="K37" s="32"/>
      <x:c r="L37" s="32"/>
      <x:c r="M37" s="32"/>
      <x:c r="N37" s="32"/>
      <x:c r="O37" s="32"/>
      <x:c r="P37" s="32"/>
      <x:c r="Q37" s="32"/>
      <x:c r="R37" s="32"/>
      <x:c r="S37" s="32"/>
      <x:c r="T37" s="32"/>
      <x:c r="U37" s="32"/>
      <x:c r="V37" s="32"/>
      <x:c r="W37" s="32"/>
      <x:c r="X37" s="32"/>
      <x:c r="Y37" s="32"/>
      <x:c r="Z37" s="32"/>
      <x:c r="AA37" s="32"/>
      <x:c r="AB37" s="32"/>
      <x:c r="AC37" s="32"/>
    </x:row>
    <x:row r="38">
      <x:c r="A38" s="32"/>
      <x:c r="B38" s="32"/>
      <x:c r="C38" s="32"/>
      <x:c r="D38" s="32"/>
      <x:c r="E38" s="32"/>
      <x:c r="F38" s="32"/>
      <x:c r="G38" s="32"/>
      <x:c r="H38" s="32"/>
      <x:c r="I38" s="32"/>
      <x:c r="J38" s="32"/>
      <x:c r="K38" s="32"/>
      <x:c r="L38" s="32"/>
      <x:c r="M38" s="32"/>
      <x:c r="N38" s="32"/>
      <x:c r="O38" s="32"/>
      <x:c r="P38" s="32"/>
      <x:c r="Q38" s="32"/>
      <x:c r="R38" s="32"/>
      <x:c r="S38" s="32"/>
      <x:c r="T38" s="32"/>
      <x:c r="U38" s="32"/>
      <x:c r="V38" s="32"/>
      <x:c r="W38" s="32"/>
      <x:c r="X38" s="32"/>
      <x:c r="Y38" s="32"/>
      <x:c r="Z38" s="32"/>
      <x:c r="AA38" s="32"/>
      <x:c r="AB38" s="32"/>
      <x:c r="AC38" s="32"/>
    </x:row>
    <x:row r="39">
      <x:c r="A39" s="32"/>
      <x:c r="B39" s="32"/>
      <x:c r="C39" s="32"/>
      <x:c r="D39" s="32"/>
      <x:c r="E39" s="32"/>
      <x:c r="F39" s="32"/>
      <x:c r="G39" s="32"/>
      <x:c r="H39" s="32"/>
      <x:c r="I39" s="32"/>
      <x:c r="J39" s="32"/>
      <x:c r="K39" s="32"/>
      <x:c r="L39" s="32"/>
      <x:c r="M39" s="32"/>
      <x:c r="N39" s="32"/>
      <x:c r="O39" s="32"/>
      <x:c r="P39" s="32"/>
      <x:c r="Q39" s="32"/>
      <x:c r="R39" s="32"/>
      <x:c r="S39" s="32"/>
      <x:c r="T39" s="32"/>
      <x:c r="U39" s="32"/>
      <x:c r="V39" s="32"/>
      <x:c r="W39" s="32"/>
      <x:c r="X39" s="32"/>
      <x:c r="Y39" s="32"/>
      <x:c r="Z39" s="32"/>
      <x:c r="AA39" s="32"/>
      <x:c r="AB39" s="32"/>
      <x:c r="AC39" s="32"/>
    </x:row>
    <x:row r="40">
      <x:c r="A40" s="32"/>
      <x:c r="B40" s="32"/>
      <x:c r="C40" s="32"/>
      <x:c r="D40" s="32"/>
      <x:c r="E40" s="32"/>
      <x:c r="F40" s="32"/>
      <x:c r="G40" s="32"/>
      <x:c r="H40" s="32"/>
      <x:c r="I40" s="32"/>
      <x:c r="J40" s="32"/>
      <x:c r="K40" s="32"/>
      <x:c r="L40" s="32"/>
      <x:c r="M40" s="32"/>
      <x:c r="N40" s="32"/>
      <x:c r="O40" s="32"/>
      <x:c r="P40" s="32"/>
      <x:c r="Q40" s="32"/>
      <x:c r="R40" s="32"/>
      <x:c r="S40" s="32"/>
      <x:c r="T40" s="32"/>
      <x:c r="U40" s="32"/>
      <x:c r="V40" s="32"/>
      <x:c r="W40" s="32"/>
      <x:c r="X40" s="32"/>
      <x:c r="Y40" s="32"/>
      <x:c r="Z40" s="32"/>
      <x:c r="AA40" s="32"/>
      <x:c r="AB40" s="32"/>
      <x:c r="AC40" s="32"/>
    </x:row>
    <x:row r="41">
      <x:c r="A41" s="32"/>
      <x:c r="B41" s="32"/>
      <x:c r="C41" s="32"/>
      <x:c r="D41" s="32"/>
      <x:c r="E41" s="32"/>
      <x:c r="F41" s="32"/>
      <x:c r="G41" s="32"/>
      <x:c r="H41" s="32"/>
      <x:c r="I41" s="32"/>
      <x:c r="J41" s="32"/>
      <x:c r="K41" s="32"/>
      <x:c r="L41" s="32"/>
      <x:c r="M41" s="32"/>
      <x:c r="N41" s="32"/>
      <x:c r="O41" s="32"/>
      <x:c r="P41" s="32"/>
      <x:c r="Q41" s="32"/>
      <x:c r="R41" s="32"/>
      <x:c r="S41" s="32"/>
      <x:c r="T41" s="32"/>
      <x:c r="U41" s="32"/>
      <x:c r="V41" s="32"/>
      <x:c r="W41" s="32"/>
      <x:c r="X41" s="32"/>
      <x:c r="Y41" s="32"/>
      <x:c r="Z41" s="32"/>
      <x:c r="AA41" s="32"/>
      <x:c r="AB41" s="32"/>
      <x:c r="AC41" s="32"/>
    </x:row>
    <x:row r="42">
      <x:c r="A42" s="32"/>
      <x:c r="B42" s="32"/>
      <x:c r="C42" s="32"/>
      <x:c r="D42" s="32"/>
      <x:c r="E42" s="32"/>
      <x:c r="F42" s="32"/>
      <x:c r="G42" s="32"/>
      <x:c r="H42" s="32"/>
      <x:c r="I42" s="32"/>
      <x:c r="J42" s="32"/>
      <x:c r="K42" s="32"/>
      <x:c r="L42" s="32"/>
      <x:c r="M42" s="32"/>
      <x:c r="N42" s="32"/>
      <x:c r="O42" s="32"/>
      <x:c r="P42" s="32"/>
      <x:c r="Q42" s="32"/>
      <x:c r="R42" s="32"/>
      <x:c r="S42" s="32"/>
      <x:c r="T42" s="32"/>
      <x:c r="U42" s="32"/>
      <x:c r="V42" s="32"/>
      <x:c r="W42" s="32"/>
      <x:c r="X42" s="32"/>
      <x:c r="Y42" s="32"/>
      <x:c r="Z42" s="32"/>
      <x:c r="AA42" s="32"/>
      <x:c r="AB42" s="32"/>
      <x:c r="AC42" s="32"/>
    </x:row>
    <x:row r="43">
      <x:c r="A43" s="32"/>
      <x:c r="B43" s="32"/>
      <x:c r="C43" s="32"/>
      <x:c r="D43" s="32"/>
      <x:c r="E43" s="32"/>
      <x:c r="F43" s="32"/>
      <x:c r="G43" s="32"/>
      <x:c r="H43" s="32"/>
      <x:c r="I43" s="32"/>
      <x:c r="J43" s="32"/>
      <x:c r="K43" s="32"/>
      <x:c r="L43" s="32"/>
      <x:c r="M43" s="32"/>
      <x:c r="N43" s="32"/>
      <x:c r="O43" s="32"/>
      <x:c r="P43" s="32"/>
      <x:c r="Q43" s="32"/>
      <x:c r="R43" s="32"/>
      <x:c r="S43" s="32"/>
      <x:c r="T43" s="32"/>
      <x:c r="U43" s="32"/>
      <x:c r="V43" s="32"/>
      <x:c r="W43" s="32"/>
      <x:c r="X43" s="32"/>
      <x:c r="Y43" s="32"/>
      <x:c r="Z43" s="32"/>
      <x:c r="AA43" s="32"/>
      <x:c r="AB43" s="32"/>
      <x:c r="AC43" s="32"/>
    </x:row>
    <x:row r="44">
      <x:c r="A44" s="32"/>
      <x:c r="B44" s="32"/>
      <x:c r="C44" s="32"/>
      <x:c r="D44" s="32"/>
      <x:c r="E44" s="32"/>
      <x:c r="F44" s="32"/>
      <x:c r="G44" s="32"/>
      <x:c r="H44" s="32"/>
      <x:c r="I44" s="32"/>
      <x:c r="J44" s="32"/>
      <x:c r="K44" s="32"/>
      <x:c r="L44" s="32"/>
      <x:c r="M44" s="32"/>
      <x:c r="N44" s="32"/>
      <x:c r="O44" s="32"/>
      <x:c r="P44" s="32"/>
      <x:c r="Q44" s="32"/>
      <x:c r="R44" s="32"/>
      <x:c r="S44" s="32"/>
      <x:c r="T44" s="32"/>
      <x:c r="U44" s="32"/>
      <x:c r="V44" s="32"/>
      <x:c r="W44" s="32"/>
      <x:c r="X44" s="32"/>
      <x:c r="Y44" s="32"/>
      <x:c r="Z44" s="32"/>
      <x:c r="AA44" s="32"/>
      <x:c r="AB44" s="32"/>
      <x:c r="AC44" s="32"/>
    </x:row>
    <x:row r="45">
      <x:c r="A45" s="32"/>
      <x:c r="B45" s="32"/>
      <x:c r="C45" s="32"/>
      <x:c r="D45" s="32"/>
      <x:c r="E45" s="32"/>
      <x:c r="F45" s="32"/>
      <x:c r="G45" s="32"/>
      <x:c r="H45" s="32"/>
      <x:c r="I45" s="32"/>
      <x:c r="J45" s="32"/>
      <x:c r="K45" s="32"/>
      <x:c r="L45" s="32"/>
      <x:c r="M45" s="32"/>
      <x:c r="N45" s="32"/>
      <x:c r="O45" s="32"/>
      <x:c r="P45" s="32"/>
      <x:c r="Q45" s="32"/>
      <x:c r="R45" s="32"/>
      <x:c r="S45" s="32"/>
      <x:c r="T45" s="32"/>
      <x:c r="U45" s="32"/>
      <x:c r="V45" s="32"/>
      <x:c r="W45" s="32"/>
      <x:c r="X45" s="32"/>
      <x:c r="Y45" s="32"/>
      <x:c r="Z45" s="32"/>
      <x:c r="AA45" s="32"/>
      <x:c r="AB45" s="32"/>
      <x:c r="AC45" s="32"/>
    </x:row>
    <x:row r="46">
      <x:c r="A46" s="32"/>
      <x:c r="B46" s="32"/>
      <x:c r="C46" s="32"/>
      <x:c r="D46" s="32"/>
      <x:c r="E46" s="32"/>
      <x:c r="F46" s="32"/>
      <x:c r="G46" s="32"/>
      <x:c r="H46" s="32"/>
      <x:c r="I46" s="32"/>
      <x:c r="J46" s="32"/>
      <x:c r="K46" s="32"/>
      <x:c r="L46" s="32"/>
      <x:c r="M46" s="32"/>
      <x:c r="N46" s="32"/>
      <x:c r="O46" s="32"/>
      <x:c r="P46" s="32"/>
      <x:c r="Q46" s="32"/>
      <x:c r="R46" s="32"/>
      <x:c r="S46" s="32"/>
      <x:c r="T46" s="32"/>
      <x:c r="U46" s="32"/>
      <x:c r="V46" s="32"/>
      <x:c r="W46" s="32"/>
      <x:c r="X46" s="32"/>
      <x:c r="Y46" s="32"/>
      <x:c r="Z46" s="32"/>
      <x:c r="AA46" s="32"/>
      <x:c r="AB46" s="32"/>
      <x:c r="AC46" s="32"/>
    </x:row>
    <x:row r="47">
      <x:c r="A47" s="32"/>
      <x:c r="B47" s="32"/>
      <x:c r="C47" s="32"/>
      <x:c r="D47" s="32"/>
      <x:c r="E47" s="32"/>
      <x:c r="F47" s="32"/>
      <x:c r="G47" s="32"/>
      <x:c r="H47" s="32"/>
      <x:c r="I47" s="32"/>
      <x:c r="J47" s="32"/>
      <x:c r="K47" s="32"/>
      <x:c r="L47" s="32"/>
      <x:c r="M47" s="32"/>
      <x:c r="N47" s="32"/>
      <x:c r="O47" s="32"/>
      <x:c r="P47" s="32"/>
      <x:c r="Q47" s="32"/>
      <x:c r="R47" s="32"/>
      <x:c r="S47" s="32"/>
      <x:c r="T47" s="32"/>
      <x:c r="U47" s="32"/>
      <x:c r="V47" s="32"/>
      <x:c r="W47" s="32"/>
      <x:c r="X47" s="32"/>
      <x:c r="Y47" s="32"/>
      <x:c r="Z47" s="32"/>
      <x:c r="AA47" s="32"/>
      <x:c r="AB47" s="32"/>
      <x:c r="AC47" s="32"/>
    </x:row>
    <x:row r="48">
      <x:c r="A48" s="32"/>
      <x:c r="B48" s="32"/>
      <x:c r="C48" s="32"/>
      <x:c r="D48" s="32"/>
      <x:c r="E48" s="32"/>
      <x:c r="F48" s="32"/>
      <x:c r="G48" s="32"/>
      <x:c r="H48" s="32"/>
      <x:c r="I48" s="32"/>
      <x:c r="J48" s="32"/>
      <x:c r="K48" s="32"/>
      <x:c r="L48" s="32"/>
      <x:c r="M48" s="32"/>
      <x:c r="N48" s="32"/>
      <x:c r="O48" s="32"/>
      <x:c r="P48" s="32"/>
      <x:c r="Q48" s="32"/>
      <x:c r="R48" s="32"/>
      <x:c r="S48" s="32"/>
      <x:c r="T48" s="32"/>
      <x:c r="U48" s="32"/>
      <x:c r="V48" s="32"/>
      <x:c r="W48" s="32"/>
      <x:c r="X48" s="32"/>
      <x:c r="Y48" s="32"/>
      <x:c r="Z48" s="32"/>
      <x:c r="AA48" s="32"/>
      <x:c r="AB48" s="32"/>
      <x:c r="AC48" s="32"/>
    </x:row>
    <x:row r="49">
      <x:c r="A49" s="32"/>
      <x:c r="B49" s="32"/>
      <x:c r="C49" s="32"/>
      <x:c r="D49" s="32"/>
      <x:c r="E49" s="32"/>
      <x:c r="F49" s="32"/>
      <x:c r="G49" s="32"/>
      <x:c r="H49" s="32"/>
      <x:c r="I49" s="32"/>
      <x:c r="J49" s="32"/>
      <x:c r="K49" s="32"/>
      <x:c r="L49" s="32"/>
      <x:c r="M49" s="32"/>
      <x:c r="N49" s="32"/>
      <x:c r="O49" s="32"/>
      <x:c r="P49" s="32"/>
      <x:c r="Q49" s="32"/>
      <x:c r="R49" s="32"/>
      <x:c r="S49" s="32"/>
      <x:c r="T49" s="32"/>
      <x:c r="U49" s="32"/>
      <x:c r="V49" s="32"/>
      <x:c r="W49" s="32"/>
      <x:c r="X49" s="32"/>
      <x:c r="Y49" s="32"/>
      <x:c r="Z49" s="32"/>
      <x:c r="AA49" s="32"/>
      <x:c r="AB49" s="32"/>
      <x:c r="AC49" s="32"/>
    </x:row>
    <x:row r="50">
      <x:c r="A50" s="32"/>
      <x:c r="B50" s="32"/>
      <x:c r="C50" s="32"/>
      <x:c r="D50" s="32"/>
      <x:c r="E50" s="32"/>
      <x:c r="F50" s="32"/>
      <x:c r="G50" s="32"/>
      <x:c r="H50" s="32"/>
      <x:c r="I50" s="32"/>
      <x:c r="J50" s="32"/>
      <x:c r="K50" s="32"/>
      <x:c r="L50" s="32"/>
      <x:c r="M50" s="32"/>
      <x:c r="N50" s="32"/>
      <x:c r="O50" s="32"/>
      <x:c r="P50" s="32"/>
      <x:c r="Q50" s="32"/>
      <x:c r="R50" s="32"/>
      <x:c r="S50" s="32"/>
      <x:c r="T50" s="32"/>
      <x:c r="U50" s="32"/>
      <x:c r="V50" s="32"/>
      <x:c r="W50" s="32"/>
      <x:c r="X50" s="32"/>
      <x:c r="Y50" s="32"/>
      <x:c r="Z50" s="32"/>
      <x:c r="AA50" s="32"/>
      <x:c r="AB50" s="32"/>
      <x:c r="AC50" s="32"/>
    </x:row>
    <x:row r="51">
      <x:c r="A51" s="32"/>
      <x:c r="B51" s="32"/>
      <x:c r="C51" s="32"/>
      <x:c r="D51" s="32"/>
      <x:c r="E51" s="32"/>
      <x:c r="F51" s="32"/>
      <x:c r="G51" s="32"/>
      <x:c r="H51" s="32"/>
      <x:c r="I51" s="32"/>
      <x:c r="J51" s="32"/>
      <x:c r="K51" s="32"/>
      <x:c r="L51" s="32"/>
      <x:c r="M51" s="32"/>
      <x:c r="N51" s="32"/>
      <x:c r="O51" s="32"/>
      <x:c r="P51" s="32"/>
      <x:c r="Q51" s="32"/>
      <x:c r="R51" s="32"/>
      <x:c r="S51" s="32"/>
      <x:c r="T51" s="32"/>
      <x:c r="U51" s="32"/>
      <x:c r="V51" s="32"/>
      <x:c r="W51" s="32"/>
      <x:c r="X51" s="32"/>
      <x:c r="Y51" s="32"/>
      <x:c r="Z51" s="32"/>
      <x:c r="AA51" s="32"/>
      <x:c r="AB51" s="32"/>
      <x:c r="AC51" s="32"/>
    </x:row>
    <x:row r="52">
      <x:c r="A52" s="32"/>
      <x:c r="B52" s="32"/>
      <x:c r="C52" s="32"/>
      <x:c r="D52" s="32"/>
      <x:c r="E52" s="32"/>
      <x:c r="F52" s="32"/>
      <x:c r="G52" s="32"/>
      <x:c r="H52" s="32"/>
      <x:c r="I52" s="32"/>
      <x:c r="J52" s="32"/>
      <x:c r="K52" s="32"/>
      <x:c r="L52" s="32"/>
      <x:c r="M52" s="32"/>
      <x:c r="N52" s="32"/>
      <x:c r="O52" s="32"/>
      <x:c r="P52" s="32"/>
      <x:c r="Q52" s="32"/>
      <x:c r="R52" s="32"/>
      <x:c r="S52" s="32"/>
      <x:c r="T52" s="32"/>
      <x:c r="U52" s="32"/>
      <x:c r="V52" s="32"/>
      <x:c r="W52" s="32"/>
      <x:c r="X52" s="32"/>
      <x:c r="Y52" s="32"/>
      <x:c r="Z52" s="32"/>
      <x:c r="AA52" s="32"/>
      <x:c r="AB52" s="32"/>
      <x:c r="AC52" s="32"/>
    </x:row>
    <x:row r="53">
      <x:c r="A53" s="32"/>
      <x:c r="B53" s="32"/>
      <x:c r="C53" s="32"/>
      <x:c r="D53" s="32"/>
      <x:c r="E53" s="32"/>
      <x:c r="F53" s="32"/>
      <x:c r="G53" s="32"/>
      <x:c r="H53" s="32"/>
      <x:c r="I53" s="32"/>
      <x:c r="J53" s="32"/>
      <x:c r="K53" s="32"/>
      <x:c r="L53" s="32"/>
      <x:c r="M53" s="32"/>
      <x:c r="N53" s="32"/>
      <x:c r="O53" s="32"/>
      <x:c r="P53" s="32"/>
      <x:c r="Q53" s="32"/>
      <x:c r="R53" s="32"/>
      <x:c r="S53" s="32"/>
      <x:c r="T53" s="32"/>
      <x:c r="U53" s="32"/>
      <x:c r="V53" s="32"/>
      <x:c r="W53" s="32"/>
      <x:c r="X53" s="32"/>
      <x:c r="Y53" s="32"/>
      <x:c r="Z53" s="32"/>
      <x:c r="AA53" s="32"/>
      <x:c r="AB53" s="32"/>
      <x:c r="AC53" s="32"/>
    </x:row>
    <x:row r="54">
      <x:c r="A54" s="32"/>
      <x:c r="B54" s="32"/>
      <x:c r="C54" s="32"/>
      <x:c r="D54" s="32"/>
      <x:c r="E54" s="32"/>
      <x:c r="F54" s="32"/>
      <x:c r="G54" s="32"/>
      <x:c r="H54" s="32"/>
      <x:c r="I54" s="32"/>
      <x:c r="J54" s="32"/>
      <x:c r="K54" s="32"/>
      <x:c r="L54" s="32"/>
      <x:c r="M54" s="32"/>
      <x:c r="N54" s="32"/>
      <x:c r="O54" s="32"/>
      <x:c r="P54" s="32"/>
      <x:c r="Q54" s="32"/>
      <x:c r="R54" s="32"/>
      <x:c r="S54" s="32"/>
      <x:c r="T54" s="32"/>
      <x:c r="U54" s="32"/>
      <x:c r="V54" s="32"/>
      <x:c r="W54" s="32"/>
      <x:c r="X54" s="32"/>
      <x:c r="Y54" s="32"/>
      <x:c r="Z54" s="32"/>
      <x:c r="AA54" s="32"/>
      <x:c r="AB54" s="32"/>
      <x:c r="AC54" s="32"/>
    </x:row>
    <x:row r="55">
      <x:c r="A55" s="32"/>
      <x:c r="B55" s="32"/>
      <x:c r="C55" s="32"/>
      <x:c r="D55" s="32"/>
      <x:c r="E55" s="32"/>
      <x:c r="F55" s="32"/>
      <x:c r="G55" s="32"/>
      <x:c r="H55" s="32"/>
      <x:c r="I55" s="32"/>
      <x:c r="J55" s="32"/>
      <x:c r="K55" s="32"/>
      <x:c r="L55" s="32"/>
      <x:c r="M55" s="32"/>
      <x:c r="N55" s="32"/>
      <x:c r="O55" s="32"/>
      <x:c r="P55" s="32"/>
      <x:c r="Q55" s="32"/>
      <x:c r="R55" s="32"/>
      <x:c r="S55" s="32"/>
      <x:c r="T55" s="32"/>
      <x:c r="U55" s="32"/>
      <x:c r="V55" s="32"/>
      <x:c r="W55" s="32"/>
      <x:c r="X55" s="32"/>
      <x:c r="Y55" s="32"/>
      <x:c r="Z55" s="32"/>
      <x:c r="AA55" s="32"/>
      <x:c r="AB55" s="32"/>
      <x:c r="AC55" s="32"/>
    </x:row>
    <x:row r="56">
      <x:c r="A56" s="32"/>
      <x:c r="B56" s="32"/>
      <x:c r="C56" s="32"/>
      <x:c r="D56" s="32"/>
      <x:c r="E56" s="32"/>
      <x:c r="F56" s="32"/>
      <x:c r="G56" s="32"/>
      <x:c r="H56" s="32"/>
      <x:c r="I56" s="32"/>
      <x:c r="J56" s="32"/>
      <x:c r="K56" s="32"/>
      <x:c r="L56" s="32"/>
      <x:c r="M56" s="32"/>
      <x:c r="N56" s="32"/>
      <x:c r="O56" s="32"/>
      <x:c r="P56" s="32"/>
      <x:c r="Q56" s="32"/>
      <x:c r="R56" s="32"/>
      <x:c r="S56" s="32"/>
      <x:c r="T56" s="32"/>
      <x:c r="U56" s="32"/>
      <x:c r="V56" s="32"/>
      <x:c r="W56" s="32"/>
      <x:c r="X56" s="32"/>
      <x:c r="Y56" s="32"/>
      <x:c r="Z56" s="32"/>
      <x:c r="AA56" s="32"/>
      <x:c r="AB56" s="32"/>
      <x:c r="AC56" s="32"/>
    </x:row>
    <x:row r="57">
      <x:c r="A57" s="32"/>
      <x:c r="B57" s="32"/>
      <x:c r="C57" s="32"/>
      <x:c r="D57" s="32"/>
      <x:c r="E57" s="32"/>
      <x:c r="F57" s="32"/>
      <x:c r="G57" s="32"/>
      <x:c r="H57" s="32"/>
      <x:c r="I57" s="32"/>
      <x:c r="J57" s="32"/>
      <x:c r="K57" s="32"/>
      <x:c r="L57" s="32"/>
      <x:c r="M57" s="32"/>
      <x:c r="N57" s="32"/>
      <x:c r="O57" s="32"/>
      <x:c r="P57" s="32"/>
      <x:c r="Q57" s="32"/>
      <x:c r="R57" s="32"/>
      <x:c r="S57" s="32"/>
      <x:c r="T57" s="32"/>
      <x:c r="U57" s="32"/>
      <x:c r="V57" s="32"/>
      <x:c r="W57" s="32"/>
      <x:c r="X57" s="32"/>
      <x:c r="Y57" s="32"/>
      <x:c r="Z57" s="32"/>
      <x:c r="AA57" s="32"/>
      <x:c r="AB57" s="32"/>
      <x:c r="AC57" s="32"/>
    </x:row>
    <x:row r="58">
      <x:c r="A58" s="32"/>
      <x:c r="B58" s="32"/>
      <x:c r="C58" s="32"/>
      <x:c r="D58" s="32"/>
      <x:c r="E58" s="32"/>
      <x:c r="F58" s="32"/>
      <x:c r="G58" s="32"/>
      <x:c r="H58" s="32"/>
      <x:c r="I58" s="32"/>
      <x:c r="J58" s="32"/>
      <x:c r="K58" s="32"/>
      <x:c r="L58" s="32"/>
      <x:c r="M58" s="32"/>
      <x:c r="N58" s="32"/>
      <x:c r="O58" s="32"/>
      <x:c r="P58" s="32"/>
      <x:c r="Q58" s="32"/>
      <x:c r="R58" s="32"/>
      <x:c r="S58" s="32"/>
      <x:c r="T58" s="32"/>
      <x:c r="U58" s="32"/>
      <x:c r="V58" s="32"/>
      <x:c r="W58" s="32"/>
      <x:c r="X58" s="32"/>
      <x:c r="Y58" s="32"/>
      <x:c r="Z58" s="32"/>
      <x:c r="AA58" s="32"/>
      <x:c r="AB58" s="32"/>
      <x:c r="AC58" s="32"/>
    </x:row>
    <x:row r="59">
      <x:c r="A59" s="32"/>
      <x:c r="B59" s="32"/>
      <x:c r="C59" s="32"/>
      <x:c r="D59" s="32"/>
      <x:c r="E59" s="32"/>
      <x:c r="F59" s="32"/>
      <x:c r="G59" s="32"/>
      <x:c r="H59" s="32"/>
      <x:c r="I59" s="32"/>
      <x:c r="J59" s="32"/>
      <x:c r="K59" s="32"/>
      <x:c r="L59" s="32"/>
      <x:c r="M59" s="32"/>
      <x:c r="N59" s="32"/>
      <x:c r="O59" s="32"/>
      <x:c r="P59" s="32"/>
      <x:c r="Q59" s="32"/>
      <x:c r="R59" s="32"/>
      <x:c r="S59" s="32"/>
      <x:c r="T59" s="32"/>
      <x:c r="U59" s="32"/>
      <x:c r="V59" s="32"/>
      <x:c r="W59" s="32"/>
      <x:c r="X59" s="32"/>
      <x:c r="Y59" s="32"/>
      <x:c r="Z59" s="32"/>
      <x:c r="AA59" s="32"/>
      <x:c r="AB59" s="32"/>
      <x:c r="AC59" s="32"/>
    </x:row>
    <x:row r="60">
      <x:c r="A60" s="32"/>
      <x:c r="B60" s="32"/>
      <x:c r="C60" s="32"/>
      <x:c r="D60" s="32"/>
      <x:c r="E60" s="32"/>
      <x:c r="F60" s="32"/>
      <x:c r="G60" s="32"/>
      <x:c r="H60" s="32"/>
      <x:c r="I60" s="32"/>
      <x:c r="J60" s="32"/>
      <x:c r="K60" s="32"/>
      <x:c r="L60" s="32"/>
      <x:c r="M60" s="32"/>
      <x:c r="N60" s="32"/>
      <x:c r="O60" s="32"/>
      <x:c r="P60" s="32"/>
      <x:c r="Q60" s="32"/>
      <x:c r="R60" s="32"/>
      <x:c r="S60" s="32"/>
      <x:c r="T60" s="32"/>
      <x:c r="U60" s="32"/>
      <x:c r="V60" s="32"/>
      <x:c r="W60" s="32"/>
      <x:c r="X60" s="32"/>
      <x:c r="Y60" s="32"/>
      <x:c r="Z60" s="32"/>
      <x:c r="AA60" s="32"/>
      <x:c r="AB60" s="32"/>
      <x:c r="AC60" s="32"/>
    </x:row>
    <x:row r="61">
      <x:c r="A61" s="32"/>
      <x:c r="B61" s="32"/>
      <x:c r="C61" s="32"/>
      <x:c r="D61" s="32"/>
      <x:c r="E61" s="32"/>
      <x:c r="F61" s="32"/>
      <x:c r="G61" s="32"/>
      <x:c r="H61" s="32"/>
      <x:c r="I61" s="32"/>
      <x:c r="J61" s="32"/>
      <x:c r="K61" s="32"/>
      <x:c r="L61" s="32"/>
      <x:c r="M61" s="32"/>
      <x:c r="N61" s="32"/>
      <x:c r="O61" s="32"/>
      <x:c r="P61" s="32"/>
      <x:c r="Q61" s="32"/>
      <x:c r="R61" s="32"/>
      <x:c r="S61" s="32"/>
      <x:c r="T61" s="32"/>
      <x:c r="U61" s="32"/>
      <x:c r="V61" s="32"/>
      <x:c r="W61" s="32"/>
      <x:c r="X61" s="32"/>
      <x:c r="Y61" s="32"/>
      <x:c r="Z61" s="32"/>
      <x:c r="AA61" s="32"/>
      <x:c r="AB61" s="32"/>
      <x:c r="AC61" s="32"/>
    </x:row>
    <x:row r="62">
      <x:c r="A62" s="32"/>
      <x:c r="B62" s="32"/>
      <x:c r="C62" s="32"/>
      <x:c r="D62" s="32"/>
      <x:c r="E62" s="32"/>
      <x:c r="F62" s="32"/>
      <x:c r="G62" s="32"/>
      <x:c r="H62" s="32"/>
      <x:c r="I62" s="32"/>
      <x:c r="J62" s="32"/>
      <x:c r="K62" s="32"/>
      <x:c r="L62" s="32"/>
      <x:c r="M62" s="32"/>
      <x:c r="N62" s="32"/>
      <x:c r="O62" s="32"/>
      <x:c r="P62" s="32"/>
      <x:c r="Q62" s="32"/>
      <x:c r="R62" s="32"/>
      <x:c r="S62" s="32"/>
      <x:c r="T62" s="32"/>
      <x:c r="U62" s="32"/>
      <x:c r="V62" s="32"/>
      <x:c r="W62" s="32"/>
      <x:c r="X62" s="32"/>
      <x:c r="Y62" s="32"/>
      <x:c r="Z62" s="32"/>
      <x:c r="AA62" s="32"/>
      <x:c r="AB62" s="32"/>
      <x:c r="AC62" s="32"/>
    </x:row>
    <x:row r="63">
      <x:c r="A63" s="32"/>
      <x:c r="B63" s="32"/>
      <x:c r="C63" s="32"/>
      <x:c r="D63" s="32"/>
      <x:c r="E63" s="32"/>
      <x:c r="F63" s="32"/>
      <x:c r="G63" s="32"/>
      <x:c r="H63" s="32"/>
      <x:c r="I63" s="32"/>
      <x:c r="J63" s="32"/>
      <x:c r="K63" s="32"/>
      <x:c r="L63" s="32"/>
      <x:c r="M63" s="32"/>
      <x:c r="N63" s="32"/>
      <x:c r="O63" s="32"/>
      <x:c r="P63" s="32"/>
      <x:c r="Q63" s="32"/>
      <x:c r="R63" s="32"/>
      <x:c r="S63" s="32"/>
      <x:c r="T63" s="32"/>
      <x:c r="U63" s="32"/>
      <x:c r="V63" s="32"/>
      <x:c r="W63" s="32"/>
      <x:c r="X63" s="32"/>
      <x:c r="Y63" s="32"/>
      <x:c r="Z63" s="32"/>
      <x:c r="AA63" s="32"/>
      <x:c r="AB63" s="32"/>
      <x:c r="AC63" s="32"/>
    </x:row>
    <x:row r="64">
      <x:c r="A64" s="32"/>
      <x:c r="B64" s="32"/>
      <x:c r="C64" s="32"/>
      <x:c r="D64" s="32"/>
      <x:c r="E64" s="32"/>
      <x:c r="F64" s="32"/>
      <x:c r="G64" s="32"/>
      <x:c r="H64" s="32"/>
      <x:c r="I64" s="32"/>
      <x:c r="J64" s="32"/>
      <x:c r="K64" s="32"/>
      <x:c r="L64" s="32"/>
      <x:c r="M64" s="32"/>
      <x:c r="N64" s="32"/>
      <x:c r="O64" s="32"/>
      <x:c r="P64" s="32"/>
      <x:c r="Q64" s="32"/>
      <x:c r="R64" s="32"/>
      <x:c r="S64" s="32"/>
      <x:c r="T64" s="32"/>
      <x:c r="U64" s="32"/>
      <x:c r="V64" s="32"/>
      <x:c r="W64" s="32"/>
      <x:c r="X64" s="32"/>
      <x:c r="Y64" s="32"/>
      <x:c r="Z64" s="32"/>
      <x:c r="AA64" s="32"/>
      <x:c r="AB64" s="32"/>
      <x:c r="AC64" s="32"/>
    </x:row>
    <x:row r="65">
      <x:c r="A65" s="32"/>
      <x:c r="B65" s="32"/>
      <x:c r="C65" s="32"/>
      <x:c r="D65" s="32"/>
      <x:c r="E65" s="32"/>
      <x:c r="F65" s="32"/>
      <x:c r="G65" s="32"/>
      <x:c r="H65" s="32"/>
      <x:c r="I65" s="32"/>
      <x:c r="J65" s="32"/>
      <x:c r="K65" s="32"/>
      <x:c r="L65" s="32"/>
      <x:c r="M65" s="32"/>
      <x:c r="N65" s="32"/>
      <x:c r="O65" s="32"/>
      <x:c r="P65" s="32"/>
      <x:c r="Q65" s="32"/>
      <x:c r="R65" s="32"/>
      <x:c r="S65" s="32"/>
      <x:c r="T65" s="32"/>
      <x:c r="U65" s="32"/>
      <x:c r="V65" s="32"/>
      <x:c r="W65" s="32"/>
      <x:c r="X65" s="32"/>
      <x:c r="Y65" s="32"/>
      <x:c r="Z65" s="32"/>
      <x:c r="AA65" s="32"/>
      <x:c r="AB65" s="32"/>
      <x:c r="AC65" s="32"/>
    </x:row>
    <x:row r="66">
      <x:c r="A66" s="32"/>
      <x:c r="B66" s="32"/>
      <x:c r="C66" s="32"/>
      <x:c r="D66" s="32"/>
      <x:c r="E66" s="32"/>
      <x:c r="F66" s="32"/>
      <x:c r="G66" s="32"/>
      <x:c r="H66" s="32"/>
      <x:c r="I66" s="32"/>
      <x:c r="J66" s="32"/>
      <x:c r="K66" s="32"/>
      <x:c r="L66" s="32"/>
      <x:c r="M66" s="32"/>
      <x:c r="N66" s="32"/>
      <x:c r="O66" s="32"/>
      <x:c r="P66" s="32"/>
      <x:c r="Q66" s="32"/>
      <x:c r="R66" s="32"/>
      <x:c r="S66" s="32"/>
      <x:c r="T66" s="32"/>
      <x:c r="U66" s="32"/>
      <x:c r="V66" s="32"/>
      <x:c r="W66" s="32"/>
      <x:c r="X66" s="32"/>
      <x:c r="Y66" s="32"/>
      <x:c r="Z66" s="32"/>
      <x:c r="AA66" s="32"/>
      <x:c r="AB66" s="32"/>
      <x:c r="AC66" s="32"/>
    </x:row>
    <x:row r="67">
      <x:c r="A67" s="32"/>
      <x:c r="B67" s="32"/>
      <x:c r="C67" s="32"/>
      <x:c r="D67" s="32"/>
      <x:c r="E67" s="32"/>
      <x:c r="F67" s="32"/>
      <x:c r="G67" s="32"/>
      <x:c r="H67" s="32"/>
      <x:c r="I67" s="32"/>
      <x:c r="J67" s="32"/>
      <x:c r="K67" s="32"/>
      <x:c r="L67" s="32"/>
      <x:c r="M67" s="32"/>
      <x:c r="N67" s="32"/>
      <x:c r="O67" s="32"/>
      <x:c r="P67" s="32"/>
      <x:c r="Q67" s="32"/>
      <x:c r="R67" s="32"/>
      <x:c r="S67" s="32"/>
      <x:c r="T67" s="32"/>
      <x:c r="U67" s="32"/>
      <x:c r="V67" s="32"/>
      <x:c r="W67" s="32"/>
      <x:c r="X67" s="32"/>
      <x:c r="Y67" s="32"/>
      <x:c r="Z67" s="32"/>
      <x:c r="AA67" s="32"/>
      <x:c r="AB67" s="32"/>
      <x:c r="AC67" s="32"/>
    </x:row>
    <x:row r="68">
      <x:c r="A68" s="32"/>
      <x:c r="B68" s="32"/>
      <x:c r="C68" s="32"/>
      <x:c r="D68" s="32"/>
      <x:c r="E68" s="32"/>
      <x:c r="F68" s="32"/>
      <x:c r="G68" s="32"/>
      <x:c r="H68" s="32"/>
      <x:c r="I68" s="32"/>
      <x:c r="J68" s="32"/>
      <x:c r="K68" s="32"/>
      <x:c r="L68" s="32"/>
      <x:c r="M68" s="32"/>
      <x:c r="N68" s="32"/>
      <x:c r="O68" s="32"/>
      <x:c r="P68" s="32"/>
      <x:c r="Q68" s="32"/>
      <x:c r="R68" s="32"/>
      <x:c r="S68" s="32"/>
      <x:c r="T68" s="32"/>
      <x:c r="U68" s="32"/>
      <x:c r="V68" s="32"/>
      <x:c r="W68" s="32"/>
      <x:c r="X68" s="32"/>
      <x:c r="Y68" s="32"/>
      <x:c r="Z68" s="32"/>
      <x:c r="AA68" s="32"/>
      <x:c r="AB68" s="32"/>
      <x:c r="AC68" s="32"/>
    </x:row>
    <x:row r="69">
      <x:c r="A69" s="32"/>
      <x:c r="B69" s="32"/>
      <x:c r="C69" s="32"/>
      <x:c r="D69" s="32"/>
      <x:c r="E69" s="32"/>
      <x:c r="F69" s="32"/>
      <x:c r="G69" s="32"/>
      <x:c r="H69" s="32"/>
      <x:c r="I69" s="32"/>
      <x:c r="J69" s="32"/>
      <x:c r="K69" s="32"/>
      <x:c r="L69" s="32"/>
      <x:c r="M69" s="32"/>
      <x:c r="N69" s="32"/>
      <x:c r="O69" s="32"/>
      <x:c r="P69" s="32"/>
      <x:c r="Q69" s="32"/>
      <x:c r="R69" s="32"/>
      <x:c r="S69" s="32"/>
      <x:c r="T69" s="32"/>
      <x:c r="U69" s="32"/>
      <x:c r="V69" s="32"/>
      <x:c r="W69" s="32"/>
      <x:c r="X69" s="32"/>
      <x:c r="Y69" s="32"/>
      <x:c r="Z69" s="32"/>
      <x:c r="AA69" s="32"/>
      <x:c r="AB69" s="32"/>
      <x:c r="AC69" s="32"/>
    </x:row>
    <x:row r="70">
      <x:c r="A70" s="32"/>
      <x:c r="B70" s="32"/>
      <x:c r="C70" s="32"/>
      <x:c r="D70" s="32"/>
      <x:c r="E70" s="32"/>
      <x:c r="F70" s="32"/>
      <x:c r="G70" s="32"/>
      <x:c r="H70" s="32"/>
      <x:c r="I70" s="32"/>
      <x:c r="J70" s="32"/>
      <x:c r="K70" s="32"/>
      <x:c r="L70" s="32"/>
      <x:c r="M70" s="32"/>
      <x:c r="N70" s="32"/>
      <x:c r="O70" s="32"/>
      <x:c r="P70" s="32"/>
      <x:c r="Q70" s="32"/>
      <x:c r="R70" s="32"/>
      <x:c r="S70" s="32"/>
      <x:c r="T70" s="32"/>
      <x:c r="U70" s="32"/>
      <x:c r="V70" s="32"/>
      <x:c r="W70" s="32"/>
      <x:c r="X70" s="32"/>
      <x:c r="Y70" s="32"/>
      <x:c r="Z70" s="32"/>
      <x:c r="AA70" s="32"/>
      <x:c r="AB70" s="32"/>
      <x:c r="AC70" s="32"/>
    </x:row>
    <x:row r="71">
      <x:c r="A71" s="32"/>
      <x:c r="B71" s="32"/>
      <x:c r="C71" s="32"/>
      <x:c r="D71" s="32"/>
      <x:c r="E71" s="32"/>
      <x:c r="F71" s="32"/>
      <x:c r="G71" s="32"/>
      <x:c r="H71" s="32"/>
      <x:c r="I71" s="32"/>
      <x:c r="J71" s="32"/>
      <x:c r="K71" s="32"/>
      <x:c r="L71" s="32"/>
      <x:c r="M71" s="32"/>
      <x:c r="N71" s="32"/>
      <x:c r="O71" s="32"/>
      <x:c r="P71" s="32"/>
      <x:c r="Q71" s="32"/>
      <x:c r="R71" s="32"/>
      <x:c r="S71" s="32"/>
      <x:c r="T71" s="32"/>
      <x:c r="U71" s="32"/>
      <x:c r="V71" s="32"/>
      <x:c r="W71" s="32"/>
      <x:c r="X71" s="32"/>
      <x:c r="Y71" s="32"/>
      <x:c r="Z71" s="32"/>
      <x:c r="AA71" s="32"/>
      <x:c r="AB71" s="32"/>
      <x:c r="AC71" s="32"/>
    </x:row>
    <x:row r="72">
      <x:c r="A72" s="32"/>
      <x:c r="B72" s="32"/>
      <x:c r="C72" s="32"/>
      <x:c r="D72" s="32"/>
      <x:c r="E72" s="32"/>
      <x:c r="F72" s="32"/>
      <x:c r="G72" s="32"/>
      <x:c r="H72" s="32"/>
      <x:c r="I72" s="32"/>
      <x:c r="J72" s="32"/>
      <x:c r="K72" s="32"/>
      <x:c r="L72" s="32"/>
      <x:c r="M72" s="32"/>
      <x:c r="N72" s="32"/>
      <x:c r="O72" s="32"/>
      <x:c r="P72" s="32"/>
      <x:c r="Q72" s="32"/>
      <x:c r="R72" s="32"/>
      <x:c r="S72" s="32"/>
      <x:c r="T72" s="32"/>
      <x:c r="U72" s="32"/>
      <x:c r="V72" s="32"/>
      <x:c r="W72" s="32"/>
      <x:c r="X72" s="32"/>
      <x:c r="Y72" s="32"/>
      <x:c r="Z72" s="32"/>
      <x:c r="AA72" s="32"/>
      <x:c r="AB72" s="32"/>
      <x:c r="AC72" s="32"/>
    </x:row>
    <x:row r="73">
      <x:c r="A73" s="32"/>
      <x:c r="B73" s="32"/>
      <x:c r="C73" s="32"/>
      <x:c r="D73" s="32"/>
      <x:c r="E73" s="32"/>
      <x:c r="F73" s="32"/>
      <x:c r="G73" s="32"/>
      <x:c r="H73" s="32"/>
      <x:c r="I73" s="32"/>
      <x:c r="J73" s="32"/>
      <x:c r="K73" s="32"/>
      <x:c r="L73" s="32"/>
      <x:c r="M73" s="32"/>
      <x:c r="N73" s="32"/>
      <x:c r="O73" s="32"/>
      <x:c r="P73" s="32"/>
      <x:c r="Q73" s="32"/>
      <x:c r="R73" s="32"/>
      <x:c r="S73" s="32"/>
      <x:c r="T73" s="32"/>
      <x:c r="U73" s="32"/>
      <x:c r="V73" s="32"/>
      <x:c r="W73" s="32"/>
      <x:c r="X73" s="32"/>
      <x:c r="Y73" s="32"/>
      <x:c r="Z73" s="32"/>
      <x:c r="AA73" s="32"/>
      <x:c r="AB73" s="32"/>
      <x:c r="AC73" s="32"/>
    </x:row>
    <x:row r="74">
      <x:c r="A74" s="32"/>
      <x:c r="B74" s="32"/>
      <x:c r="C74" s="32"/>
      <x:c r="D74" s="32"/>
      <x:c r="E74" s="32"/>
      <x:c r="F74" s="32"/>
      <x:c r="G74" s="32"/>
      <x:c r="H74" s="32"/>
      <x:c r="I74" s="32"/>
      <x:c r="J74" s="32"/>
      <x:c r="K74" s="32"/>
      <x:c r="L74" s="32"/>
      <x:c r="M74" s="32"/>
      <x:c r="N74" s="32"/>
      <x:c r="O74" s="32"/>
      <x:c r="P74" s="32"/>
      <x:c r="Q74" s="32"/>
      <x:c r="R74" s="32"/>
      <x:c r="S74" s="32"/>
      <x:c r="T74" s="32"/>
      <x:c r="U74" s="32"/>
      <x:c r="V74" s="32"/>
      <x:c r="W74" s="32"/>
      <x:c r="X74" s="32"/>
      <x:c r="Y74" s="32"/>
      <x:c r="Z74" s="32"/>
      <x:c r="AA74" s="32"/>
      <x:c r="AB74" s="32"/>
      <x:c r="AC74" s="32"/>
    </x:row>
    <x:row r="75">
      <x:c r="A75" s="32"/>
      <x:c r="B75" s="32"/>
      <x:c r="C75" s="32"/>
      <x:c r="D75" s="32"/>
      <x:c r="E75" s="32"/>
      <x:c r="F75" s="32"/>
      <x:c r="G75" s="32"/>
      <x:c r="H75" s="32"/>
      <x:c r="I75" s="32"/>
      <x:c r="J75" s="32"/>
      <x:c r="K75" s="32"/>
      <x:c r="L75" s="32"/>
      <x:c r="M75" s="32"/>
      <x:c r="N75" s="32"/>
      <x:c r="O75" s="32"/>
      <x:c r="P75" s="32"/>
      <x:c r="Q75" s="32"/>
      <x:c r="R75" s="32"/>
      <x:c r="S75" s="32"/>
      <x:c r="T75" s="32"/>
      <x:c r="U75" s="32"/>
      <x:c r="V75" s="32"/>
      <x:c r="W75" s="32"/>
      <x:c r="X75" s="32"/>
      <x:c r="Y75" s="32"/>
      <x:c r="Z75" s="32"/>
      <x:c r="AA75" s="32"/>
      <x:c r="AB75" s="32"/>
      <x:c r="AC75" s="32"/>
    </x:row>
    <x:row r="76">
      <x:c r="A76" s="32"/>
      <x:c r="B76" s="32"/>
      <x:c r="C76" s="32"/>
      <x:c r="D76" s="32"/>
      <x:c r="E76" s="32"/>
      <x:c r="F76" s="32"/>
      <x:c r="G76" s="32"/>
      <x:c r="H76" s="32"/>
      <x:c r="I76" s="32"/>
      <x:c r="J76" s="32"/>
      <x:c r="K76" s="32"/>
      <x:c r="L76" s="32"/>
      <x:c r="M76" s="32"/>
      <x:c r="N76" s="32"/>
      <x:c r="O76" s="32"/>
      <x:c r="P76" s="32"/>
      <x:c r="Q76" s="32"/>
      <x:c r="R76" s="32"/>
      <x:c r="S76" s="32"/>
      <x:c r="T76" s="32"/>
      <x:c r="U76" s="32"/>
      <x:c r="V76" s="32"/>
      <x:c r="W76" s="32"/>
      <x:c r="X76" s="32"/>
      <x:c r="Y76" s="32"/>
      <x:c r="Z76" s="32"/>
      <x:c r="AA76" s="32"/>
      <x:c r="AB76" s="32"/>
      <x:c r="AC76" s="32"/>
    </x:row>
    <x:row r="77">
      <x:c r="A77" s="32"/>
      <x:c r="B77" s="32"/>
      <x:c r="C77" s="32"/>
      <x:c r="D77" s="32"/>
      <x:c r="E77" s="32"/>
      <x:c r="F77" s="32"/>
      <x:c r="G77" s="32"/>
      <x:c r="H77" s="32"/>
      <x:c r="I77" s="32"/>
      <x:c r="J77" s="32"/>
      <x:c r="K77" s="32"/>
      <x:c r="L77" s="32"/>
      <x:c r="M77" s="32"/>
      <x:c r="N77" s="32"/>
      <x:c r="O77" s="32"/>
      <x:c r="P77" s="32"/>
      <x:c r="Q77" s="32"/>
      <x:c r="R77" s="32"/>
      <x:c r="S77" s="32"/>
      <x:c r="T77" s="32"/>
      <x:c r="U77" s="32"/>
      <x:c r="V77" s="32"/>
      <x:c r="W77" s="32"/>
      <x:c r="X77" s="32"/>
      <x:c r="Y77" s="32"/>
      <x:c r="Z77" s="32"/>
      <x:c r="AA77" s="32"/>
      <x:c r="AB77" s="32"/>
      <x:c r="AC77" s="32"/>
    </x:row>
    <x:row r="78">
      <x:c r="A78" s="32"/>
      <x:c r="B78" s="32"/>
      <x:c r="C78" s="32"/>
      <x:c r="D78" s="32"/>
      <x:c r="E78" s="32"/>
      <x:c r="F78" s="32"/>
      <x:c r="G78" s="32"/>
      <x:c r="H78" s="32"/>
      <x:c r="I78" s="32"/>
      <x:c r="J78" s="32"/>
      <x:c r="K78" s="32"/>
      <x:c r="L78" s="32"/>
      <x:c r="M78" s="32"/>
      <x:c r="N78" s="32"/>
      <x:c r="O78" s="32"/>
      <x:c r="P78" s="32"/>
      <x:c r="Q78" s="32"/>
      <x:c r="R78" s="32"/>
      <x:c r="S78" s="32"/>
      <x:c r="T78" s="32"/>
      <x:c r="U78" s="32"/>
      <x:c r="V78" s="32"/>
      <x:c r="W78" s="32"/>
      <x:c r="X78" s="32"/>
      <x:c r="Y78" s="32"/>
      <x:c r="Z78" s="32"/>
      <x:c r="AA78" s="32"/>
      <x:c r="AB78" s="32"/>
      <x:c r="AC78" s="32"/>
    </x:row>
    <x:row r="79">
      <x:c r="A79" s="32"/>
      <x:c r="B79" s="32"/>
      <x:c r="C79" s="32"/>
      <x:c r="D79" s="32"/>
      <x:c r="E79" s="32"/>
      <x:c r="F79" s="32"/>
      <x:c r="G79" s="32"/>
      <x:c r="H79" s="32"/>
      <x:c r="I79" s="32"/>
      <x:c r="J79" s="32"/>
      <x:c r="K79" s="32"/>
      <x:c r="L79" s="32"/>
      <x:c r="M79" s="32"/>
      <x:c r="N79" s="32"/>
      <x:c r="O79" s="32"/>
      <x:c r="P79" s="32"/>
      <x:c r="Q79" s="32"/>
      <x:c r="R79" s="32"/>
      <x:c r="S79" s="32"/>
      <x:c r="T79" s="32"/>
      <x:c r="U79" s="32"/>
      <x:c r="V79" s="32"/>
      <x:c r="W79" s="32"/>
      <x:c r="X79" s="32"/>
      <x:c r="Y79" s="32"/>
      <x:c r="Z79" s="32"/>
      <x:c r="AA79" s="32"/>
      <x:c r="AB79" s="32"/>
      <x:c r="AC79" s="32"/>
    </x:row>
    <x:row r="80">
      <x:c r="A80" s="32"/>
      <x:c r="B80" s="32"/>
      <x:c r="C80" s="32"/>
      <x:c r="D80" s="32"/>
      <x:c r="E80" s="32"/>
      <x:c r="F80" s="32"/>
      <x:c r="G80" s="32"/>
      <x:c r="H80" s="32"/>
      <x:c r="I80" s="32"/>
      <x:c r="J80" s="32"/>
      <x:c r="K80" s="32"/>
      <x:c r="L80" s="32"/>
      <x:c r="M80" s="32"/>
      <x:c r="N80" s="32"/>
      <x:c r="O80" s="32"/>
      <x:c r="P80" s="32"/>
      <x:c r="Q80" s="32"/>
      <x:c r="R80" s="32"/>
      <x:c r="S80" s="32"/>
      <x:c r="T80" s="32"/>
      <x:c r="U80" s="32"/>
      <x:c r="V80" s="32"/>
      <x:c r="W80" s="32"/>
      <x:c r="X80" s="32"/>
      <x:c r="Y80" s="32"/>
      <x:c r="Z80" s="32"/>
      <x:c r="AA80" s="32"/>
      <x:c r="AB80" s="32"/>
      <x:c r="AC80" s="32"/>
    </x:row>
    <x:row r="81">
      <x:c r="A81" s="32"/>
      <x:c r="B81" s="32"/>
      <x:c r="C81" s="32"/>
      <x:c r="D81" s="32"/>
      <x:c r="E81" s="32"/>
      <x:c r="F81" s="32"/>
      <x:c r="G81" s="32"/>
      <x:c r="H81" s="32"/>
      <x:c r="I81" s="32"/>
      <x:c r="J81" s="32"/>
      <x:c r="K81" s="32"/>
      <x:c r="L81" s="32"/>
      <x:c r="M81" s="32"/>
      <x:c r="N81" s="32"/>
      <x:c r="O81" s="32"/>
      <x:c r="P81" s="32"/>
      <x:c r="Q81" s="32"/>
      <x:c r="R81" s="32"/>
      <x:c r="S81" s="32"/>
      <x:c r="T81" s="32"/>
      <x:c r="U81" s="32"/>
      <x:c r="V81" s="32"/>
      <x:c r="W81" s="32"/>
      <x:c r="X81" s="32"/>
      <x:c r="Y81" s="32"/>
      <x:c r="Z81" s="32"/>
      <x:c r="AA81" s="32"/>
      <x:c r="AB81" s="32"/>
      <x:c r="AC81" s="32"/>
    </x:row>
    <x:row r="82">
      <x:c r="A82" s="32"/>
      <x:c r="B82" s="32"/>
      <x:c r="C82" s="32"/>
      <x:c r="D82" s="32"/>
      <x:c r="E82" s="32"/>
      <x:c r="F82" s="32"/>
      <x:c r="G82" s="32"/>
      <x:c r="H82" s="32"/>
      <x:c r="I82" s="32"/>
      <x:c r="J82" s="32"/>
      <x:c r="K82" s="32"/>
      <x:c r="L82" s="32"/>
      <x:c r="M82" s="32"/>
      <x:c r="N82" s="32"/>
      <x:c r="O82" s="32"/>
      <x:c r="P82" s="32"/>
      <x:c r="Q82" s="32"/>
      <x:c r="R82" s="32"/>
      <x:c r="S82" s="32"/>
      <x:c r="T82" s="32"/>
      <x:c r="U82" s="32"/>
      <x:c r="V82" s="32"/>
      <x:c r="W82" s="32"/>
      <x:c r="X82" s="32"/>
      <x:c r="Y82" s="32"/>
      <x:c r="Z82" s="32"/>
      <x:c r="AA82" s="32"/>
      <x:c r="AB82" s="32"/>
      <x:c r="AC82" s="32"/>
    </x:row>
    <x:row r="83">
      <x:c r="A83" s="32"/>
      <x:c r="B83" s="32"/>
      <x:c r="C83" s="32"/>
      <x:c r="D83" s="32"/>
      <x:c r="E83" s="32"/>
      <x:c r="F83" s="32"/>
      <x:c r="G83" s="32"/>
      <x:c r="H83" s="32"/>
      <x:c r="I83" s="32"/>
      <x:c r="J83" s="32"/>
      <x:c r="K83" s="32"/>
      <x:c r="L83" s="32"/>
      <x:c r="M83" s="32"/>
      <x:c r="N83" s="32"/>
      <x:c r="O83" s="32"/>
      <x:c r="P83" s="32"/>
      <x:c r="Q83" s="32"/>
      <x:c r="R83" s="32"/>
      <x:c r="S83" s="32"/>
      <x:c r="T83" s="32"/>
      <x:c r="U83" s="32"/>
      <x:c r="V83" s="32"/>
      <x:c r="W83" s="32"/>
      <x:c r="X83" s="32"/>
      <x:c r="Y83" s="32"/>
      <x:c r="Z83" s="32"/>
      <x:c r="AA83" s="32"/>
      <x:c r="AB83" s="32"/>
      <x:c r="AC83" s="32"/>
    </x:row>
    <x:row r="84">
      <x:c r="A84" s="32"/>
      <x:c r="B84" s="32"/>
      <x:c r="C84" s="32"/>
      <x:c r="D84" s="32"/>
      <x:c r="E84" s="32"/>
      <x:c r="F84" s="32"/>
      <x:c r="G84" s="32"/>
      <x:c r="H84" s="32"/>
      <x:c r="I84" s="32"/>
      <x:c r="J84" s="32"/>
      <x:c r="K84" s="32"/>
      <x:c r="L84" s="32"/>
      <x:c r="M84" s="32"/>
      <x:c r="N84" s="32"/>
      <x:c r="O84" s="32"/>
      <x:c r="P84" s="32"/>
      <x:c r="Q84" s="32"/>
      <x:c r="R84" s="32"/>
      <x:c r="S84" s="32"/>
      <x:c r="T84" s="32"/>
      <x:c r="U84" s="32"/>
      <x:c r="V84" s="32"/>
      <x:c r="W84" s="32"/>
      <x:c r="X84" s="32"/>
      <x:c r="Y84" s="32"/>
      <x:c r="Z84" s="32"/>
      <x:c r="AA84" s="32"/>
      <x:c r="AB84" s="32"/>
      <x:c r="AC84" s="32"/>
    </x:row>
    <x:row r="85">
      <x:c r="A85" s="32"/>
      <x:c r="B85" s="32"/>
      <x:c r="C85" s="32"/>
      <x:c r="D85" s="32"/>
      <x:c r="E85" s="32"/>
      <x:c r="F85" s="32"/>
      <x:c r="G85" s="32"/>
      <x:c r="H85" s="32"/>
      <x:c r="I85" s="32"/>
      <x:c r="J85" s="32"/>
      <x:c r="K85" s="32"/>
      <x:c r="L85" s="32"/>
      <x:c r="M85" s="32"/>
      <x:c r="N85" s="32"/>
      <x:c r="O85" s="32"/>
      <x:c r="P85" s="32"/>
      <x:c r="Q85" s="32"/>
      <x:c r="R85" s="32"/>
      <x:c r="S85" s="32"/>
      <x:c r="T85" s="32"/>
      <x:c r="U85" s="32"/>
      <x:c r="V85" s="32"/>
      <x:c r="W85" s="32"/>
      <x:c r="X85" s="32"/>
      <x:c r="Y85" s="32"/>
      <x:c r="Z85" s="32"/>
      <x:c r="AA85" s="32"/>
      <x:c r="AB85" s="32"/>
      <x:c r="AC85" s="32"/>
    </x:row>
    <x:row r="86">
      <x:c r="A86" s="32"/>
      <x:c r="B86" s="32"/>
      <x:c r="C86" s="32"/>
      <x:c r="D86" s="32"/>
      <x:c r="E86" s="32"/>
      <x:c r="F86" s="32"/>
      <x:c r="G86" s="32"/>
      <x:c r="H86" s="32"/>
      <x:c r="I86" s="32"/>
      <x:c r="J86" s="32"/>
      <x:c r="K86" s="32"/>
      <x:c r="L86" s="32"/>
      <x:c r="M86" s="32"/>
      <x:c r="N86" s="32"/>
      <x:c r="O86" s="32"/>
      <x:c r="P86" s="32"/>
      <x:c r="Q86" s="32"/>
      <x:c r="R86" s="32"/>
      <x:c r="S86" s="32"/>
      <x:c r="T86" s="32"/>
      <x:c r="U86" s="32"/>
      <x:c r="V86" s="32"/>
      <x:c r="W86" s="32"/>
      <x:c r="X86" s="32"/>
      <x:c r="Y86" s="32"/>
      <x:c r="Z86" s="32"/>
      <x:c r="AA86" s="32"/>
      <x:c r="AB86" s="32"/>
      <x:c r="AC86" s="32"/>
    </x:row>
    <x:row r="87">
      <x:c r="A87" s="32"/>
      <x:c r="B87" s="32"/>
      <x:c r="C87" s="32"/>
      <x:c r="D87" s="32"/>
      <x:c r="E87" s="32"/>
      <x:c r="F87" s="32"/>
      <x:c r="G87" s="32"/>
      <x:c r="H87" s="32"/>
      <x:c r="I87" s="32"/>
      <x:c r="J87" s="32"/>
      <x:c r="K87" s="32"/>
      <x:c r="L87" s="32"/>
      <x:c r="M87" s="32"/>
      <x:c r="N87" s="32"/>
      <x:c r="O87" s="32"/>
      <x:c r="P87" s="32"/>
      <x:c r="Q87" s="32"/>
      <x:c r="R87" s="32"/>
      <x:c r="S87" s="32"/>
      <x:c r="T87" s="32"/>
      <x:c r="U87" s="32"/>
      <x:c r="V87" s="32"/>
      <x:c r="W87" s="32"/>
      <x:c r="X87" s="32"/>
      <x:c r="Y87" s="32"/>
      <x:c r="Z87" s="32"/>
      <x:c r="AA87" s="32"/>
      <x:c r="AB87" s="32"/>
      <x:c r="AC87" s="32"/>
    </x:row>
    <x:row r="88">
      <x:c r="A88" s="32"/>
      <x:c r="B88" s="32"/>
      <x:c r="C88" s="32"/>
      <x:c r="D88" s="32"/>
      <x:c r="E88" s="32"/>
      <x:c r="F88" s="32"/>
      <x:c r="G88" s="32"/>
      <x:c r="H88" s="32"/>
      <x:c r="I88" s="32"/>
      <x:c r="J88" s="32"/>
      <x:c r="K88" s="32"/>
      <x:c r="L88" s="32"/>
      <x:c r="M88" s="32"/>
      <x:c r="N88" s="32"/>
      <x:c r="O88" s="32"/>
      <x:c r="P88" s="32"/>
      <x:c r="Q88" s="32"/>
      <x:c r="R88" s="32"/>
      <x:c r="S88" s="32"/>
      <x:c r="T88" s="32"/>
      <x:c r="U88" s="32"/>
      <x:c r="V88" s="32"/>
      <x:c r="W88" s="32"/>
      <x:c r="X88" s="32"/>
      <x:c r="Y88" s="32"/>
      <x:c r="Z88" s="32"/>
      <x:c r="AA88" s="32"/>
      <x:c r="AB88" s="32"/>
      <x:c r="AC88" s="32"/>
    </x:row>
    <x:row r="89">
      <x:c r="A89" s="32"/>
      <x:c r="B89" s="32"/>
      <x:c r="C89" s="32"/>
      <x:c r="D89" s="32"/>
      <x:c r="E89" s="32"/>
      <x:c r="F89" s="32"/>
      <x:c r="G89" s="32"/>
      <x:c r="H89" s="32"/>
      <x:c r="I89" s="32"/>
      <x:c r="J89" s="32"/>
      <x:c r="K89" s="32"/>
      <x:c r="L89" s="32"/>
      <x:c r="M89" s="32"/>
      <x:c r="N89" s="32"/>
      <x:c r="O89" s="32"/>
      <x:c r="P89" s="32"/>
      <x:c r="Q89" s="32"/>
      <x:c r="R89" s="32"/>
      <x:c r="S89" s="32"/>
      <x:c r="T89" s="32"/>
      <x:c r="U89" s="32"/>
      <x:c r="V89" s="32"/>
      <x:c r="W89" s="32"/>
      <x:c r="X89" s="32"/>
      <x:c r="Y89" s="32"/>
      <x:c r="Z89" s="32"/>
      <x:c r="AA89" s="32"/>
      <x:c r="AB89" s="32"/>
      <x:c r="AC89" s="32"/>
    </x:row>
    <x:row r="90">
      <x:c r="A90" s="32"/>
      <x:c r="B90" s="32"/>
      <x:c r="C90" s="32"/>
      <x:c r="D90" s="32"/>
      <x:c r="E90" s="32"/>
      <x:c r="F90" s="32"/>
      <x:c r="G90" s="32"/>
      <x:c r="H90" s="32"/>
      <x:c r="I90" s="32"/>
      <x:c r="J90" s="32"/>
      <x:c r="K90" s="32"/>
      <x:c r="L90" s="32"/>
      <x:c r="M90" s="32"/>
      <x:c r="N90" s="32"/>
      <x:c r="O90" s="32"/>
      <x:c r="P90" s="32"/>
      <x:c r="Q90" s="32"/>
      <x:c r="R90" s="32"/>
      <x:c r="S90" s="32"/>
      <x:c r="T90" s="32"/>
      <x:c r="U90" s="32"/>
      <x:c r="V90" s="32"/>
      <x:c r="W90" s="32"/>
      <x:c r="X90" s="32"/>
      <x:c r="Y90" s="32"/>
      <x:c r="Z90" s="32"/>
      <x:c r="AA90" s="32"/>
      <x:c r="AB90" s="32"/>
      <x:c r="AC90" s="32"/>
    </x:row>
    <x:row r="91">
      <x:c r="A91" s="32"/>
      <x:c r="B91" s="32"/>
      <x:c r="C91" s="32"/>
      <x:c r="D91" s="32"/>
      <x:c r="E91" s="32"/>
      <x:c r="F91" s="32"/>
      <x:c r="G91" s="32"/>
      <x:c r="H91" s="32"/>
      <x:c r="I91" s="32"/>
      <x:c r="J91" s="32"/>
      <x:c r="K91" s="32"/>
      <x:c r="L91" s="32"/>
      <x:c r="M91" s="32"/>
      <x:c r="N91" s="32"/>
      <x:c r="O91" s="32"/>
      <x:c r="P91" s="32"/>
      <x:c r="Q91" s="32"/>
      <x:c r="R91" s="32"/>
      <x:c r="S91" s="32"/>
      <x:c r="T91" s="32"/>
      <x:c r="U91" s="32"/>
      <x:c r="V91" s="32"/>
      <x:c r="W91" s="32"/>
      <x:c r="X91" s="32"/>
      <x:c r="Y91" s="32"/>
      <x:c r="Z91" s="32"/>
      <x:c r="AA91" s="32"/>
      <x:c r="AB91" s="32"/>
      <x:c r="AC91" s="32"/>
    </x:row>
    <x:row r="92">
      <x:c r="A92" s="32"/>
      <x:c r="B92" s="32"/>
      <x:c r="C92" s="32"/>
      <x:c r="D92" s="32"/>
      <x:c r="E92" s="32"/>
      <x:c r="F92" s="32"/>
      <x:c r="G92" s="32"/>
      <x:c r="H92" s="32"/>
      <x:c r="I92" s="32"/>
      <x:c r="J92" s="32"/>
      <x:c r="K92" s="32"/>
      <x:c r="L92" s="32"/>
      <x:c r="M92" s="32"/>
      <x:c r="N92" s="32"/>
      <x:c r="O92" s="32"/>
      <x:c r="P92" s="32"/>
      <x:c r="Q92" s="32"/>
      <x:c r="R92" s="32"/>
      <x:c r="S92" s="32"/>
      <x:c r="T92" s="32"/>
      <x:c r="U92" s="32"/>
      <x:c r="V92" s="32"/>
      <x:c r="W92" s="32"/>
      <x:c r="X92" s="32"/>
      <x:c r="Y92" s="32"/>
      <x:c r="Z92" s="32"/>
      <x:c r="AA92" s="32"/>
      <x:c r="AB92" s="32"/>
      <x:c r="AC92" s="32"/>
    </x:row>
    <x:row r="93">
      <x:c r="A93" s="32"/>
      <x:c r="B93" s="32"/>
      <x:c r="C93" s="32"/>
      <x:c r="D93" s="32"/>
      <x:c r="E93" s="32"/>
      <x:c r="F93" s="32"/>
      <x:c r="G93" s="32"/>
      <x:c r="H93" s="32"/>
      <x:c r="I93" s="32"/>
      <x:c r="J93" s="32"/>
      <x:c r="K93" s="32"/>
      <x:c r="L93" s="32"/>
      <x:c r="M93" s="32"/>
      <x:c r="N93" s="32"/>
      <x:c r="O93" s="32"/>
      <x:c r="P93" s="32"/>
      <x:c r="Q93" s="32"/>
      <x:c r="R93" s="32"/>
      <x:c r="S93" s="32"/>
      <x:c r="T93" s="32"/>
      <x:c r="U93" s="32"/>
      <x:c r="V93" s="32"/>
      <x:c r="W93" s="32"/>
      <x:c r="X93" s="32"/>
      <x:c r="Y93" s="32"/>
      <x:c r="Z93" s="32"/>
      <x:c r="AA93" s="32"/>
      <x:c r="AB93" s="32"/>
      <x:c r="AC93" s="32"/>
    </x:row>
    <x:row r="94">
      <x:c r="A94" s="32"/>
      <x:c r="B94" s="32"/>
      <x:c r="C94" s="32"/>
      <x:c r="D94" s="32"/>
      <x:c r="E94" s="32"/>
      <x:c r="F94" s="32"/>
      <x:c r="G94" s="32"/>
      <x:c r="H94" s="32"/>
      <x:c r="I94" s="32"/>
      <x:c r="J94" s="32"/>
      <x:c r="K94" s="32"/>
      <x:c r="L94" s="32"/>
      <x:c r="M94" s="32"/>
      <x:c r="N94" s="32"/>
      <x:c r="O94" s="32"/>
      <x:c r="P94" s="32"/>
      <x:c r="Q94" s="32"/>
      <x:c r="R94" s="32"/>
      <x:c r="S94" s="32"/>
      <x:c r="T94" s="32"/>
      <x:c r="U94" s="32"/>
      <x:c r="V94" s="32"/>
      <x:c r="W94" s="32"/>
      <x:c r="X94" s="32"/>
      <x:c r="Y94" s="32"/>
      <x:c r="Z94" s="32"/>
      <x:c r="AA94" s="32"/>
      <x:c r="AB94" s="32"/>
      <x:c r="AC94" s="32"/>
    </x:row>
    <x:row r="95">
      <x:c r="A95" s="32"/>
      <x:c r="B95" s="32"/>
      <x:c r="C95" s="32"/>
      <x:c r="D95" s="32"/>
      <x:c r="E95" s="32"/>
      <x:c r="F95" s="32"/>
      <x:c r="G95" s="32"/>
      <x:c r="H95" s="32"/>
      <x:c r="I95" s="32"/>
      <x:c r="J95" s="32"/>
      <x:c r="K95" s="32"/>
      <x:c r="L95" s="32"/>
      <x:c r="M95" s="32"/>
      <x:c r="N95" s="32"/>
      <x:c r="O95" s="32"/>
      <x:c r="P95" s="32"/>
      <x:c r="Q95" s="32"/>
      <x:c r="R95" s="32"/>
      <x:c r="S95" s="32"/>
      <x:c r="T95" s="32"/>
      <x:c r="U95" s="32"/>
      <x:c r="V95" s="32"/>
      <x:c r="W95" s="32"/>
      <x:c r="X95" s="32"/>
      <x:c r="Y95" s="32"/>
      <x:c r="Z95" s="32"/>
      <x:c r="AA95" s="32"/>
      <x:c r="AB95" s="32"/>
      <x:c r="AC95" s="32"/>
    </x:row>
    <x:row r="96">
      <x:c r="A96" s="32"/>
      <x:c r="B96" s="32"/>
      <x:c r="C96" s="32"/>
      <x:c r="D96" s="32"/>
      <x:c r="E96" s="32"/>
      <x:c r="F96" s="32"/>
      <x:c r="G96" s="32"/>
      <x:c r="H96" s="32"/>
      <x:c r="I96" s="32"/>
      <x:c r="J96" s="32"/>
      <x:c r="K96" s="32"/>
      <x:c r="L96" s="32"/>
      <x:c r="M96" s="32"/>
      <x:c r="N96" s="32"/>
      <x:c r="O96" s="32"/>
      <x:c r="P96" s="32"/>
      <x:c r="Q96" s="32"/>
      <x:c r="R96" s="32"/>
      <x:c r="S96" s="32"/>
      <x:c r="T96" s="32"/>
      <x:c r="U96" s="32"/>
      <x:c r="V96" s="32"/>
      <x:c r="W96" s="32"/>
      <x:c r="X96" s="32"/>
      <x:c r="Y96" s="32"/>
      <x:c r="Z96" s="32"/>
      <x:c r="AA96" s="32"/>
      <x:c r="AB96" s="32"/>
      <x:c r="AC96" s="32"/>
    </x:row>
    <x:row r="97">
      <x:c r="A97" s="32"/>
      <x:c r="B97" s="32"/>
      <x:c r="C97" s="32"/>
      <x:c r="D97" s="32"/>
      <x:c r="E97" s="32"/>
      <x:c r="F97" s="32"/>
      <x:c r="G97" s="32"/>
      <x:c r="H97" s="32"/>
      <x:c r="I97" s="32"/>
      <x:c r="J97" s="32"/>
      <x:c r="K97" s="32"/>
      <x:c r="L97" s="32"/>
      <x:c r="M97" s="32"/>
      <x:c r="N97" s="32"/>
      <x:c r="O97" s="32"/>
      <x:c r="P97" s="32"/>
      <x:c r="Q97" s="32"/>
      <x:c r="R97" s="32"/>
      <x:c r="S97" s="32"/>
      <x:c r="T97" s="32"/>
      <x:c r="U97" s="32"/>
      <x:c r="V97" s="32"/>
      <x:c r="W97" s="32"/>
      <x:c r="X97" s="32"/>
      <x:c r="Y97" s="32"/>
      <x:c r="Z97" s="32"/>
      <x:c r="AA97" s="32"/>
      <x:c r="AB97" s="32"/>
      <x:c r="AC97" s="32"/>
    </x:row>
    <x:row r="98">
      <x:c r="A98" s="32"/>
      <x:c r="B98" s="32"/>
      <x:c r="C98" s="32"/>
      <x:c r="D98" s="32"/>
      <x:c r="E98" s="32"/>
      <x:c r="F98" s="32"/>
      <x:c r="G98" s="32"/>
      <x:c r="H98" s="32"/>
      <x:c r="I98" s="32"/>
      <x:c r="J98" s="32"/>
      <x:c r="K98" s="32"/>
      <x:c r="L98" s="32"/>
      <x:c r="M98" s="32"/>
      <x:c r="N98" s="32"/>
      <x:c r="O98" s="32"/>
      <x:c r="P98" s="32"/>
      <x:c r="Q98" s="32"/>
      <x:c r="R98" s="32"/>
      <x:c r="S98" s="32"/>
      <x:c r="T98" s="32"/>
      <x:c r="U98" s="32"/>
      <x:c r="V98" s="32"/>
      <x:c r="W98" s="32"/>
      <x:c r="X98" s="32"/>
      <x:c r="Y98" s="32"/>
      <x:c r="Z98" s="32"/>
      <x:c r="AA98" s="32"/>
      <x:c r="AB98" s="32"/>
      <x:c r="AC98" s="32"/>
    </x:row>
    <x:row r="99">
      <x:c r="A99" s="32"/>
      <x:c r="B99" s="32"/>
      <x:c r="C99" s="32"/>
      <x:c r="D99" s="32"/>
      <x:c r="E99" s="32"/>
      <x:c r="F99" s="32"/>
      <x:c r="G99" s="32"/>
      <x:c r="H99" s="32"/>
      <x:c r="I99" s="32"/>
      <x:c r="J99" s="32"/>
      <x:c r="K99" s="32"/>
      <x:c r="L99" s="32"/>
      <x:c r="M99" s="32"/>
      <x:c r="N99" s="32"/>
      <x:c r="O99" s="32"/>
      <x:c r="P99" s="32"/>
      <x:c r="Q99" s="32"/>
      <x:c r="R99" s="32"/>
      <x:c r="S99" s="32"/>
      <x:c r="T99" s="32"/>
      <x:c r="U99" s="32"/>
      <x:c r="V99" s="32"/>
      <x:c r="W99" s="32"/>
      <x:c r="X99" s="32"/>
      <x:c r="Y99" s="32"/>
      <x:c r="Z99" s="32"/>
      <x:c r="AA99" s="32"/>
      <x:c r="AB99" s="32"/>
      <x:c r="AC99" s="32"/>
    </x:row>
    <x:row r="100">
      <x:c r="A100" s="32"/>
      <x:c r="B100" s="32"/>
      <x:c r="C100" s="32"/>
      <x:c r="D100" s="32"/>
      <x:c r="E100" s="32"/>
      <x:c r="F100" s="32"/>
      <x:c r="G100" s="32"/>
      <x:c r="H100" s="32"/>
      <x:c r="I100" s="32"/>
      <x:c r="J100" s="32"/>
      <x:c r="K100" s="32"/>
      <x:c r="L100" s="32"/>
      <x:c r="M100" s="32"/>
      <x:c r="N100" s="32"/>
      <x:c r="O100" s="32"/>
      <x:c r="P100" s="32"/>
      <x:c r="Q100" s="32"/>
      <x:c r="R100" s="32"/>
      <x:c r="S100" s="32"/>
      <x:c r="T100" s="32"/>
      <x:c r="U100" s="32"/>
      <x:c r="V100" s="32"/>
      <x:c r="W100" s="32"/>
      <x:c r="X100" s="32"/>
      <x:c r="Y100" s="32"/>
      <x:c r="Z100" s="32"/>
      <x:c r="AA100" s="32"/>
      <x:c r="AB100" s="32"/>
      <x:c r="AC100" s="32"/>
    </x:row>
    <x:row r="101">
      <x:c r="A101" s="32"/>
      <x:c r="B101" s="32"/>
      <x:c r="C101" s="32"/>
      <x:c r="D101" s="32"/>
      <x:c r="E101" s="32"/>
      <x:c r="F101" s="32"/>
      <x:c r="G101" s="32"/>
      <x:c r="H101" s="32"/>
      <x:c r="I101" s="32"/>
      <x:c r="J101" s="32"/>
      <x:c r="K101" s="32"/>
      <x:c r="L101" s="32"/>
      <x:c r="M101" s="32"/>
      <x:c r="N101" s="32"/>
      <x:c r="O101" s="32"/>
      <x:c r="P101" s="32"/>
      <x:c r="Q101" s="32"/>
      <x:c r="R101" s="32"/>
      <x:c r="S101" s="32"/>
      <x:c r="T101" s="32"/>
      <x:c r="U101" s="32"/>
      <x:c r="V101" s="32"/>
      <x:c r="W101" s="32"/>
      <x:c r="X101" s="32"/>
      <x:c r="Y101" s="32"/>
      <x:c r="Z101" s="32"/>
      <x:c r="AA101" s="32"/>
      <x:c r="AB101" s="32"/>
      <x:c r="AC101" s="32"/>
    </x:row>
    <x:row r="102">
      <x:c r="A102" s="32"/>
      <x:c r="B102" s="32"/>
      <x:c r="C102" s="32"/>
      <x:c r="D102" s="32"/>
      <x:c r="E102" s="32"/>
      <x:c r="F102" s="32"/>
      <x:c r="G102" s="32"/>
      <x:c r="H102" s="32"/>
      <x:c r="I102" s="32"/>
      <x:c r="J102" s="32"/>
      <x:c r="K102" s="32"/>
      <x:c r="L102" s="32"/>
      <x:c r="M102" s="32"/>
      <x:c r="N102" s="32"/>
      <x:c r="O102" s="32"/>
      <x:c r="P102" s="32"/>
      <x:c r="Q102" s="32"/>
      <x:c r="R102" s="32"/>
      <x:c r="S102" s="32"/>
      <x:c r="T102" s="32"/>
      <x:c r="U102" s="32"/>
      <x:c r="V102" s="32"/>
      <x:c r="W102" s="32"/>
      <x:c r="X102" s="32"/>
      <x:c r="Y102" s="32"/>
      <x:c r="Z102" s="32"/>
      <x:c r="AA102" s="32"/>
      <x:c r="AB102" s="32"/>
      <x:c r="AC102" s="32"/>
    </x:row>
    <x:row r="103">
      <x:c r="A103" s="32"/>
      <x:c r="B103" s="32"/>
      <x:c r="C103" s="32"/>
      <x:c r="D103" s="32"/>
      <x:c r="E103" s="32"/>
      <x:c r="F103" s="32"/>
      <x:c r="G103" s="32"/>
      <x:c r="H103" s="32"/>
      <x:c r="I103" s="32"/>
      <x:c r="J103" s="32"/>
      <x:c r="K103" s="32"/>
      <x:c r="L103" s="32"/>
      <x:c r="M103" s="32"/>
      <x:c r="N103" s="32"/>
      <x:c r="O103" s="32"/>
      <x:c r="P103" s="32"/>
      <x:c r="Q103" s="32"/>
      <x:c r="R103" s="32"/>
      <x:c r="S103" s="32"/>
      <x:c r="T103" s="32"/>
      <x:c r="U103" s="32"/>
      <x:c r="V103" s="32"/>
      <x:c r="W103" s="32"/>
      <x:c r="X103" s="32"/>
      <x:c r="Y103" s="32"/>
      <x:c r="Z103" s="32"/>
      <x:c r="AA103" s="32"/>
      <x:c r="AB103" s="32"/>
      <x:c r="AC103" s="32"/>
    </x:row>
    <x:row r="104">
      <x:c r="A104" s="32"/>
      <x:c r="B104" s="32"/>
      <x:c r="C104" s="32"/>
      <x:c r="D104" s="32"/>
      <x:c r="E104" s="32"/>
      <x:c r="F104" s="32"/>
      <x:c r="G104" s="32"/>
      <x:c r="H104" s="32"/>
      <x:c r="I104" s="32"/>
      <x:c r="J104" s="32"/>
      <x:c r="K104" s="32"/>
      <x:c r="L104" s="32"/>
      <x:c r="M104" s="32"/>
      <x:c r="N104" s="32"/>
      <x:c r="O104" s="32"/>
      <x:c r="P104" s="32"/>
      <x:c r="Q104" s="32"/>
      <x:c r="R104" s="32"/>
      <x:c r="S104" s="32"/>
      <x:c r="T104" s="32"/>
      <x:c r="U104" s="32"/>
      <x:c r="V104" s="32"/>
      <x:c r="W104" s="32"/>
      <x:c r="X104" s="32"/>
      <x:c r="Y104" s="32"/>
      <x:c r="Z104" s="32"/>
      <x:c r="AA104" s="32"/>
      <x:c r="AB104" s="32"/>
      <x:c r="AC104" s="32"/>
    </x:row>
    <x:row r="105">
      <x:c r="A105" s="32"/>
      <x:c r="B105" s="32"/>
      <x:c r="C105" s="32"/>
      <x:c r="D105" s="32"/>
      <x:c r="E105" s="32"/>
      <x:c r="F105" s="32"/>
      <x:c r="G105" s="32"/>
      <x:c r="H105" s="32"/>
      <x:c r="I105" s="32"/>
      <x:c r="J105" s="32"/>
      <x:c r="K105" s="32"/>
      <x:c r="L105" s="32"/>
      <x:c r="M105" s="32"/>
      <x:c r="N105" s="32"/>
      <x:c r="O105" s="32"/>
      <x:c r="P105" s="32"/>
      <x:c r="Q105" s="32"/>
      <x:c r="R105" s="32"/>
      <x:c r="S105" s="32"/>
      <x:c r="T105" s="32"/>
      <x:c r="U105" s="32"/>
      <x:c r="V105" s="32"/>
      <x:c r="W105" s="32"/>
      <x:c r="X105" s="32"/>
      <x:c r="Y105" s="32"/>
      <x:c r="Z105" s="32"/>
      <x:c r="AA105" s="32"/>
      <x:c r="AB105" s="32"/>
      <x:c r="AC105" s="32"/>
    </x:row>
    <x:row r="106">
      <x:c r="A106" s="32"/>
      <x:c r="B106" s="32"/>
      <x:c r="C106" s="32"/>
      <x:c r="D106" s="32"/>
      <x:c r="E106" s="32"/>
      <x:c r="F106" s="32"/>
      <x:c r="G106" s="32"/>
      <x:c r="H106" s="32"/>
      <x:c r="I106" s="32"/>
      <x:c r="J106" s="32"/>
      <x:c r="K106" s="32"/>
      <x:c r="L106" s="32"/>
      <x:c r="M106" s="32"/>
      <x:c r="N106" s="32"/>
      <x:c r="O106" s="32"/>
      <x:c r="P106" s="32"/>
      <x:c r="Q106" s="32"/>
      <x:c r="R106" s="32"/>
      <x:c r="S106" s="32"/>
      <x:c r="T106" s="32"/>
      <x:c r="U106" s="32"/>
      <x:c r="V106" s="32"/>
      <x:c r="W106" s="32"/>
      <x:c r="X106" s="32"/>
      <x:c r="Y106" s="32"/>
      <x:c r="Z106" s="32"/>
      <x:c r="AA106" s="32"/>
      <x:c r="AB106" s="32"/>
      <x:c r="AC106" s="32"/>
    </x:row>
    <x:row r="107">
      <x:c r="A107" s="32"/>
      <x:c r="B107" s="32"/>
      <x:c r="C107" s="32"/>
      <x:c r="D107" s="32"/>
      <x:c r="E107" s="32"/>
      <x:c r="F107" s="32"/>
      <x:c r="G107" s="32"/>
      <x:c r="H107" s="32"/>
      <x:c r="I107" s="32"/>
      <x:c r="J107" s="32"/>
      <x:c r="K107" s="32"/>
      <x:c r="L107" s="32"/>
      <x:c r="M107" s="32"/>
      <x:c r="N107" s="32"/>
      <x:c r="O107" s="32"/>
      <x:c r="P107" s="32"/>
      <x:c r="Q107" s="32"/>
      <x:c r="R107" s="32"/>
      <x:c r="S107" s="32"/>
      <x:c r="T107" s="32"/>
      <x:c r="U107" s="32"/>
      <x:c r="V107" s="32"/>
      <x:c r="W107" s="32"/>
      <x:c r="X107" s="32"/>
      <x:c r="Y107" s="32"/>
      <x:c r="Z107" s="32"/>
      <x:c r="AA107" s="32"/>
      <x:c r="AB107" s="32"/>
      <x:c r="AC107" s="32"/>
    </x:row>
    <x:row r="108">
      <x:c r="A108" s="32"/>
      <x:c r="B108" s="32"/>
      <x:c r="C108" s="32"/>
      <x:c r="D108" s="32"/>
      <x:c r="E108" s="32"/>
      <x:c r="F108" s="32"/>
      <x:c r="G108" s="32"/>
      <x:c r="H108" s="32"/>
      <x:c r="I108" s="32"/>
      <x:c r="J108" s="32"/>
      <x:c r="K108" s="32"/>
      <x:c r="L108" s="32"/>
      <x:c r="M108" s="32"/>
      <x:c r="N108" s="32"/>
      <x:c r="O108" s="32"/>
      <x:c r="P108" s="32"/>
      <x:c r="Q108" s="32"/>
      <x:c r="R108" s="32"/>
      <x:c r="S108" s="32"/>
      <x:c r="T108" s="32"/>
      <x:c r="U108" s="32"/>
      <x:c r="V108" s="32"/>
      <x:c r="W108" s="32"/>
      <x:c r="X108" s="32"/>
      <x:c r="Y108" s="32"/>
      <x:c r="Z108" s="32"/>
      <x:c r="AA108" s="32"/>
      <x:c r="AB108" s="32"/>
      <x:c r="AC108" s="32"/>
    </x:row>
    <x:row r="109">
      <x:c r="A109" s="32"/>
      <x:c r="B109" s="32"/>
      <x:c r="C109" s="32"/>
      <x:c r="D109" s="32"/>
      <x:c r="E109" s="32"/>
      <x:c r="F109" s="32"/>
      <x:c r="G109" s="32"/>
      <x:c r="H109" s="32"/>
      <x:c r="I109" s="32"/>
      <x:c r="J109" s="32"/>
      <x:c r="K109" s="32"/>
      <x:c r="L109" s="32"/>
      <x:c r="M109" s="32"/>
      <x:c r="N109" s="32"/>
      <x:c r="O109" s="32"/>
      <x:c r="P109" s="32"/>
      <x:c r="Q109" s="32"/>
      <x:c r="R109" s="32"/>
      <x:c r="S109" s="32"/>
      <x:c r="T109" s="32"/>
      <x:c r="U109" s="32"/>
      <x:c r="V109" s="32"/>
      <x:c r="W109" s="32"/>
      <x:c r="X109" s="32"/>
      <x:c r="Y109" s="32"/>
      <x:c r="Z109" s="32"/>
      <x:c r="AA109" s="32"/>
      <x:c r="AB109" s="32"/>
      <x:c r="AC109" s="32"/>
    </x:row>
    <x:row r="110">
      <x:c r="A110" s="32"/>
      <x:c r="B110" s="32"/>
      <x:c r="C110" s="32"/>
      <x:c r="D110" s="32"/>
      <x:c r="E110" s="32"/>
      <x:c r="F110" s="32"/>
      <x:c r="G110" s="32"/>
      <x:c r="H110" s="32"/>
      <x:c r="I110" s="32"/>
      <x:c r="J110" s="32"/>
      <x:c r="K110" s="32"/>
      <x:c r="L110" s="32"/>
      <x:c r="M110" s="32"/>
      <x:c r="N110" s="32"/>
      <x:c r="O110" s="32"/>
      <x:c r="P110" s="32"/>
      <x:c r="Q110" s="32"/>
      <x:c r="R110" s="32"/>
      <x:c r="S110" s="32"/>
      <x:c r="T110" s="32"/>
      <x:c r="U110" s="32"/>
      <x:c r="V110" s="32"/>
      <x:c r="W110" s="32"/>
      <x:c r="X110" s="32"/>
      <x:c r="Y110" s="32"/>
      <x:c r="Z110" s="32"/>
      <x:c r="AA110" s="32"/>
      <x:c r="AB110" s="32"/>
      <x:c r="AC110" s="32"/>
    </x:row>
    <x:row r="111">
      <x:c r="A111" s="32"/>
      <x:c r="B111" s="32"/>
      <x:c r="C111" s="32"/>
      <x:c r="D111" s="32"/>
      <x:c r="E111" s="32"/>
      <x:c r="F111" s="32"/>
      <x:c r="G111" s="32"/>
      <x:c r="H111" s="32"/>
      <x:c r="I111" s="32"/>
      <x:c r="J111" s="32"/>
      <x:c r="K111" s="32"/>
      <x:c r="L111" s="32"/>
      <x:c r="M111" s="32"/>
      <x:c r="N111" s="32"/>
      <x:c r="O111" s="32"/>
      <x:c r="P111" s="32"/>
      <x:c r="Q111" s="32"/>
      <x:c r="R111" s="32"/>
      <x:c r="S111" s="32"/>
      <x:c r="T111" s="32"/>
      <x:c r="U111" s="32"/>
      <x:c r="V111" s="32"/>
      <x:c r="W111" s="32"/>
      <x:c r="X111" s="32"/>
      <x:c r="Y111" s="32"/>
      <x:c r="Z111" s="32"/>
      <x:c r="AA111" s="32"/>
      <x:c r="AB111" s="32"/>
      <x:c r="AC111" s="32"/>
    </x:row>
    <x:row r="112">
      <x:c r="A112" s="32"/>
      <x:c r="B112" s="32"/>
      <x:c r="C112" s="32"/>
      <x:c r="D112" s="32"/>
      <x:c r="E112" s="32"/>
      <x:c r="F112" s="32"/>
      <x:c r="G112" s="32"/>
      <x:c r="H112" s="32"/>
      <x:c r="I112" s="32"/>
      <x:c r="J112" s="32"/>
      <x:c r="K112" s="32"/>
      <x:c r="L112" s="32"/>
      <x:c r="M112" s="32"/>
      <x:c r="N112" s="32"/>
      <x:c r="O112" s="32"/>
      <x:c r="P112" s="32"/>
      <x:c r="Q112" s="32"/>
      <x:c r="R112" s="32"/>
      <x:c r="S112" s="32"/>
      <x:c r="T112" s="32"/>
      <x:c r="U112" s="32"/>
      <x:c r="V112" s="32"/>
      <x:c r="W112" s="32"/>
      <x:c r="X112" s="32"/>
      <x:c r="Y112" s="32"/>
      <x:c r="Z112" s="32"/>
      <x:c r="AA112" s="32"/>
      <x:c r="AB112" s="32"/>
      <x:c r="AC112" s="32"/>
    </x:row>
    <x:row r="113">
      <x:c r="A113" s="32"/>
      <x:c r="B113" s="32"/>
      <x:c r="C113" s="32"/>
      <x:c r="D113" s="32"/>
      <x:c r="E113" s="32"/>
      <x:c r="F113" s="32"/>
      <x:c r="G113" s="32"/>
      <x:c r="H113" s="32"/>
      <x:c r="I113" s="32"/>
      <x:c r="J113" s="32"/>
      <x:c r="K113" s="32"/>
      <x:c r="L113" s="32"/>
      <x:c r="M113" s="32"/>
      <x:c r="N113" s="32"/>
      <x:c r="O113" s="32"/>
      <x:c r="P113" s="32"/>
      <x:c r="Q113" s="32"/>
      <x:c r="R113" s="32"/>
      <x:c r="S113" s="32"/>
      <x:c r="T113" s="32"/>
      <x:c r="U113" s="32"/>
      <x:c r="V113" s="32"/>
      <x:c r="W113" s="32"/>
      <x:c r="X113" s="32"/>
      <x:c r="Y113" s="32"/>
      <x:c r="Z113" s="32"/>
      <x:c r="AA113" s="32"/>
      <x:c r="AB113" s="32"/>
      <x:c r="AC113" s="32"/>
    </x:row>
    <x:row r="114">
      <x:c r="A114" s="32"/>
      <x:c r="B114" s="32"/>
      <x:c r="C114" s="32"/>
      <x:c r="D114" s="32"/>
      <x:c r="E114" s="32"/>
      <x:c r="F114" s="32"/>
      <x:c r="G114" s="32"/>
      <x:c r="H114" s="32"/>
      <x:c r="I114" s="32"/>
      <x:c r="J114" s="32"/>
      <x:c r="K114" s="32"/>
      <x:c r="L114" s="32"/>
      <x:c r="M114" s="32"/>
      <x:c r="N114" s="32"/>
      <x:c r="O114" s="32"/>
      <x:c r="P114" s="32"/>
      <x:c r="Q114" s="32"/>
      <x:c r="R114" s="32"/>
      <x:c r="S114" s="32"/>
      <x:c r="T114" s="32"/>
      <x:c r="U114" s="32"/>
      <x:c r="V114" s="32"/>
      <x:c r="W114" s="32"/>
      <x:c r="X114" s="32"/>
      <x:c r="Y114" s="32"/>
      <x:c r="Z114" s="32"/>
      <x:c r="AA114" s="32"/>
      <x:c r="AB114" s="32"/>
      <x:c r="AC114" s="32"/>
    </x:row>
    <x:row r="115">
      <x:c r="A115" s="32"/>
      <x:c r="B115" s="32"/>
      <x:c r="C115" s="32"/>
      <x:c r="D115" s="32"/>
      <x:c r="E115" s="32"/>
      <x:c r="F115" s="32"/>
      <x:c r="G115" s="32"/>
      <x:c r="H115" s="32"/>
      <x:c r="I115" s="32"/>
      <x:c r="J115" s="32"/>
      <x:c r="K115" s="32"/>
      <x:c r="L115" s="32"/>
      <x:c r="M115" s="32"/>
      <x:c r="N115" s="32"/>
      <x:c r="O115" s="32"/>
      <x:c r="P115" s="32"/>
      <x:c r="Q115" s="32"/>
      <x:c r="R115" s="32"/>
      <x:c r="S115" s="32"/>
      <x:c r="T115" s="32"/>
      <x:c r="U115" s="32"/>
      <x:c r="V115" s="32"/>
      <x:c r="W115" s="32"/>
      <x:c r="X115" s="32"/>
      <x:c r="Y115" s="32"/>
      <x:c r="Z115" s="32"/>
      <x:c r="AA115" s="32"/>
      <x:c r="AB115" s="32"/>
      <x:c r="AC115" s="32"/>
    </x:row>
    <x:row r="116">
      <x:c r="A116" s="32"/>
      <x:c r="B116" s="32"/>
      <x:c r="C116" s="32"/>
      <x:c r="D116" s="32"/>
      <x:c r="E116" s="32"/>
      <x:c r="F116" s="32"/>
      <x:c r="G116" s="32"/>
      <x:c r="H116" s="32"/>
      <x:c r="I116" s="32"/>
      <x:c r="J116" s="32"/>
      <x:c r="K116" s="32"/>
      <x:c r="L116" s="32"/>
      <x:c r="M116" s="32"/>
      <x:c r="N116" s="32"/>
      <x:c r="O116" s="32"/>
      <x:c r="P116" s="32"/>
      <x:c r="Q116" s="32"/>
      <x:c r="R116" s="32"/>
      <x:c r="S116" s="32"/>
      <x:c r="T116" s="32"/>
      <x:c r="U116" s="32"/>
      <x:c r="V116" s="32"/>
      <x:c r="W116" s="32"/>
      <x:c r="X116" s="32"/>
      <x:c r="Y116" s="32"/>
      <x:c r="Z116" s="32"/>
      <x:c r="AA116" s="32"/>
      <x:c r="AB116" s="32"/>
      <x:c r="AC116" s="32"/>
    </x:row>
    <x:row r="117">
      <x:c r="A117" s="32"/>
      <x:c r="B117" s="32"/>
      <x:c r="C117" s="32"/>
      <x:c r="D117" s="32"/>
      <x:c r="E117" s="32"/>
      <x:c r="F117" s="32"/>
      <x:c r="G117" s="32"/>
      <x:c r="H117" s="32"/>
      <x:c r="I117" s="32"/>
      <x:c r="J117" s="32"/>
      <x:c r="K117" s="32"/>
      <x:c r="L117" s="32"/>
      <x:c r="M117" s="32"/>
      <x:c r="N117" s="32"/>
      <x:c r="O117" s="32"/>
      <x:c r="P117" s="32"/>
      <x:c r="Q117" s="32"/>
      <x:c r="R117" s="32"/>
      <x:c r="S117" s="32"/>
      <x:c r="T117" s="32"/>
      <x:c r="U117" s="32"/>
      <x:c r="V117" s="32"/>
      <x:c r="W117" s="32"/>
      <x:c r="X117" s="32"/>
      <x:c r="Y117" s="32"/>
      <x:c r="Z117" s="32"/>
      <x:c r="AA117" s="32"/>
      <x:c r="AB117" s="32"/>
      <x:c r="AC117" s="32"/>
    </x:row>
    <x:row r="118">
      <x:c r="A118" s="32"/>
      <x:c r="B118" s="32"/>
      <x:c r="C118" s="32"/>
      <x:c r="D118" s="32"/>
      <x:c r="E118" s="32"/>
      <x:c r="F118" s="32"/>
      <x:c r="G118" s="32"/>
      <x:c r="H118" s="32"/>
      <x:c r="I118" s="32"/>
      <x:c r="J118" s="32"/>
      <x:c r="K118" s="32"/>
      <x:c r="L118" s="32"/>
      <x:c r="M118" s="32"/>
      <x:c r="N118" s="32"/>
      <x:c r="O118" s="32"/>
      <x:c r="P118" s="32"/>
      <x:c r="Q118" s="32"/>
      <x:c r="R118" s="32"/>
      <x:c r="S118" s="32"/>
      <x:c r="T118" s="32"/>
      <x:c r="U118" s="32"/>
      <x:c r="V118" s="32"/>
      <x:c r="W118" s="32"/>
      <x:c r="X118" s="32"/>
      <x:c r="Y118" s="32"/>
      <x:c r="Z118" s="32"/>
      <x:c r="AA118" s="32"/>
      <x:c r="AB118" s="32"/>
      <x:c r="AC118" s="32"/>
    </x:row>
    <x:row r="119">
      <x:c r="A119" s="32"/>
      <x:c r="B119" s="32"/>
      <x:c r="C119" s="32"/>
      <x:c r="D119" s="32"/>
      <x:c r="E119" s="32"/>
      <x:c r="F119" s="32"/>
      <x:c r="G119" s="32"/>
      <x:c r="H119" s="32"/>
      <x:c r="I119" s="32"/>
      <x:c r="J119" s="32"/>
      <x:c r="K119" s="32"/>
      <x:c r="L119" s="32"/>
      <x:c r="M119" s="32"/>
      <x:c r="N119" s="32"/>
      <x:c r="O119" s="32"/>
      <x:c r="P119" s="32"/>
      <x:c r="Q119" s="32"/>
      <x:c r="R119" s="32"/>
      <x:c r="S119" s="32"/>
      <x:c r="T119" s="32"/>
      <x:c r="U119" s="32"/>
      <x:c r="V119" s="32"/>
      <x:c r="W119" s="32"/>
      <x:c r="X119" s="32"/>
      <x:c r="Y119" s="32"/>
      <x:c r="Z119" s="32"/>
      <x:c r="AA119" s="32"/>
      <x:c r="AB119" s="32"/>
      <x:c r="AC119" s="32"/>
    </x:row>
    <x:row r="120">
      <x:c r="A120" s="32"/>
      <x:c r="B120" s="32"/>
      <x:c r="C120" s="32"/>
      <x:c r="D120" s="32"/>
      <x:c r="E120" s="32"/>
      <x:c r="F120" s="32"/>
      <x:c r="G120" s="32"/>
      <x:c r="H120" s="32"/>
      <x:c r="I120" s="32"/>
      <x:c r="J120" s="32"/>
      <x:c r="K120" s="32"/>
      <x:c r="L120" s="32"/>
      <x:c r="M120" s="32"/>
      <x:c r="N120" s="32"/>
      <x:c r="O120" s="32"/>
      <x:c r="P120" s="32"/>
      <x:c r="Q120" s="32"/>
      <x:c r="R120" s="32"/>
      <x:c r="S120" s="32"/>
      <x:c r="T120" s="32"/>
      <x:c r="U120" s="32"/>
      <x:c r="V120" s="32"/>
      <x:c r="W120" s="32"/>
      <x:c r="X120" s="32"/>
      <x:c r="Y120" s="32"/>
      <x:c r="Z120" s="32"/>
      <x:c r="AA120" s="32"/>
      <x:c r="AB120" s="32"/>
      <x:c r="AC120" s="32"/>
    </x:row>
    <x:row r="121">
      <x:c r="A121" s="32"/>
      <x:c r="B121" s="32"/>
      <x:c r="C121" s="32"/>
      <x:c r="D121" s="32"/>
      <x:c r="E121" s="32"/>
      <x:c r="F121" s="32"/>
      <x:c r="G121" s="32"/>
      <x:c r="H121" s="32"/>
      <x:c r="I121" s="32"/>
      <x:c r="J121" s="32"/>
      <x:c r="K121" s="32"/>
      <x:c r="L121" s="32"/>
      <x:c r="M121" s="32"/>
      <x:c r="N121" s="32"/>
      <x:c r="O121" s="32"/>
      <x:c r="P121" s="32"/>
      <x:c r="Q121" s="32"/>
      <x:c r="R121" s="32"/>
      <x:c r="S121" s="32"/>
      <x:c r="T121" s="32"/>
      <x:c r="U121" s="32"/>
      <x:c r="V121" s="32"/>
      <x:c r="W121" s="32"/>
      <x:c r="X121" s="32"/>
      <x:c r="Y121" s="32"/>
      <x:c r="Z121" s="32"/>
      <x:c r="AA121" s="32"/>
      <x:c r="AB121" s="32"/>
      <x:c r="AC121" s="32"/>
    </x:row>
    <x:row r="122">
      <x:c r="A122" s="32"/>
      <x:c r="B122" s="32"/>
      <x:c r="C122" s="32"/>
      <x:c r="D122" s="32"/>
      <x:c r="E122" s="32"/>
      <x:c r="F122" s="32"/>
      <x:c r="G122" s="32"/>
      <x:c r="H122" s="32"/>
      <x:c r="I122" s="32"/>
      <x:c r="J122" s="32"/>
      <x:c r="K122" s="32"/>
      <x:c r="L122" s="32"/>
      <x:c r="M122" s="32"/>
      <x:c r="N122" s="32"/>
      <x:c r="O122" s="32"/>
      <x:c r="P122" s="32"/>
      <x:c r="Q122" s="32"/>
      <x:c r="R122" s="32"/>
      <x:c r="S122" s="32"/>
      <x:c r="T122" s="32"/>
      <x:c r="U122" s="32"/>
      <x:c r="V122" s="32"/>
      <x:c r="W122" s="32"/>
      <x:c r="X122" s="32"/>
      <x:c r="Y122" s="32"/>
      <x:c r="Z122" s="32"/>
      <x:c r="AA122" s="32"/>
      <x:c r="AB122" s="32"/>
      <x:c r="AC122" s="32"/>
    </x:row>
    <x:row r="123">
      <x:c r="A123" s="32"/>
      <x:c r="B123" s="32"/>
      <x:c r="C123" s="32"/>
      <x:c r="D123" s="32"/>
      <x:c r="E123" s="32"/>
      <x:c r="F123" s="32"/>
      <x:c r="G123" s="32"/>
      <x:c r="H123" s="32"/>
      <x:c r="I123" s="32"/>
      <x:c r="J123" s="32"/>
      <x:c r="K123" s="32"/>
      <x:c r="L123" s="32"/>
      <x:c r="M123" s="32"/>
      <x:c r="N123" s="32"/>
      <x:c r="O123" s="32"/>
      <x:c r="P123" s="32"/>
      <x:c r="Q123" s="32"/>
      <x:c r="R123" s="32"/>
      <x:c r="S123" s="32"/>
      <x:c r="T123" s="32"/>
      <x:c r="U123" s="32"/>
      <x:c r="V123" s="32"/>
      <x:c r="W123" s="32"/>
      <x:c r="X123" s="32"/>
      <x:c r="Y123" s="32"/>
      <x:c r="Z123" s="32"/>
      <x:c r="AA123" s="32"/>
      <x:c r="AB123" s="32"/>
      <x:c r="AC123" s="32"/>
    </x:row>
    <x:row r="124">
      <x:c r="A124" s="32"/>
      <x:c r="B124" s="32"/>
      <x:c r="C124" s="32"/>
      <x:c r="D124" s="32"/>
      <x:c r="E124" s="32"/>
      <x:c r="F124" s="32"/>
      <x:c r="G124" s="32"/>
      <x:c r="H124" s="32"/>
      <x:c r="I124" s="32"/>
      <x:c r="J124" s="32"/>
      <x:c r="K124" s="32"/>
      <x:c r="L124" s="32"/>
      <x:c r="M124" s="32"/>
      <x:c r="N124" s="32"/>
      <x:c r="O124" s="32"/>
      <x:c r="P124" s="32"/>
      <x:c r="Q124" s="32"/>
      <x:c r="R124" s="32"/>
      <x:c r="S124" s="32"/>
      <x:c r="T124" s="32"/>
      <x:c r="U124" s="32"/>
      <x:c r="V124" s="32"/>
      <x:c r="W124" s="32"/>
      <x:c r="X124" s="32"/>
      <x:c r="Y124" s="32"/>
      <x:c r="Z124" s="32"/>
      <x:c r="AA124" s="32"/>
      <x:c r="AB124" s="32"/>
      <x:c r="AC124" s="32"/>
    </x:row>
    <x:row r="125">
      <x:c r="A125" s="32"/>
      <x:c r="B125" s="32"/>
      <x:c r="C125" s="32"/>
      <x:c r="D125" s="32"/>
      <x:c r="E125" s="32"/>
      <x:c r="F125" s="32"/>
      <x:c r="G125" s="32"/>
      <x:c r="H125" s="32"/>
      <x:c r="I125" s="32"/>
      <x:c r="J125" s="32"/>
      <x:c r="K125" s="32"/>
      <x:c r="L125" s="32"/>
      <x:c r="M125" s="32"/>
      <x:c r="N125" s="32"/>
      <x:c r="O125" s="32"/>
      <x:c r="P125" s="32"/>
      <x:c r="Q125" s="32"/>
      <x:c r="R125" s="32"/>
      <x:c r="S125" s="32"/>
      <x:c r="T125" s="32"/>
      <x:c r="U125" s="32"/>
      <x:c r="V125" s="32"/>
      <x:c r="W125" s="32"/>
      <x:c r="X125" s="32"/>
      <x:c r="Y125" s="32"/>
      <x:c r="Z125" s="32"/>
      <x:c r="AA125" s="32"/>
      <x:c r="AB125" s="32"/>
      <x:c r="AC125" s="32"/>
    </x:row>
    <x:row r="126">
      <x:c r="A126" s="32"/>
      <x:c r="B126" s="32"/>
      <x:c r="C126" s="32"/>
      <x:c r="D126" s="32"/>
      <x:c r="E126" s="32"/>
      <x:c r="F126" s="32"/>
      <x:c r="G126" s="32"/>
      <x:c r="H126" s="32"/>
      <x:c r="I126" s="32"/>
      <x:c r="J126" s="32"/>
      <x:c r="K126" s="32"/>
      <x:c r="L126" s="32"/>
      <x:c r="M126" s="32"/>
      <x:c r="N126" s="32"/>
      <x:c r="O126" s="32"/>
      <x:c r="P126" s="32"/>
      <x:c r="Q126" s="32"/>
      <x:c r="R126" s="32"/>
      <x:c r="S126" s="32"/>
      <x:c r="T126" s="32"/>
      <x:c r="U126" s="32"/>
      <x:c r="V126" s="32"/>
      <x:c r="W126" s="32"/>
      <x:c r="X126" s="32"/>
      <x:c r="Y126" s="32"/>
      <x:c r="Z126" s="32"/>
      <x:c r="AA126" s="32"/>
      <x:c r="AB126" s="32"/>
      <x:c r="AC126" s="32"/>
    </x:row>
    <x:row r="127">
      <x:c r="A127" s="32"/>
      <x:c r="B127" s="32"/>
      <x:c r="C127" s="32"/>
      <x:c r="D127" s="32"/>
      <x:c r="E127" s="32"/>
      <x:c r="F127" s="32"/>
      <x:c r="G127" s="32"/>
      <x:c r="H127" s="32"/>
      <x:c r="I127" s="32"/>
      <x:c r="J127" s="32"/>
      <x:c r="K127" s="32"/>
      <x:c r="L127" s="32"/>
      <x:c r="M127" s="32"/>
      <x:c r="N127" s="32"/>
      <x:c r="O127" s="32"/>
      <x:c r="P127" s="32"/>
      <x:c r="Q127" s="32"/>
      <x:c r="R127" s="32"/>
      <x:c r="S127" s="32"/>
      <x:c r="T127" s="32"/>
      <x:c r="U127" s="32"/>
      <x:c r="V127" s="32"/>
      <x:c r="W127" s="32"/>
      <x:c r="X127" s="32"/>
      <x:c r="Y127" s="32"/>
      <x:c r="Z127" s="32"/>
      <x:c r="AA127" s="32"/>
      <x:c r="AB127" s="32"/>
      <x:c r="AC127" s="32"/>
    </x:row>
    <x:row r="128">
      <x:c r="A128" s="32"/>
      <x:c r="B128" s="32"/>
      <x:c r="C128" s="32"/>
      <x:c r="D128" s="32"/>
      <x:c r="E128" s="32"/>
      <x:c r="F128" s="32"/>
      <x:c r="G128" s="32"/>
      <x:c r="H128" s="32"/>
      <x:c r="I128" s="32"/>
      <x:c r="J128" s="32"/>
      <x:c r="K128" s="32"/>
      <x:c r="L128" s="32"/>
      <x:c r="M128" s="32"/>
      <x:c r="N128" s="32"/>
      <x:c r="O128" s="32"/>
      <x:c r="P128" s="32"/>
      <x:c r="Q128" s="32"/>
      <x:c r="R128" s="32"/>
      <x:c r="S128" s="32"/>
      <x:c r="T128" s="32"/>
      <x:c r="U128" s="32"/>
      <x:c r="V128" s="32"/>
      <x:c r="W128" s="32"/>
      <x:c r="X128" s="32"/>
      <x:c r="Y128" s="32"/>
      <x:c r="Z128" s="32"/>
      <x:c r="AA128" s="32"/>
      <x:c r="AB128" s="32"/>
      <x:c r="AC128" s="32"/>
    </x:row>
    <x:row r="129">
      <x:c r="A129" s="32"/>
      <x:c r="B129" s="32"/>
      <x:c r="C129" s="32"/>
      <x:c r="D129" s="32"/>
      <x:c r="E129" s="32"/>
      <x:c r="F129" s="32"/>
      <x:c r="G129" s="32"/>
      <x:c r="H129" s="32"/>
      <x:c r="I129" s="32"/>
      <x:c r="J129" s="32"/>
      <x:c r="K129" s="32"/>
      <x:c r="L129" s="32"/>
      <x:c r="M129" s="32"/>
      <x:c r="N129" s="32"/>
      <x:c r="O129" s="32"/>
      <x:c r="P129" s="32"/>
      <x:c r="Q129" s="32"/>
      <x:c r="R129" s="32"/>
      <x:c r="S129" s="32"/>
      <x:c r="T129" s="32"/>
      <x:c r="U129" s="32"/>
      <x:c r="V129" s="32"/>
      <x:c r="W129" s="32"/>
      <x:c r="X129" s="32"/>
      <x:c r="Y129" s="32"/>
      <x:c r="Z129" s="32"/>
      <x:c r="AA129" s="32"/>
      <x:c r="AB129" s="32"/>
      <x:c r="AC129" s="32"/>
    </x:row>
    <x:row r="130">
      <x:c r="A130" s="32"/>
      <x:c r="B130" s="32"/>
      <x:c r="C130" s="32"/>
      <x:c r="D130" s="32"/>
      <x:c r="E130" s="32"/>
      <x:c r="F130" s="32"/>
      <x:c r="G130" s="32"/>
      <x:c r="H130" s="32"/>
      <x:c r="I130" s="32"/>
      <x:c r="J130" s="32"/>
      <x:c r="K130" s="32"/>
      <x:c r="L130" s="32"/>
      <x:c r="M130" s="32"/>
      <x:c r="N130" s="32"/>
      <x:c r="O130" s="32"/>
      <x:c r="P130" s="32"/>
      <x:c r="Q130" s="32"/>
      <x:c r="R130" s="32"/>
      <x:c r="S130" s="32"/>
      <x:c r="T130" s="32"/>
      <x:c r="U130" s="32"/>
      <x:c r="V130" s="32"/>
      <x:c r="W130" s="32"/>
      <x:c r="X130" s="32"/>
      <x:c r="Y130" s="32"/>
      <x:c r="Z130" s="32"/>
      <x:c r="AA130" s="32"/>
      <x:c r="AB130" s="32"/>
      <x:c r="AC130" s="32"/>
    </x:row>
    <x:row r="131">
      <x:c r="A131" s="32"/>
      <x:c r="B131" s="32"/>
      <x:c r="C131" s="32"/>
      <x:c r="D131" s="32"/>
      <x:c r="E131" s="32"/>
      <x:c r="F131" s="32"/>
      <x:c r="G131" s="32"/>
      <x:c r="H131" s="32"/>
      <x:c r="I131" s="32"/>
      <x:c r="J131" s="32"/>
      <x:c r="K131" s="32"/>
      <x:c r="L131" s="32"/>
      <x:c r="M131" s="32"/>
      <x:c r="N131" s="32"/>
      <x:c r="O131" s="32"/>
      <x:c r="P131" s="32"/>
      <x:c r="Q131" s="32"/>
      <x:c r="R131" s="32"/>
      <x:c r="S131" s="32"/>
      <x:c r="T131" s="32"/>
      <x:c r="U131" s="32"/>
      <x:c r="V131" s="32"/>
      <x:c r="W131" s="32"/>
      <x:c r="X131" s="32"/>
      <x:c r="Y131" s="32"/>
      <x:c r="Z131" s="32"/>
      <x:c r="AA131" s="32"/>
      <x:c r="AB131" s="32"/>
      <x:c r="AC131" s="32"/>
    </x:row>
    <x:row r="132">
      <x:c r="A132" s="32"/>
      <x:c r="B132" s="32"/>
      <x:c r="C132" s="32"/>
      <x:c r="D132" s="32"/>
      <x:c r="E132" s="32"/>
      <x:c r="F132" s="32"/>
      <x:c r="G132" s="32"/>
      <x:c r="H132" s="32"/>
      <x:c r="I132" s="32"/>
      <x:c r="J132" s="32"/>
      <x:c r="K132" s="32"/>
      <x:c r="L132" s="32"/>
      <x:c r="M132" s="32"/>
      <x:c r="N132" s="32"/>
      <x:c r="O132" s="32"/>
      <x:c r="P132" s="32"/>
      <x:c r="Q132" s="32"/>
      <x:c r="R132" s="32"/>
      <x:c r="S132" s="32"/>
      <x:c r="T132" s="32"/>
      <x:c r="U132" s="32"/>
      <x:c r="V132" s="32"/>
      <x:c r="W132" s="32"/>
      <x:c r="X132" s="32"/>
      <x:c r="Y132" s="32"/>
      <x:c r="Z132" s="32"/>
      <x:c r="AA132" s="32"/>
      <x:c r="AB132" s="32"/>
      <x:c r="AC132" s="32"/>
    </x:row>
    <x:row r="133">
      <x:c r="A133" s="32"/>
      <x:c r="B133" s="32"/>
      <x:c r="C133" s="32"/>
      <x:c r="D133" s="32"/>
      <x:c r="E133" s="32"/>
      <x:c r="F133" s="32"/>
      <x:c r="G133" s="32"/>
      <x:c r="H133" s="32"/>
      <x:c r="I133" s="32"/>
      <x:c r="J133" s="32"/>
      <x:c r="K133" s="32"/>
      <x:c r="L133" s="32"/>
      <x:c r="M133" s="32"/>
      <x:c r="N133" s="32"/>
      <x:c r="O133" s="32"/>
      <x:c r="P133" s="32"/>
      <x:c r="Q133" s="32"/>
      <x:c r="R133" s="32"/>
      <x:c r="S133" s="32"/>
      <x:c r="T133" s="32"/>
      <x:c r="U133" s="32"/>
      <x:c r="V133" s="32"/>
      <x:c r="W133" s="32"/>
      <x:c r="X133" s="32"/>
      <x:c r="Y133" s="32"/>
      <x:c r="Z133" s="32"/>
      <x:c r="AA133" s="32"/>
      <x:c r="AB133" s="32"/>
      <x:c r="AC133" s="32"/>
    </x:row>
    <x:row r="134">
      <x:c r="A134" s="32"/>
      <x:c r="B134" s="32"/>
      <x:c r="C134" s="32"/>
      <x:c r="D134" s="32"/>
      <x:c r="E134" s="32"/>
      <x:c r="F134" s="32"/>
      <x:c r="G134" s="32"/>
      <x:c r="H134" s="32"/>
      <x:c r="I134" s="32"/>
      <x:c r="J134" s="32"/>
      <x:c r="K134" s="32"/>
      <x:c r="L134" s="32"/>
      <x:c r="M134" s="32"/>
      <x:c r="N134" s="32"/>
      <x:c r="O134" s="32"/>
      <x:c r="P134" s="32"/>
      <x:c r="Q134" s="32"/>
      <x:c r="R134" s="32"/>
      <x:c r="S134" s="32"/>
      <x:c r="T134" s="32"/>
      <x:c r="U134" s="32"/>
      <x:c r="V134" s="32"/>
      <x:c r="W134" s="32"/>
      <x:c r="X134" s="32"/>
      <x:c r="Y134" s="32"/>
      <x:c r="Z134" s="32"/>
      <x:c r="AA134" s="32"/>
      <x:c r="AB134" s="32"/>
      <x:c r="AC134" s="32"/>
    </x:row>
    <x:row r="135">
      <x:c r="A135" s="32"/>
      <x:c r="B135" s="32"/>
      <x:c r="C135" s="32"/>
      <x:c r="D135" s="32"/>
      <x:c r="E135" s="32"/>
      <x:c r="F135" s="32"/>
      <x:c r="G135" s="32"/>
      <x:c r="H135" s="32"/>
      <x:c r="I135" s="32"/>
      <x:c r="J135" s="32"/>
      <x:c r="K135" s="32"/>
      <x:c r="L135" s="32"/>
      <x:c r="M135" s="32"/>
      <x:c r="N135" s="32"/>
      <x:c r="O135" s="32"/>
      <x:c r="P135" s="32"/>
      <x:c r="Q135" s="32"/>
      <x:c r="R135" s="32"/>
      <x:c r="S135" s="32"/>
      <x:c r="T135" s="32"/>
      <x:c r="U135" s="32"/>
      <x:c r="V135" s="32"/>
      <x:c r="W135" s="32"/>
      <x:c r="X135" s="32"/>
      <x:c r="Y135" s="32"/>
      <x:c r="Z135" s="32"/>
      <x:c r="AA135" s="32"/>
      <x:c r="AB135" s="32"/>
      <x:c r="AC135" s="32"/>
    </x:row>
    <x:row r="136">
      <x:c r="A136" s="32"/>
      <x:c r="B136" s="32"/>
      <x:c r="C136" s="32"/>
      <x:c r="D136" s="32"/>
      <x:c r="E136" s="32"/>
      <x:c r="F136" s="32"/>
      <x:c r="G136" s="32"/>
      <x:c r="H136" s="32"/>
      <x:c r="I136" s="32"/>
      <x:c r="J136" s="32"/>
      <x:c r="K136" s="32"/>
      <x:c r="L136" s="32"/>
      <x:c r="M136" s="32"/>
      <x:c r="N136" s="32"/>
      <x:c r="O136" s="32"/>
      <x:c r="P136" s="32"/>
      <x:c r="Q136" s="32"/>
      <x:c r="R136" s="32"/>
      <x:c r="S136" s="32"/>
      <x:c r="T136" s="32"/>
      <x:c r="U136" s="32"/>
      <x:c r="V136" s="32"/>
      <x:c r="W136" s="32"/>
      <x:c r="X136" s="32"/>
      <x:c r="Y136" s="32"/>
      <x:c r="Z136" s="32"/>
      <x:c r="AA136" s="32"/>
      <x:c r="AB136" s="32"/>
      <x:c r="AC136" s="32"/>
    </x:row>
    <x:row r="137">
      <x:c r="A137" s="32"/>
      <x:c r="B137" s="32"/>
      <x:c r="C137" s="32"/>
      <x:c r="D137" s="32"/>
      <x:c r="E137" s="32"/>
      <x:c r="F137" s="32"/>
      <x:c r="G137" s="32"/>
      <x:c r="H137" s="32"/>
      <x:c r="I137" s="32"/>
      <x:c r="J137" s="32"/>
      <x:c r="K137" s="32"/>
      <x:c r="L137" s="32"/>
      <x:c r="M137" s="32"/>
      <x:c r="N137" s="32"/>
      <x:c r="O137" s="32"/>
      <x:c r="P137" s="32"/>
      <x:c r="Q137" s="32"/>
      <x:c r="R137" s="32"/>
      <x:c r="S137" s="32"/>
      <x:c r="T137" s="32"/>
      <x:c r="U137" s="32"/>
      <x:c r="V137" s="32"/>
      <x:c r="W137" s="32"/>
      <x:c r="X137" s="32"/>
      <x:c r="Y137" s="32"/>
      <x:c r="Z137" s="32"/>
      <x:c r="AA137" s="32"/>
      <x:c r="AB137" s="32"/>
      <x:c r="AC137" s="32"/>
    </x:row>
    <x:row r="138">
      <x:c r="A138" s="32"/>
      <x:c r="B138" s="32"/>
      <x:c r="C138" s="32"/>
      <x:c r="D138" s="32"/>
      <x:c r="E138" s="32"/>
      <x:c r="F138" s="32"/>
      <x:c r="G138" s="32"/>
      <x:c r="H138" s="32"/>
      <x:c r="I138" s="32"/>
      <x:c r="J138" s="32"/>
      <x:c r="K138" s="32"/>
      <x:c r="L138" s="32"/>
      <x:c r="M138" s="32"/>
      <x:c r="N138" s="32"/>
      <x:c r="O138" s="32"/>
      <x:c r="P138" s="32"/>
      <x:c r="Q138" s="32"/>
      <x:c r="R138" s="32"/>
      <x:c r="S138" s="32"/>
      <x:c r="T138" s="32"/>
      <x:c r="U138" s="32"/>
      <x:c r="V138" s="32"/>
      <x:c r="W138" s="32"/>
      <x:c r="X138" s="32"/>
      <x:c r="Y138" s="32"/>
      <x:c r="Z138" s="32"/>
      <x:c r="AA138" s="32"/>
      <x:c r="AB138" s="32"/>
      <x:c r="AC138" s="32"/>
    </x:row>
    <x:row r="139">
      <x:c r="A139" s="32"/>
      <x:c r="B139" s="32"/>
      <x:c r="C139" s="32"/>
      <x:c r="D139" s="32"/>
      <x:c r="E139" s="32"/>
      <x:c r="F139" s="32"/>
      <x:c r="G139" s="32"/>
      <x:c r="H139" s="32"/>
      <x:c r="I139" s="32"/>
      <x:c r="J139" s="32"/>
      <x:c r="K139" s="32"/>
      <x:c r="L139" s="32"/>
      <x:c r="M139" s="32"/>
      <x:c r="N139" s="32"/>
      <x:c r="O139" s="32"/>
      <x:c r="P139" s="32"/>
      <x:c r="Q139" s="32"/>
      <x:c r="R139" s="32"/>
      <x:c r="S139" s="32"/>
      <x:c r="T139" s="32"/>
      <x:c r="U139" s="32"/>
      <x:c r="V139" s="32"/>
      <x:c r="W139" s="32"/>
      <x:c r="X139" s="32"/>
      <x:c r="Y139" s="32"/>
      <x:c r="Z139" s="32"/>
      <x:c r="AA139" s="32"/>
      <x:c r="AB139" s="32"/>
      <x:c r="AC139" s="32"/>
    </x:row>
    <x:row r="140">
      <x:c r="A140" s="32"/>
      <x:c r="B140" s="32"/>
      <x:c r="C140" s="32"/>
      <x:c r="D140" s="32"/>
      <x:c r="E140" s="32"/>
      <x:c r="F140" s="32"/>
      <x:c r="G140" s="32"/>
      <x:c r="H140" s="32"/>
      <x:c r="I140" s="32"/>
      <x:c r="J140" s="32"/>
      <x:c r="K140" s="32"/>
      <x:c r="L140" s="32"/>
      <x:c r="M140" s="32"/>
      <x:c r="N140" s="32"/>
      <x:c r="O140" s="32"/>
      <x:c r="P140" s="32"/>
      <x:c r="Q140" s="32"/>
      <x:c r="R140" s="32"/>
      <x:c r="S140" s="32"/>
      <x:c r="T140" s="32"/>
      <x:c r="U140" s="32"/>
      <x:c r="V140" s="32"/>
      <x:c r="W140" s="32"/>
      <x:c r="X140" s="32"/>
      <x:c r="Y140" s="32"/>
      <x:c r="Z140" s="32"/>
      <x:c r="AA140" s="32"/>
      <x:c r="AB140" s="32"/>
      <x:c r="AC140" s="32"/>
    </x:row>
    <x:row r="141">
      <x:c r="A141" s="32"/>
      <x:c r="B141" s="32"/>
      <x:c r="C141" s="32"/>
      <x:c r="D141" s="32"/>
      <x:c r="E141" s="32"/>
      <x:c r="F141" s="32"/>
      <x:c r="G141" s="32"/>
      <x:c r="H141" s="32"/>
      <x:c r="I141" s="32"/>
      <x:c r="J141" s="32"/>
      <x:c r="K141" s="32"/>
      <x:c r="L141" s="32"/>
      <x:c r="M141" s="32"/>
      <x:c r="N141" s="32"/>
      <x:c r="O141" s="32"/>
      <x:c r="P141" s="32"/>
      <x:c r="Q141" s="32"/>
      <x:c r="R141" s="32"/>
      <x:c r="S141" s="32"/>
      <x:c r="T141" s="32"/>
      <x:c r="U141" s="32"/>
      <x:c r="V141" s="32"/>
      <x:c r="W141" s="32"/>
      <x:c r="X141" s="32"/>
      <x:c r="Y141" s="32"/>
      <x:c r="Z141" s="32"/>
      <x:c r="AA141" s="32"/>
      <x:c r="AB141" s="32"/>
      <x:c r="AC141" s="32"/>
    </x:row>
    <x:row r="142">
      <x:c r="A142" s="32"/>
      <x:c r="B142" s="32"/>
      <x:c r="C142" s="32"/>
      <x:c r="D142" s="32"/>
      <x:c r="E142" s="32"/>
      <x:c r="F142" s="32"/>
      <x:c r="G142" s="32"/>
      <x:c r="H142" s="32"/>
      <x:c r="I142" s="32"/>
      <x:c r="J142" s="32"/>
      <x:c r="K142" s="32"/>
      <x:c r="L142" s="32"/>
      <x:c r="M142" s="32"/>
      <x:c r="N142" s="32"/>
      <x:c r="O142" s="32"/>
      <x:c r="P142" s="32"/>
      <x:c r="Q142" s="32"/>
      <x:c r="R142" s="32"/>
      <x:c r="S142" s="32"/>
      <x:c r="T142" s="32"/>
      <x:c r="U142" s="32"/>
      <x:c r="V142" s="32"/>
      <x:c r="W142" s="32"/>
      <x:c r="X142" s="32"/>
      <x:c r="Y142" s="32"/>
      <x:c r="Z142" s="32"/>
      <x:c r="AA142" s="32"/>
      <x:c r="AB142" s="32"/>
      <x:c r="AC142" s="32"/>
    </x:row>
    <x:row r="143">
      <x:c r="A143" s="32"/>
      <x:c r="B143" s="32"/>
      <x:c r="C143" s="32"/>
      <x:c r="D143" s="32"/>
      <x:c r="E143" s="32"/>
      <x:c r="F143" s="32"/>
      <x:c r="G143" s="32"/>
      <x:c r="H143" s="32"/>
      <x:c r="I143" s="32"/>
      <x:c r="J143" s="32"/>
      <x:c r="K143" s="32"/>
      <x:c r="L143" s="32"/>
      <x:c r="M143" s="32"/>
      <x:c r="N143" s="32"/>
      <x:c r="O143" s="32"/>
      <x:c r="P143" s="32"/>
      <x:c r="Q143" s="32"/>
      <x:c r="R143" s="32"/>
      <x:c r="S143" s="32"/>
      <x:c r="T143" s="32"/>
      <x:c r="U143" s="32"/>
      <x:c r="V143" s="32"/>
      <x:c r="W143" s="32"/>
      <x:c r="X143" s="32"/>
      <x:c r="Y143" s="32"/>
      <x:c r="Z143" s="32"/>
      <x:c r="AA143" s="32"/>
      <x:c r="AB143" s="32"/>
      <x:c r="AC143" s="32"/>
    </x:row>
    <x:row r="144">
      <x:c r="A144" s="32"/>
      <x:c r="B144" s="32"/>
      <x:c r="C144" s="32"/>
      <x:c r="D144" s="32"/>
      <x:c r="E144" s="32"/>
      <x:c r="F144" s="32"/>
      <x:c r="G144" s="32"/>
      <x:c r="H144" s="32"/>
      <x:c r="I144" s="32"/>
      <x:c r="J144" s="32"/>
      <x:c r="K144" s="32"/>
      <x:c r="L144" s="32"/>
      <x:c r="M144" s="32"/>
      <x:c r="N144" s="32"/>
      <x:c r="O144" s="32"/>
      <x:c r="P144" s="32"/>
      <x:c r="Q144" s="32"/>
      <x:c r="R144" s="32"/>
      <x:c r="S144" s="32"/>
      <x:c r="T144" s="32"/>
      <x:c r="U144" s="32"/>
      <x:c r="V144" s="32"/>
      <x:c r="W144" s="32"/>
      <x:c r="X144" s="32"/>
      <x:c r="Y144" s="32"/>
      <x:c r="Z144" s="32"/>
      <x:c r="AA144" s="32"/>
      <x:c r="AB144" s="32"/>
      <x:c r="AC144" s="32"/>
    </x:row>
    <x:row r="145">
      <x:c r="A145" s="32"/>
      <x:c r="B145" s="32"/>
      <x:c r="C145" s="32"/>
      <x:c r="D145" s="32"/>
      <x:c r="E145" s="32"/>
      <x:c r="F145" s="32"/>
      <x:c r="G145" s="32"/>
      <x:c r="H145" s="32"/>
      <x:c r="I145" s="32"/>
      <x:c r="J145" s="32"/>
      <x:c r="K145" s="32"/>
      <x:c r="L145" s="32"/>
      <x:c r="M145" s="32"/>
      <x:c r="N145" s="32"/>
      <x:c r="O145" s="32"/>
      <x:c r="P145" s="32"/>
      <x:c r="Q145" s="32"/>
      <x:c r="R145" s="32"/>
      <x:c r="S145" s="32"/>
      <x:c r="T145" s="32"/>
      <x:c r="U145" s="32"/>
      <x:c r="V145" s="32"/>
      <x:c r="W145" s="32"/>
      <x:c r="X145" s="32"/>
      <x:c r="Y145" s="32"/>
      <x:c r="Z145" s="32"/>
      <x:c r="AA145" s="32"/>
      <x:c r="AB145" s="32"/>
      <x:c r="AC145" s="32"/>
    </x:row>
    <x:row r="146">
      <x:c r="A146" s="32"/>
      <x:c r="B146" s="32"/>
      <x:c r="C146" s="32"/>
      <x:c r="D146" s="32"/>
      <x:c r="E146" s="32"/>
      <x:c r="F146" s="32"/>
      <x:c r="G146" s="32"/>
      <x:c r="H146" s="32"/>
      <x:c r="I146" s="32"/>
      <x:c r="J146" s="32"/>
      <x:c r="K146" s="32"/>
      <x:c r="L146" s="32"/>
      <x:c r="M146" s="32"/>
      <x:c r="N146" s="32"/>
      <x:c r="O146" s="32"/>
      <x:c r="P146" s="32"/>
      <x:c r="Q146" s="32"/>
      <x:c r="R146" s="32"/>
      <x:c r="S146" s="32"/>
      <x:c r="T146" s="32"/>
      <x:c r="U146" s="32"/>
      <x:c r="V146" s="32"/>
      <x:c r="W146" s="32"/>
      <x:c r="X146" s="32"/>
      <x:c r="Y146" s="32"/>
      <x:c r="Z146" s="32"/>
      <x:c r="AA146" s="32"/>
      <x:c r="AB146" s="32"/>
      <x:c r="AC146" s="32"/>
    </x:row>
    <x:row r="147">
      <x:c r="A147" s="32"/>
      <x:c r="B147" s="32"/>
      <x:c r="C147" s="32"/>
      <x:c r="D147" s="32"/>
      <x:c r="E147" s="32"/>
      <x:c r="F147" s="32"/>
      <x:c r="G147" s="32"/>
      <x:c r="H147" s="32"/>
      <x:c r="I147" s="32"/>
      <x:c r="J147" s="32"/>
      <x:c r="K147" s="32"/>
      <x:c r="L147" s="32"/>
      <x:c r="M147" s="32"/>
      <x:c r="N147" s="32"/>
      <x:c r="O147" s="32"/>
      <x:c r="P147" s="32"/>
      <x:c r="Q147" s="32"/>
      <x:c r="R147" s="32"/>
      <x:c r="S147" s="32"/>
      <x:c r="T147" s="32"/>
      <x:c r="U147" s="32"/>
      <x:c r="V147" s="32"/>
      <x:c r="W147" s="32"/>
      <x:c r="X147" s="32"/>
      <x:c r="Y147" s="32"/>
      <x:c r="Z147" s="32"/>
      <x:c r="AA147" s="32"/>
      <x:c r="AB147" s="32"/>
      <x:c r="AC147" s="32"/>
    </x:row>
    <x:row r="148">
      <x:c r="A148" s="32"/>
      <x:c r="B148" s="32"/>
      <x:c r="C148" s="32"/>
      <x:c r="D148" s="32"/>
      <x:c r="E148" s="32"/>
      <x:c r="F148" s="32"/>
      <x:c r="G148" s="32"/>
      <x:c r="H148" s="32"/>
      <x:c r="I148" s="32"/>
      <x:c r="J148" s="32"/>
      <x:c r="K148" s="32"/>
      <x:c r="L148" s="32"/>
      <x:c r="M148" s="32"/>
      <x:c r="N148" s="32"/>
      <x:c r="O148" s="32"/>
      <x:c r="P148" s="32"/>
      <x:c r="Q148" s="32"/>
      <x:c r="R148" s="32"/>
      <x:c r="S148" s="32"/>
      <x:c r="T148" s="32"/>
      <x:c r="U148" s="32"/>
      <x:c r="V148" s="32"/>
      <x:c r="W148" s="32"/>
      <x:c r="X148" s="32"/>
      <x:c r="Y148" s="32"/>
      <x:c r="Z148" s="32"/>
      <x:c r="AA148" s="32"/>
      <x:c r="AB148" s="32"/>
      <x:c r="AC148" s="32"/>
    </x:row>
    <x:row r="149">
      <x:c r="A149" s="32"/>
      <x:c r="B149" s="32"/>
      <x:c r="C149" s="32"/>
      <x:c r="D149" s="32"/>
      <x:c r="E149" s="32"/>
      <x:c r="F149" s="32"/>
      <x:c r="G149" s="32"/>
      <x:c r="H149" s="32"/>
      <x:c r="I149" s="32"/>
      <x:c r="J149" s="32"/>
      <x:c r="K149" s="32"/>
      <x:c r="L149" s="32"/>
      <x:c r="M149" s="32"/>
      <x:c r="N149" s="32"/>
      <x:c r="O149" s="32"/>
      <x:c r="P149" s="32"/>
      <x:c r="Q149" s="32"/>
      <x:c r="R149" s="32"/>
      <x:c r="S149" s="32"/>
      <x:c r="T149" s="32"/>
      <x:c r="U149" s="32"/>
      <x:c r="V149" s="32"/>
      <x:c r="W149" s="32"/>
      <x:c r="X149" s="32"/>
      <x:c r="Y149" s="32"/>
      <x:c r="Z149" s="32"/>
      <x:c r="AA149" s="32"/>
      <x:c r="AB149" s="32"/>
      <x:c r="AC149" s="32"/>
    </x:row>
    <x:row r="150">
      <x:c r="A150" s="32"/>
      <x:c r="B150" s="32"/>
      <x:c r="C150" s="32"/>
      <x:c r="D150" s="32"/>
      <x:c r="E150" s="32"/>
      <x:c r="F150" s="32"/>
      <x:c r="G150" s="32"/>
      <x:c r="H150" s="32"/>
      <x:c r="I150" s="32"/>
      <x:c r="J150" s="32"/>
      <x:c r="K150" s="32"/>
      <x:c r="L150" s="32"/>
      <x:c r="M150" s="32"/>
      <x:c r="N150" s="32"/>
      <x:c r="O150" s="32"/>
      <x:c r="P150" s="32"/>
      <x:c r="Q150" s="32"/>
      <x:c r="R150" s="32"/>
      <x:c r="S150" s="32"/>
      <x:c r="T150" s="32"/>
      <x:c r="U150" s="32"/>
      <x:c r="V150" s="32"/>
      <x:c r="W150" s="32"/>
      <x:c r="X150" s="32"/>
      <x:c r="Y150" s="32"/>
      <x:c r="Z150" s="32"/>
      <x:c r="AA150" s="32"/>
      <x:c r="AB150" s="32"/>
      <x:c r="AC150" s="32"/>
    </x:row>
    <x:row r="151">
      <x:c r="A151" s="32"/>
      <x:c r="B151" s="32"/>
      <x:c r="C151" s="32"/>
      <x:c r="D151" s="32"/>
      <x:c r="E151" s="32"/>
      <x:c r="F151" s="32"/>
      <x:c r="G151" s="32"/>
      <x:c r="H151" s="32"/>
      <x:c r="I151" s="32"/>
      <x:c r="J151" s="32"/>
      <x:c r="K151" s="32"/>
      <x:c r="L151" s="32"/>
      <x:c r="M151" s="32"/>
      <x:c r="N151" s="32"/>
      <x:c r="O151" s="32"/>
      <x:c r="P151" s="32"/>
      <x:c r="Q151" s="32"/>
      <x:c r="R151" s="32"/>
      <x:c r="S151" s="32"/>
      <x:c r="T151" s="32"/>
      <x:c r="U151" s="32"/>
      <x:c r="V151" s="32"/>
      <x:c r="W151" s="32"/>
      <x:c r="X151" s="32"/>
      <x:c r="Y151" s="32"/>
      <x:c r="Z151" s="32"/>
      <x:c r="AA151" s="32"/>
      <x:c r="AB151" s="32"/>
      <x:c r="AC151" s="32"/>
    </x:row>
    <x:row r="152">
      <x:c r="A152" s="32"/>
      <x:c r="B152" s="32"/>
      <x:c r="C152" s="32"/>
      <x:c r="D152" s="32"/>
      <x:c r="E152" s="32"/>
      <x:c r="F152" s="32"/>
      <x:c r="G152" s="32"/>
      <x:c r="H152" s="32"/>
      <x:c r="I152" s="32"/>
      <x:c r="J152" s="32"/>
      <x:c r="K152" s="32"/>
      <x:c r="L152" s="32"/>
      <x:c r="M152" s="32"/>
      <x:c r="N152" s="32"/>
      <x:c r="O152" s="32"/>
      <x:c r="P152" s="32"/>
      <x:c r="Q152" s="32"/>
      <x:c r="R152" s="32"/>
      <x:c r="S152" s="32"/>
      <x:c r="T152" s="32"/>
      <x:c r="U152" s="32"/>
      <x:c r="V152" s="32"/>
      <x:c r="W152" s="32"/>
      <x:c r="X152" s="32"/>
      <x:c r="Y152" s="32"/>
      <x:c r="Z152" s="32"/>
      <x:c r="AA152" s="32"/>
      <x:c r="AB152" s="32"/>
      <x:c r="AC152" s="32"/>
    </x:row>
    <x:row r="153">
      <x:c r="A153" s="32"/>
      <x:c r="B153" s="32"/>
      <x:c r="C153" s="32"/>
      <x:c r="D153" s="32"/>
      <x:c r="E153" s="32"/>
      <x:c r="F153" s="32"/>
      <x:c r="G153" s="32"/>
      <x:c r="H153" s="32"/>
      <x:c r="I153" s="32"/>
      <x:c r="J153" s="32"/>
      <x:c r="K153" s="32"/>
      <x:c r="L153" s="32"/>
      <x:c r="M153" s="32"/>
      <x:c r="N153" s="32"/>
      <x:c r="O153" s="32"/>
      <x:c r="P153" s="32"/>
      <x:c r="Q153" s="32"/>
      <x:c r="R153" s="32"/>
      <x:c r="S153" s="32"/>
      <x:c r="T153" s="32"/>
      <x:c r="U153" s="32"/>
      <x:c r="V153" s="32"/>
      <x:c r="W153" s="32"/>
      <x:c r="X153" s="32"/>
      <x:c r="Y153" s="32"/>
      <x:c r="Z153" s="32"/>
      <x:c r="AA153" s="32"/>
      <x:c r="AB153" s="32"/>
      <x:c r="AC153" s="32"/>
    </x:row>
    <x:row r="154">
      <x:c r="A154" s="32"/>
      <x:c r="B154" s="32"/>
      <x:c r="C154" s="32"/>
      <x:c r="D154" s="32"/>
      <x:c r="E154" s="32"/>
      <x:c r="F154" s="32"/>
      <x:c r="G154" s="32"/>
      <x:c r="H154" s="32"/>
      <x:c r="I154" s="32"/>
      <x:c r="J154" s="32"/>
      <x:c r="K154" s="32"/>
      <x:c r="L154" s="32"/>
      <x:c r="M154" s="32"/>
      <x:c r="N154" s="32"/>
      <x:c r="O154" s="32"/>
      <x:c r="P154" s="32"/>
      <x:c r="Q154" s="32"/>
      <x:c r="R154" s="32"/>
      <x:c r="S154" s="32"/>
      <x:c r="T154" s="32"/>
      <x:c r="U154" s="32"/>
      <x:c r="V154" s="32"/>
      <x:c r="W154" s="32"/>
      <x:c r="X154" s="32"/>
      <x:c r="Y154" s="32"/>
      <x:c r="Z154" s="32"/>
      <x:c r="AA154" s="32"/>
      <x:c r="AB154" s="32"/>
      <x:c r="AC154" s="32"/>
    </x:row>
    <x:row r="155">
      <x:c r="A155" s="32"/>
      <x:c r="B155" s="32"/>
      <x:c r="C155" s="32"/>
      <x:c r="D155" s="32"/>
      <x:c r="E155" s="32"/>
      <x:c r="F155" s="32"/>
      <x:c r="G155" s="32"/>
      <x:c r="H155" s="32"/>
      <x:c r="I155" s="32"/>
      <x:c r="J155" s="32"/>
      <x:c r="K155" s="32"/>
      <x:c r="L155" s="32"/>
      <x:c r="M155" s="32"/>
      <x:c r="N155" s="32"/>
      <x:c r="O155" s="32"/>
      <x:c r="P155" s="32"/>
      <x:c r="Q155" s="32"/>
      <x:c r="R155" s="32"/>
      <x:c r="S155" s="32"/>
      <x:c r="T155" s="32"/>
      <x:c r="U155" s="32"/>
      <x:c r="V155" s="32"/>
      <x:c r="W155" s="32"/>
      <x:c r="X155" s="32"/>
      <x:c r="Y155" s="32"/>
      <x:c r="Z155" s="32"/>
      <x:c r="AA155" s="32"/>
      <x:c r="AB155" s="32"/>
      <x:c r="AC155" s="32"/>
    </x:row>
    <x:row r="156">
      <x:c r="A156" s="32"/>
      <x:c r="B156" s="32"/>
      <x:c r="C156" s="32"/>
      <x:c r="D156" s="32"/>
      <x:c r="E156" s="32"/>
      <x:c r="F156" s="32"/>
      <x:c r="G156" s="32"/>
      <x:c r="H156" s="32"/>
      <x:c r="I156" s="32"/>
      <x:c r="J156" s="32"/>
      <x:c r="K156" s="32"/>
      <x:c r="L156" s="32"/>
      <x:c r="M156" s="32"/>
      <x:c r="N156" s="32"/>
      <x:c r="O156" s="32"/>
      <x:c r="P156" s="32"/>
      <x:c r="Q156" s="32"/>
      <x:c r="R156" s="32"/>
      <x:c r="S156" s="32"/>
      <x:c r="T156" s="32"/>
      <x:c r="U156" s="32"/>
      <x:c r="V156" s="32"/>
      <x:c r="W156" s="32"/>
      <x:c r="X156" s="32"/>
      <x:c r="Y156" s="32"/>
      <x:c r="Z156" s="32"/>
      <x:c r="AA156" s="32"/>
      <x:c r="AB156" s="32"/>
      <x:c r="AC156" s="32"/>
    </x:row>
    <x:row r="157">
      <x:c r="A157" s="32"/>
      <x:c r="B157" s="32"/>
      <x:c r="C157" s="32"/>
      <x:c r="D157" s="32"/>
      <x:c r="E157" s="32"/>
      <x:c r="F157" s="32"/>
      <x:c r="G157" s="32"/>
      <x:c r="H157" s="32"/>
      <x:c r="I157" s="32"/>
      <x:c r="J157" s="32"/>
      <x:c r="K157" s="32"/>
      <x:c r="L157" s="32"/>
      <x:c r="M157" s="32"/>
      <x:c r="N157" s="32"/>
      <x:c r="O157" s="32"/>
      <x:c r="P157" s="32"/>
      <x:c r="Q157" s="32"/>
      <x:c r="R157" s="32"/>
      <x:c r="S157" s="32"/>
      <x:c r="T157" s="32"/>
      <x:c r="U157" s="32"/>
      <x:c r="V157" s="32"/>
      <x:c r="W157" s="32"/>
      <x:c r="X157" s="32"/>
      <x:c r="Y157" s="32"/>
      <x:c r="Z157" s="32"/>
      <x:c r="AA157" s="32"/>
      <x:c r="AB157" s="32"/>
      <x:c r="AC157" s="32"/>
    </x:row>
    <x:row r="158">
      <x:c r="A158" s="32"/>
      <x:c r="B158" s="32"/>
      <x:c r="C158" s="32"/>
      <x:c r="D158" s="32"/>
      <x:c r="E158" s="32"/>
      <x:c r="F158" s="32"/>
      <x:c r="G158" s="32"/>
      <x:c r="H158" s="32"/>
      <x:c r="I158" s="32"/>
      <x:c r="J158" s="32"/>
      <x:c r="K158" s="32"/>
      <x:c r="L158" s="32"/>
      <x:c r="M158" s="32"/>
      <x:c r="N158" s="32"/>
      <x:c r="O158" s="32"/>
      <x:c r="P158" s="32"/>
      <x:c r="Q158" s="32"/>
      <x:c r="R158" s="32"/>
      <x:c r="S158" s="32"/>
      <x:c r="T158" s="32"/>
      <x:c r="U158" s="32"/>
      <x:c r="V158" s="32"/>
      <x:c r="W158" s="32"/>
      <x:c r="X158" s="32"/>
      <x:c r="Y158" s="32"/>
      <x:c r="Z158" s="32"/>
      <x:c r="AA158" s="32"/>
      <x:c r="AB158" s="32"/>
      <x:c r="AC158" s="32"/>
    </x:row>
    <x:row r="159">
      <x:c r="A159" s="32"/>
      <x:c r="B159" s="32"/>
      <x:c r="C159" s="32"/>
      <x:c r="D159" s="32"/>
      <x:c r="E159" s="32"/>
      <x:c r="F159" s="32"/>
      <x:c r="G159" s="32"/>
      <x:c r="H159" s="32"/>
      <x:c r="I159" s="32"/>
      <x:c r="J159" s="32"/>
      <x:c r="K159" s="32"/>
      <x:c r="L159" s="32"/>
      <x:c r="M159" s="32"/>
      <x:c r="N159" s="32"/>
      <x:c r="O159" s="32"/>
      <x:c r="P159" s="32"/>
      <x:c r="Q159" s="32"/>
      <x:c r="R159" s="32"/>
      <x:c r="S159" s="32"/>
      <x:c r="T159" s="32"/>
      <x:c r="U159" s="32"/>
      <x:c r="V159" s="32"/>
      <x:c r="W159" s="32"/>
      <x:c r="X159" s="32"/>
      <x:c r="Y159" s="32"/>
      <x:c r="Z159" s="32"/>
      <x:c r="AA159" s="32"/>
      <x:c r="AB159" s="32"/>
      <x:c r="AC159" s="32"/>
    </x:row>
    <x:row r="160">
      <x:c r="A160" s="32"/>
      <x:c r="B160" s="32"/>
      <x:c r="C160" s="32"/>
      <x:c r="D160" s="32"/>
      <x:c r="E160" s="32"/>
      <x:c r="F160" s="32"/>
      <x:c r="G160" s="32"/>
      <x:c r="H160" s="32"/>
      <x:c r="I160" s="32"/>
      <x:c r="J160" s="32"/>
      <x:c r="K160" s="32"/>
      <x:c r="L160" s="32"/>
      <x:c r="M160" s="32"/>
      <x:c r="N160" s="32"/>
      <x:c r="O160" s="32"/>
      <x:c r="P160" s="32"/>
      <x:c r="Q160" s="32"/>
      <x:c r="R160" s="32"/>
      <x:c r="S160" s="32"/>
      <x:c r="T160" s="32"/>
      <x:c r="U160" s="32"/>
      <x:c r="V160" s="32"/>
      <x:c r="W160" s="32"/>
      <x:c r="X160" s="32"/>
      <x:c r="Y160" s="32"/>
      <x:c r="Z160" s="32"/>
      <x:c r="AA160" s="32"/>
      <x:c r="AB160" s="32"/>
      <x:c r="AC160" s="32"/>
    </x:row>
    <x:row r="161">
      <x:c r="A161" s="32"/>
      <x:c r="B161" s="32"/>
      <x:c r="C161" s="32"/>
      <x:c r="D161" s="32"/>
      <x:c r="E161" s="32"/>
      <x:c r="F161" s="32"/>
      <x:c r="G161" s="32"/>
      <x:c r="H161" s="32"/>
      <x:c r="I161" s="32"/>
      <x:c r="J161" s="32"/>
      <x:c r="K161" s="32"/>
      <x:c r="L161" s="32"/>
      <x:c r="M161" s="32"/>
      <x:c r="N161" s="32"/>
      <x:c r="O161" s="32"/>
      <x:c r="P161" s="32"/>
      <x:c r="Q161" s="32"/>
      <x:c r="R161" s="32"/>
      <x:c r="S161" s="32"/>
      <x:c r="T161" s="32"/>
      <x:c r="U161" s="32"/>
      <x:c r="V161" s="32"/>
      <x:c r="W161" s="32"/>
      <x:c r="X161" s="32"/>
      <x:c r="Y161" s="32"/>
      <x:c r="Z161" s="32"/>
      <x:c r="AA161" s="32"/>
      <x:c r="AB161" s="32"/>
      <x:c r="AC161" s="32"/>
    </x:row>
    <x:row r="162">
      <x:c r="A162" s="32"/>
      <x:c r="B162" s="32"/>
      <x:c r="C162" s="32"/>
      <x:c r="D162" s="32"/>
      <x:c r="E162" s="32"/>
      <x:c r="F162" s="32"/>
      <x:c r="G162" s="32"/>
      <x:c r="H162" s="32"/>
      <x:c r="I162" s="32"/>
      <x:c r="J162" s="32"/>
      <x:c r="K162" s="32"/>
      <x:c r="L162" s="32"/>
      <x:c r="M162" s="32"/>
      <x:c r="N162" s="32"/>
      <x:c r="O162" s="32"/>
      <x:c r="P162" s="32"/>
      <x:c r="Q162" s="32"/>
      <x:c r="R162" s="32"/>
      <x:c r="S162" s="32"/>
      <x:c r="T162" s="32"/>
      <x:c r="U162" s="32"/>
      <x:c r="V162" s="32"/>
      <x:c r="W162" s="32"/>
      <x:c r="X162" s="32"/>
      <x:c r="Y162" s="32"/>
      <x:c r="Z162" s="32"/>
      <x:c r="AA162" s="32"/>
      <x:c r="AB162" s="32"/>
      <x:c r="AC162" s="32"/>
    </x:row>
    <x:row r="163">
      <x:c r="A163" s="32"/>
      <x:c r="B163" s="32"/>
      <x:c r="C163" s="32"/>
      <x:c r="D163" s="32"/>
      <x:c r="E163" s="32"/>
      <x:c r="F163" s="32"/>
      <x:c r="G163" s="32"/>
      <x:c r="H163" s="32"/>
      <x:c r="I163" s="32"/>
      <x:c r="J163" s="32"/>
      <x:c r="K163" s="32"/>
      <x:c r="L163" s="32"/>
      <x:c r="M163" s="32"/>
      <x:c r="N163" s="32"/>
      <x:c r="O163" s="32"/>
      <x:c r="P163" s="32"/>
      <x:c r="Q163" s="32"/>
      <x:c r="R163" s="32"/>
      <x:c r="S163" s="32"/>
      <x:c r="T163" s="32"/>
      <x:c r="U163" s="32"/>
      <x:c r="V163" s="32"/>
      <x:c r="W163" s="32"/>
      <x:c r="X163" s="32"/>
      <x:c r="Y163" s="32"/>
      <x:c r="Z163" s="32"/>
      <x:c r="AA163" s="32"/>
      <x:c r="AB163" s="32"/>
      <x:c r="AC163" s="32"/>
    </x:row>
    <x:row r="164">
      <x:c r="A164" s="32"/>
      <x:c r="B164" s="32"/>
      <x:c r="C164" s="32"/>
      <x:c r="D164" s="32"/>
      <x:c r="E164" s="32"/>
      <x:c r="F164" s="32"/>
      <x:c r="G164" s="32"/>
      <x:c r="H164" s="32"/>
      <x:c r="I164" s="32"/>
      <x:c r="J164" s="32"/>
      <x:c r="K164" s="32"/>
      <x:c r="L164" s="32"/>
      <x:c r="M164" s="32"/>
      <x:c r="N164" s="32"/>
      <x:c r="O164" s="32"/>
      <x:c r="P164" s="32"/>
      <x:c r="Q164" s="32"/>
      <x:c r="R164" s="32"/>
      <x:c r="S164" s="32"/>
      <x:c r="T164" s="32"/>
      <x:c r="U164" s="32"/>
      <x:c r="V164" s="32"/>
      <x:c r="W164" s="32"/>
      <x:c r="X164" s="32"/>
      <x:c r="Y164" s="32"/>
      <x:c r="Z164" s="32"/>
      <x:c r="AA164" s="32"/>
      <x:c r="AB164" s="32"/>
      <x:c r="AC164" s="32"/>
    </x:row>
    <x:row r="165">
      <x:c r="A165" s="32"/>
      <x:c r="B165" s="32"/>
      <x:c r="C165" s="32"/>
      <x:c r="D165" s="32"/>
      <x:c r="E165" s="32"/>
      <x:c r="F165" s="32"/>
      <x:c r="G165" s="32"/>
      <x:c r="H165" s="32"/>
      <x:c r="I165" s="32"/>
      <x:c r="J165" s="32"/>
      <x:c r="K165" s="32"/>
      <x:c r="L165" s="32"/>
      <x:c r="M165" s="32"/>
      <x:c r="N165" s="32"/>
      <x:c r="O165" s="32"/>
      <x:c r="P165" s="32"/>
      <x:c r="Q165" s="32"/>
      <x:c r="R165" s="32"/>
      <x:c r="S165" s="32"/>
      <x:c r="T165" s="32"/>
      <x:c r="U165" s="32"/>
      <x:c r="V165" s="32"/>
      <x:c r="W165" s="32"/>
      <x:c r="X165" s="32"/>
      <x:c r="Y165" s="32"/>
      <x:c r="Z165" s="32"/>
      <x:c r="AA165" s="32"/>
      <x:c r="AB165" s="32"/>
      <x:c r="AC165" s="32"/>
    </x:row>
    <x:row r="166">
      <x:c r="A166" s="32"/>
      <x:c r="B166" s="32"/>
      <x:c r="C166" s="32"/>
      <x:c r="D166" s="32"/>
      <x:c r="E166" s="32"/>
      <x:c r="F166" s="32"/>
      <x:c r="G166" s="32"/>
      <x:c r="H166" s="32"/>
      <x:c r="I166" s="32"/>
      <x:c r="J166" s="32"/>
      <x:c r="K166" s="32"/>
      <x:c r="L166" s="32"/>
      <x:c r="M166" s="32"/>
      <x:c r="N166" s="32"/>
      <x:c r="O166" s="32"/>
      <x:c r="P166" s="32"/>
      <x:c r="Q166" s="32"/>
      <x:c r="R166" s="32"/>
      <x:c r="S166" s="32"/>
      <x:c r="T166" s="32"/>
      <x:c r="U166" s="32"/>
      <x:c r="V166" s="32"/>
      <x:c r="W166" s="32"/>
      <x:c r="X166" s="32"/>
      <x:c r="Y166" s="32"/>
      <x:c r="Z166" s="32"/>
      <x:c r="AA166" s="32"/>
      <x:c r="AB166" s="32"/>
      <x:c r="AC166" s="32"/>
    </x:row>
    <x:row r="167">
      <x:c r="A167" s="32"/>
      <x:c r="B167" s="32"/>
      <x:c r="C167" s="32"/>
      <x:c r="D167" s="32"/>
      <x:c r="E167" s="32"/>
      <x:c r="F167" s="32"/>
      <x:c r="G167" s="32"/>
      <x:c r="H167" s="32"/>
      <x:c r="I167" s="32"/>
      <x:c r="J167" s="32"/>
      <x:c r="K167" s="32"/>
      <x:c r="L167" s="32"/>
      <x:c r="M167" s="32"/>
      <x:c r="N167" s="32"/>
      <x:c r="O167" s="32"/>
      <x:c r="P167" s="32"/>
      <x:c r="Q167" s="32"/>
      <x:c r="R167" s="32"/>
      <x:c r="S167" s="32"/>
      <x:c r="T167" s="32"/>
      <x:c r="U167" s="32"/>
      <x:c r="V167" s="32"/>
      <x:c r="W167" s="32"/>
      <x:c r="X167" s="32"/>
      <x:c r="Y167" s="32"/>
      <x:c r="Z167" s="32"/>
      <x:c r="AA167" s="32"/>
      <x:c r="AB167" s="32"/>
      <x:c r="AC167" s="32"/>
    </x:row>
    <x:row r="168">
      <x:c r="A168" s="32"/>
      <x:c r="B168" s="32"/>
      <x:c r="C168" s="32"/>
      <x:c r="D168" s="32"/>
      <x:c r="E168" s="32"/>
      <x:c r="F168" s="32"/>
      <x:c r="G168" s="32"/>
      <x:c r="H168" s="32"/>
      <x:c r="I168" s="32"/>
      <x:c r="J168" s="32"/>
      <x:c r="K168" s="32"/>
      <x:c r="L168" s="32"/>
      <x:c r="M168" s="32"/>
      <x:c r="N168" s="32"/>
      <x:c r="O168" s="32"/>
      <x:c r="P168" s="32"/>
      <x:c r="Q168" s="32"/>
      <x:c r="R168" s="32"/>
      <x:c r="S168" s="32"/>
      <x:c r="T168" s="32"/>
      <x:c r="U168" s="32"/>
      <x:c r="V168" s="32"/>
      <x:c r="W168" s="32"/>
      <x:c r="X168" s="32"/>
      <x:c r="Y168" s="32"/>
      <x:c r="Z168" s="32"/>
      <x:c r="AA168" s="32"/>
      <x:c r="AB168" s="32"/>
      <x:c r="AC168" s="32"/>
    </x:row>
    <x:row r="169">
      <x:c r="A169" s="32"/>
      <x:c r="B169" s="32"/>
      <x:c r="C169" s="32"/>
      <x:c r="D169" s="32"/>
      <x:c r="E169" s="32"/>
      <x:c r="F169" s="32"/>
      <x:c r="G169" s="32"/>
      <x:c r="H169" s="32"/>
      <x:c r="I169" s="32"/>
      <x:c r="J169" s="32"/>
      <x:c r="K169" s="32"/>
      <x:c r="L169" s="32"/>
      <x:c r="M169" s="32"/>
      <x:c r="N169" s="32"/>
      <x:c r="O169" s="32"/>
      <x:c r="P169" s="32"/>
      <x:c r="Q169" s="32"/>
      <x:c r="R169" s="32"/>
      <x:c r="S169" s="32"/>
      <x:c r="T169" s="32"/>
      <x:c r="U169" s="32"/>
      <x:c r="V169" s="32"/>
      <x:c r="W169" s="32"/>
      <x:c r="X169" s="32"/>
      <x:c r="Y169" s="32"/>
      <x:c r="Z169" s="32"/>
      <x:c r="AA169" s="32"/>
      <x:c r="AB169" s="32"/>
      <x:c r="AC169" s="32"/>
    </x:row>
    <x:row r="170">
      <x:c r="A170" s="32"/>
      <x:c r="B170" s="32"/>
      <x:c r="C170" s="32"/>
      <x:c r="D170" s="32"/>
      <x:c r="E170" s="32"/>
      <x:c r="F170" s="32"/>
      <x:c r="G170" s="32"/>
      <x:c r="H170" s="32"/>
      <x:c r="I170" s="32"/>
      <x:c r="J170" s="32"/>
      <x:c r="K170" s="32"/>
      <x:c r="L170" s="32"/>
      <x:c r="M170" s="32"/>
      <x:c r="N170" s="32"/>
      <x:c r="O170" s="32"/>
      <x:c r="P170" s="32"/>
      <x:c r="Q170" s="32"/>
      <x:c r="R170" s="32"/>
      <x:c r="S170" s="32"/>
      <x:c r="T170" s="32"/>
      <x:c r="U170" s="32"/>
      <x:c r="V170" s="32"/>
      <x:c r="W170" s="32"/>
      <x:c r="X170" s="32"/>
      <x:c r="Y170" s="32"/>
      <x:c r="Z170" s="32"/>
      <x:c r="AA170" s="32"/>
      <x:c r="AB170" s="32"/>
      <x:c r="AC170" s="32"/>
    </x:row>
    <x:row r="171">
      <x:c r="A171" s="32"/>
      <x:c r="B171" s="32"/>
      <x:c r="C171" s="32"/>
      <x:c r="D171" s="32"/>
      <x:c r="E171" s="32"/>
      <x:c r="F171" s="32"/>
      <x:c r="G171" s="32"/>
      <x:c r="H171" s="32"/>
      <x:c r="I171" s="32"/>
      <x:c r="J171" s="32"/>
      <x:c r="K171" s="32"/>
      <x:c r="L171" s="32"/>
      <x:c r="M171" s="32"/>
      <x:c r="N171" s="32"/>
      <x:c r="O171" s="32"/>
      <x:c r="P171" s="32"/>
      <x:c r="Q171" s="32"/>
      <x:c r="R171" s="32"/>
      <x:c r="S171" s="32"/>
      <x:c r="T171" s="32"/>
      <x:c r="U171" s="32"/>
      <x:c r="V171" s="32"/>
      <x:c r="W171" s="32"/>
      <x:c r="X171" s="32"/>
      <x:c r="Y171" s="32"/>
      <x:c r="Z171" s="32"/>
      <x:c r="AA171" s="32"/>
      <x:c r="AB171" s="32"/>
      <x:c r="AC171" s="32"/>
    </x:row>
    <x:row r="172">
      <x:c r="A172" s="32"/>
      <x:c r="B172" s="32"/>
      <x:c r="C172" s="32"/>
      <x:c r="D172" s="32"/>
      <x:c r="E172" s="32"/>
      <x:c r="F172" s="32"/>
      <x:c r="G172" s="32"/>
      <x:c r="H172" s="32"/>
      <x:c r="I172" s="32"/>
      <x:c r="J172" s="32"/>
      <x:c r="K172" s="32"/>
      <x:c r="L172" s="32"/>
      <x:c r="M172" s="32"/>
      <x:c r="N172" s="32"/>
      <x:c r="O172" s="32"/>
      <x:c r="P172" s="32"/>
      <x:c r="Q172" s="32"/>
      <x:c r="R172" s="32"/>
      <x:c r="S172" s="32"/>
      <x:c r="T172" s="32"/>
      <x:c r="U172" s="32"/>
      <x:c r="V172" s="32"/>
      <x:c r="W172" s="32"/>
      <x:c r="X172" s="32"/>
      <x:c r="Y172" s="32"/>
      <x:c r="Z172" s="32"/>
      <x:c r="AA172" s="32"/>
      <x:c r="AB172" s="32"/>
      <x:c r="AC172" s="32"/>
    </x:row>
    <x:row r="173">
      <x:c r="A173" s="32"/>
      <x:c r="B173" s="32"/>
      <x:c r="C173" s="32"/>
      <x:c r="D173" s="32"/>
      <x:c r="E173" s="32"/>
      <x:c r="F173" s="32"/>
      <x:c r="G173" s="32"/>
      <x:c r="H173" s="32"/>
      <x:c r="I173" s="32"/>
      <x:c r="J173" s="32"/>
      <x:c r="K173" s="32"/>
      <x:c r="L173" s="32"/>
      <x:c r="M173" s="32"/>
      <x:c r="N173" s="32"/>
      <x:c r="O173" s="32"/>
      <x:c r="P173" s="32"/>
      <x:c r="Q173" s="32"/>
      <x:c r="R173" s="32"/>
      <x:c r="S173" s="32"/>
      <x:c r="T173" s="32"/>
      <x:c r="U173" s="32"/>
      <x:c r="V173" s="32"/>
      <x:c r="W173" s="32"/>
      <x:c r="X173" s="32"/>
      <x:c r="Y173" s="32"/>
      <x:c r="Z173" s="32"/>
      <x:c r="AA173" s="32"/>
      <x:c r="AB173" s="32"/>
      <x:c r="AC173" s="32"/>
    </x:row>
    <x:row r="174">
      <x:c r="A174" s="32"/>
      <x:c r="B174" s="32"/>
      <x:c r="C174" s="32"/>
      <x:c r="D174" s="32"/>
      <x:c r="E174" s="32"/>
      <x:c r="F174" s="32"/>
      <x:c r="G174" s="32"/>
      <x:c r="H174" s="32"/>
      <x:c r="I174" s="32"/>
      <x:c r="J174" s="32"/>
      <x:c r="K174" s="32"/>
      <x:c r="L174" s="32"/>
      <x:c r="M174" s="32"/>
      <x:c r="N174" s="32"/>
      <x:c r="O174" s="32"/>
      <x:c r="P174" s="32"/>
      <x:c r="Q174" s="32"/>
      <x:c r="R174" s="32"/>
      <x:c r="S174" s="32"/>
      <x:c r="T174" s="32"/>
      <x:c r="U174" s="32"/>
      <x:c r="V174" s="32"/>
      <x:c r="W174" s="32"/>
      <x:c r="X174" s="32"/>
      <x:c r="Y174" s="32"/>
      <x:c r="Z174" s="32"/>
      <x:c r="AA174" s="32"/>
      <x:c r="AB174" s="32"/>
      <x:c r="AC174" s="32"/>
    </x:row>
    <x:row r="175">
      <x:c r="A175" s="32"/>
      <x:c r="B175" s="32"/>
      <x:c r="C175" s="32"/>
      <x:c r="D175" s="32"/>
      <x:c r="E175" s="32"/>
      <x:c r="F175" s="32"/>
      <x:c r="G175" s="32"/>
      <x:c r="H175" s="32"/>
      <x:c r="I175" s="32"/>
      <x:c r="J175" s="32"/>
      <x:c r="K175" s="32"/>
      <x:c r="L175" s="32"/>
      <x:c r="M175" s="32"/>
      <x:c r="N175" s="32"/>
      <x:c r="O175" s="32"/>
      <x:c r="P175" s="32"/>
      <x:c r="Q175" s="32"/>
      <x:c r="R175" s="32"/>
      <x:c r="S175" s="32"/>
      <x:c r="T175" s="32"/>
      <x:c r="U175" s="32"/>
      <x:c r="V175" s="32"/>
      <x:c r="W175" s="32"/>
      <x:c r="X175" s="32"/>
      <x:c r="Y175" s="32"/>
      <x:c r="Z175" s="32"/>
      <x:c r="AA175" s="32"/>
      <x:c r="AB175" s="32"/>
      <x:c r="AC175" s="32"/>
    </x:row>
    <x:row r="176">
      <x:c r="A176" s="32"/>
      <x:c r="B176" s="32"/>
      <x:c r="C176" s="32"/>
      <x:c r="D176" s="32"/>
      <x:c r="E176" s="32"/>
      <x:c r="F176" s="32"/>
      <x:c r="G176" s="32"/>
      <x:c r="H176" s="32"/>
      <x:c r="I176" s="32"/>
      <x:c r="J176" s="32"/>
      <x:c r="K176" s="32"/>
      <x:c r="L176" s="32"/>
      <x:c r="M176" s="32"/>
      <x:c r="N176" s="32"/>
      <x:c r="O176" s="32"/>
      <x:c r="P176" s="32"/>
      <x:c r="Q176" s="32"/>
      <x:c r="R176" s="32"/>
      <x:c r="S176" s="32"/>
      <x:c r="T176" s="32"/>
      <x:c r="U176" s="32"/>
      <x:c r="V176" s="32"/>
      <x:c r="W176" s="32"/>
      <x:c r="X176" s="32"/>
      <x:c r="Y176" s="32"/>
      <x:c r="Z176" s="32"/>
      <x:c r="AA176" s="32"/>
      <x:c r="AB176" s="32"/>
      <x:c r="AC176" s="32"/>
    </x:row>
    <x:row r="177">
      <x:c r="A177" s="32"/>
      <x:c r="B177" s="32"/>
      <x:c r="C177" s="32"/>
      <x:c r="D177" s="32"/>
      <x:c r="E177" s="32"/>
      <x:c r="F177" s="32"/>
      <x:c r="G177" s="32"/>
      <x:c r="H177" s="32"/>
      <x:c r="I177" s="32"/>
      <x:c r="J177" s="32"/>
      <x:c r="K177" s="32"/>
      <x:c r="L177" s="32"/>
      <x:c r="M177" s="32"/>
      <x:c r="N177" s="32"/>
      <x:c r="O177" s="32"/>
      <x:c r="P177" s="32"/>
      <x:c r="Q177" s="32"/>
      <x:c r="R177" s="32"/>
      <x:c r="S177" s="32"/>
      <x:c r="T177" s="32"/>
      <x:c r="U177" s="32"/>
      <x:c r="V177" s="32"/>
      <x:c r="W177" s="32"/>
      <x:c r="X177" s="32"/>
      <x:c r="Y177" s="32"/>
      <x:c r="Z177" s="32"/>
      <x:c r="AA177" s="32"/>
      <x:c r="AB177" s="32"/>
      <x:c r="AC177" s="32"/>
    </x:row>
    <x:row r="178">
      <x:c r="A178" s="32"/>
      <x:c r="B178" s="32"/>
      <x:c r="C178" s="32"/>
      <x:c r="D178" s="32"/>
      <x:c r="E178" s="32"/>
      <x:c r="F178" s="32"/>
      <x:c r="G178" s="32"/>
      <x:c r="H178" s="32"/>
      <x:c r="I178" s="32"/>
      <x:c r="J178" s="32"/>
      <x:c r="K178" s="32"/>
      <x:c r="L178" s="32"/>
      <x:c r="M178" s="32"/>
      <x:c r="N178" s="32"/>
      <x:c r="O178" s="32"/>
      <x:c r="P178" s="32"/>
      <x:c r="Q178" s="32"/>
      <x:c r="R178" s="32"/>
      <x:c r="S178" s="32"/>
      <x:c r="T178" s="32"/>
      <x:c r="U178" s="32"/>
      <x:c r="V178" s="32"/>
      <x:c r="W178" s="32"/>
      <x:c r="X178" s="32"/>
      <x:c r="Y178" s="32"/>
      <x:c r="Z178" s="32"/>
      <x:c r="AA178" s="32"/>
      <x:c r="AB178" s="32"/>
      <x:c r="AC178" s="32"/>
    </x:row>
    <x:row r="179">
      <x:c r="A179" s="32"/>
      <x:c r="B179" s="32"/>
      <x:c r="C179" s="32"/>
      <x:c r="D179" s="32"/>
      <x:c r="E179" s="32"/>
      <x:c r="F179" s="32"/>
      <x:c r="G179" s="32"/>
      <x:c r="H179" s="32"/>
      <x:c r="I179" s="32"/>
      <x:c r="J179" s="32"/>
      <x:c r="K179" s="32"/>
      <x:c r="L179" s="32"/>
      <x:c r="M179" s="32"/>
      <x:c r="N179" s="32"/>
      <x:c r="O179" s="32"/>
      <x:c r="P179" s="32"/>
      <x:c r="Q179" s="32"/>
      <x:c r="R179" s="32"/>
      <x:c r="S179" s="32"/>
      <x:c r="T179" s="32"/>
      <x:c r="U179" s="32"/>
      <x:c r="V179" s="32"/>
      <x:c r="W179" s="32"/>
      <x:c r="X179" s="32"/>
      <x:c r="Y179" s="32"/>
      <x:c r="Z179" s="32"/>
      <x:c r="AA179" s="32"/>
      <x:c r="AB179" s="32"/>
      <x:c r="AC179" s="32"/>
    </x:row>
    <x:row r="180">
      <x:c r="A180" s="32"/>
      <x:c r="B180" s="32"/>
      <x:c r="C180" s="32"/>
      <x:c r="D180" s="32"/>
      <x:c r="E180" s="32"/>
      <x:c r="F180" s="32"/>
      <x:c r="G180" s="32"/>
      <x:c r="H180" s="32"/>
      <x:c r="I180" s="32"/>
      <x:c r="J180" s="32"/>
      <x:c r="K180" s="32"/>
      <x:c r="L180" s="32"/>
      <x:c r="M180" s="32"/>
      <x:c r="N180" s="32"/>
      <x:c r="O180" s="32"/>
      <x:c r="P180" s="32"/>
      <x:c r="Q180" s="32"/>
      <x:c r="R180" s="32"/>
      <x:c r="S180" s="32"/>
      <x:c r="T180" s="32"/>
      <x:c r="U180" s="32"/>
      <x:c r="V180" s="32"/>
      <x:c r="W180" s="32"/>
      <x:c r="X180" s="32"/>
      <x:c r="Y180" s="32"/>
      <x:c r="Z180" s="32"/>
      <x:c r="AA180" s="32"/>
      <x:c r="AB180" s="32"/>
      <x:c r="AC180" s="32"/>
    </x:row>
    <x:row r="181">
      <x:c r="A181" s="32"/>
      <x:c r="B181" s="32"/>
      <x:c r="C181" s="32"/>
      <x:c r="D181" s="32"/>
      <x:c r="E181" s="32"/>
      <x:c r="F181" s="32"/>
      <x:c r="G181" s="32"/>
      <x:c r="H181" s="32"/>
      <x:c r="I181" s="32"/>
      <x:c r="J181" s="32"/>
      <x:c r="K181" s="32"/>
      <x:c r="L181" s="32"/>
      <x:c r="M181" s="32"/>
      <x:c r="N181" s="32"/>
      <x:c r="O181" s="32"/>
      <x:c r="P181" s="32"/>
      <x:c r="Q181" s="32"/>
      <x:c r="R181" s="32"/>
      <x:c r="S181" s="32"/>
      <x:c r="T181" s="32"/>
      <x:c r="U181" s="32"/>
      <x:c r="V181" s="32"/>
      <x:c r="W181" s="32"/>
      <x:c r="X181" s="32"/>
      <x:c r="Y181" s="32"/>
      <x:c r="Z181" s="32"/>
      <x:c r="AA181" s="32"/>
      <x:c r="AB181" s="32"/>
      <x:c r="AC181" s="32"/>
    </x:row>
    <x:row r="182">
      <x:c r="A182" s="32"/>
      <x:c r="B182" s="32"/>
      <x:c r="C182" s="32"/>
      <x:c r="D182" s="32"/>
      <x:c r="E182" s="32"/>
      <x:c r="F182" s="32"/>
      <x:c r="G182" s="32"/>
      <x:c r="H182" s="32"/>
      <x:c r="I182" s="32"/>
      <x:c r="J182" s="32"/>
      <x:c r="K182" s="32"/>
      <x:c r="L182" s="32"/>
      <x:c r="M182" s="32"/>
      <x:c r="N182" s="32"/>
      <x:c r="O182" s="32"/>
      <x:c r="P182" s="32"/>
      <x:c r="Q182" s="32"/>
      <x:c r="R182" s="32"/>
      <x:c r="S182" s="32"/>
      <x:c r="T182" s="32"/>
      <x:c r="U182" s="32"/>
      <x:c r="V182" s="32"/>
      <x:c r="W182" s="32"/>
      <x:c r="X182" s="32"/>
      <x:c r="Y182" s="32"/>
      <x:c r="Z182" s="32"/>
      <x:c r="AA182" s="32"/>
      <x:c r="AB182" s="32"/>
      <x:c r="AC182" s="32"/>
    </x:row>
    <x:row r="183">
      <x:c r="A183" s="32"/>
      <x:c r="B183" s="32"/>
      <x:c r="C183" s="32"/>
      <x:c r="D183" s="32"/>
      <x:c r="E183" s="32"/>
      <x:c r="F183" s="32"/>
      <x:c r="G183" s="32"/>
      <x:c r="H183" s="32"/>
      <x:c r="I183" s="32"/>
      <x:c r="J183" s="32"/>
      <x:c r="K183" s="32"/>
      <x:c r="L183" s="32"/>
      <x:c r="M183" s="32"/>
      <x:c r="N183" s="32"/>
      <x:c r="O183" s="32"/>
      <x:c r="P183" s="32"/>
      <x:c r="Q183" s="32"/>
      <x:c r="R183" s="32"/>
      <x:c r="S183" s="32"/>
      <x:c r="T183" s="32"/>
      <x:c r="U183" s="32"/>
      <x:c r="V183" s="32"/>
      <x:c r="W183" s="32"/>
      <x:c r="X183" s="32"/>
      <x:c r="Y183" s="32"/>
      <x:c r="Z183" s="32"/>
      <x:c r="AA183" s="32"/>
      <x:c r="AB183" s="32"/>
      <x:c r="AC183" s="32"/>
    </x:row>
    <x:row r="184">
      <x:c r="A184" s="32"/>
      <x:c r="B184" s="32"/>
      <x:c r="C184" s="32"/>
      <x:c r="D184" s="32"/>
      <x:c r="E184" s="32"/>
      <x:c r="F184" s="32"/>
      <x:c r="G184" s="32"/>
      <x:c r="H184" s="32"/>
      <x:c r="I184" s="32"/>
      <x:c r="J184" s="32"/>
      <x:c r="K184" s="32"/>
      <x:c r="L184" s="32"/>
      <x:c r="M184" s="32"/>
      <x:c r="N184" s="32"/>
      <x:c r="O184" s="32"/>
      <x:c r="P184" s="32"/>
      <x:c r="Q184" s="32"/>
      <x:c r="R184" s="32"/>
      <x:c r="S184" s="32"/>
      <x:c r="T184" s="32"/>
      <x:c r="U184" s="32"/>
      <x:c r="V184" s="32"/>
      <x:c r="W184" s="32"/>
      <x:c r="X184" s="32"/>
      <x:c r="Y184" s="32"/>
      <x:c r="Z184" s="32"/>
      <x:c r="AA184" s="32"/>
      <x:c r="AB184" s="32"/>
      <x:c r="AC184" s="32"/>
    </x:row>
    <x:row r="185">
      <x:c r="A185" s="32"/>
      <x:c r="B185" s="32"/>
      <x:c r="C185" s="32"/>
      <x:c r="D185" s="32"/>
      <x:c r="E185" s="32"/>
      <x:c r="F185" s="32"/>
      <x:c r="G185" s="32"/>
      <x:c r="H185" s="32"/>
      <x:c r="I185" s="32"/>
      <x:c r="J185" s="32"/>
      <x:c r="K185" s="32"/>
      <x:c r="L185" s="32"/>
      <x:c r="M185" s="32"/>
      <x:c r="N185" s="32"/>
      <x:c r="O185" s="32"/>
      <x:c r="P185" s="32"/>
      <x:c r="Q185" s="32"/>
      <x:c r="R185" s="32"/>
      <x:c r="S185" s="32"/>
      <x:c r="T185" s="32"/>
      <x:c r="U185" s="32"/>
      <x:c r="V185" s="32"/>
      <x:c r="W185" s="32"/>
      <x:c r="X185" s="32"/>
      <x:c r="Y185" s="32"/>
      <x:c r="Z185" s="32"/>
      <x:c r="AA185" s="32"/>
      <x:c r="AB185" s="32"/>
      <x:c r="AC185" s="32"/>
    </x:row>
    <x:row r="186">
      <x:c r="A186" s="32"/>
      <x:c r="B186" s="32"/>
      <x:c r="C186" s="32"/>
      <x:c r="D186" s="32"/>
      <x:c r="E186" s="32"/>
      <x:c r="F186" s="32"/>
      <x:c r="G186" s="32"/>
      <x:c r="H186" s="32"/>
      <x:c r="I186" s="32"/>
      <x:c r="J186" s="32"/>
      <x:c r="K186" s="32"/>
      <x:c r="L186" s="32"/>
      <x:c r="M186" s="32"/>
      <x:c r="N186" s="32"/>
      <x:c r="O186" s="32"/>
      <x:c r="P186" s="32"/>
      <x:c r="Q186" s="32"/>
      <x:c r="R186" s="32"/>
      <x:c r="S186" s="32"/>
      <x:c r="T186" s="32"/>
      <x:c r="U186" s="32"/>
      <x:c r="V186" s="32"/>
      <x:c r="W186" s="32"/>
      <x:c r="X186" s="32"/>
      <x:c r="Y186" s="32"/>
      <x:c r="Z186" s="32"/>
      <x:c r="AA186" s="32"/>
      <x:c r="AB186" s="32"/>
      <x:c r="AC186" s="32"/>
    </x:row>
    <x:row r="187">
      <x:c r="A187" s="32"/>
      <x:c r="B187" s="32"/>
      <x:c r="C187" s="32"/>
      <x:c r="D187" s="32"/>
      <x:c r="E187" s="32"/>
      <x:c r="F187" s="32"/>
      <x:c r="G187" s="32"/>
      <x:c r="H187" s="32"/>
      <x:c r="I187" s="32"/>
      <x:c r="J187" s="32"/>
      <x:c r="K187" s="32"/>
      <x:c r="L187" s="32"/>
      <x:c r="M187" s="32"/>
      <x:c r="N187" s="32"/>
      <x:c r="O187" s="32"/>
      <x:c r="P187" s="32"/>
      <x:c r="Q187" s="32"/>
      <x:c r="R187" s="32"/>
      <x:c r="S187" s="32"/>
      <x:c r="T187" s="32"/>
      <x:c r="U187" s="32"/>
      <x:c r="V187" s="32"/>
      <x:c r="W187" s="32"/>
      <x:c r="X187" s="32"/>
      <x:c r="Y187" s="32"/>
      <x:c r="Z187" s="32"/>
      <x:c r="AA187" s="32"/>
      <x:c r="AB187" s="32"/>
      <x:c r="AC187" s="32"/>
    </x:row>
    <x:row r="188">
      <x:c r="A188" s="32"/>
      <x:c r="B188" s="32"/>
      <x:c r="C188" s="32"/>
      <x:c r="D188" s="32"/>
      <x:c r="E188" s="32"/>
      <x:c r="F188" s="32"/>
      <x:c r="G188" s="32"/>
      <x:c r="H188" s="32"/>
      <x:c r="I188" s="32"/>
      <x:c r="J188" s="32"/>
      <x:c r="K188" s="32"/>
      <x:c r="L188" s="32"/>
      <x:c r="M188" s="32"/>
      <x:c r="N188" s="32"/>
      <x:c r="O188" s="32"/>
      <x:c r="P188" s="32"/>
      <x:c r="Q188" s="32"/>
      <x:c r="R188" s="32"/>
      <x:c r="S188" s="32"/>
      <x:c r="T188" s="32"/>
      <x:c r="U188" s="32"/>
      <x:c r="V188" s="32"/>
      <x:c r="W188" s="32"/>
      <x:c r="X188" s="32"/>
      <x:c r="Y188" s="32"/>
      <x:c r="Z188" s="32"/>
      <x:c r="AA188" s="32"/>
      <x:c r="AB188" s="32"/>
      <x:c r="AC188" s="32"/>
    </x:row>
    <x:row r="189">
      <x:c r="A189" s="32"/>
      <x:c r="B189" s="32"/>
      <x:c r="C189" s="32"/>
      <x:c r="D189" s="32"/>
      <x:c r="E189" s="32"/>
      <x:c r="F189" s="32"/>
      <x:c r="G189" s="32"/>
      <x:c r="H189" s="32"/>
      <x:c r="I189" s="32"/>
      <x:c r="J189" s="32"/>
      <x:c r="K189" s="32"/>
      <x:c r="L189" s="32"/>
      <x:c r="M189" s="32"/>
      <x:c r="N189" s="32"/>
      <x:c r="O189" s="32"/>
      <x:c r="P189" s="32"/>
      <x:c r="Q189" s="32"/>
      <x:c r="R189" s="32"/>
      <x:c r="S189" s="32"/>
      <x:c r="T189" s="32"/>
      <x:c r="U189" s="32"/>
      <x:c r="V189" s="32"/>
      <x:c r="W189" s="32"/>
      <x:c r="X189" s="32"/>
      <x:c r="Y189" s="32"/>
      <x:c r="Z189" s="32"/>
      <x:c r="AA189" s="32"/>
      <x:c r="AB189" s="32"/>
      <x:c r="AC189" s="32"/>
    </x:row>
    <x:row r="190">
      <x:c r="A190" s="32"/>
      <x:c r="B190" s="32"/>
      <x:c r="C190" s="32"/>
      <x:c r="D190" s="32"/>
      <x:c r="E190" s="32"/>
      <x:c r="F190" s="32"/>
      <x:c r="G190" s="32"/>
      <x:c r="H190" s="32"/>
      <x:c r="I190" s="32"/>
      <x:c r="J190" s="32"/>
      <x:c r="K190" s="32"/>
      <x:c r="L190" s="32"/>
      <x:c r="M190" s="32"/>
      <x:c r="N190" s="32"/>
      <x:c r="O190" s="32"/>
      <x:c r="P190" s="32"/>
      <x:c r="Q190" s="32"/>
      <x:c r="R190" s="32"/>
      <x:c r="S190" s="32"/>
      <x:c r="T190" s="32"/>
      <x:c r="U190" s="32"/>
      <x:c r="V190" s="32"/>
      <x:c r="W190" s="32"/>
      <x:c r="X190" s="32"/>
      <x:c r="Y190" s="32"/>
      <x:c r="Z190" s="32"/>
      <x:c r="AA190" s="32"/>
      <x:c r="AB190" s="32"/>
      <x:c r="AC190" s="32"/>
    </x:row>
    <x:row r="191">
      <x:c r="A191" s="32"/>
      <x:c r="B191" s="32"/>
      <x:c r="C191" s="32"/>
      <x:c r="D191" s="32"/>
      <x:c r="E191" s="32"/>
      <x:c r="F191" s="32"/>
      <x:c r="G191" s="32"/>
      <x:c r="H191" s="32"/>
      <x:c r="I191" s="32"/>
      <x:c r="J191" s="32"/>
      <x:c r="K191" s="32"/>
      <x:c r="L191" s="32"/>
      <x:c r="M191" s="32"/>
      <x:c r="N191" s="32"/>
      <x:c r="O191" s="32"/>
      <x:c r="P191" s="32"/>
      <x:c r="Q191" s="32"/>
      <x:c r="R191" s="32"/>
      <x:c r="S191" s="32"/>
      <x:c r="T191" s="32"/>
      <x:c r="U191" s="32"/>
      <x:c r="V191" s="32"/>
      <x:c r="W191" s="32"/>
      <x:c r="X191" s="32"/>
      <x:c r="Y191" s="32"/>
      <x:c r="Z191" s="32"/>
      <x:c r="AA191" s="32"/>
      <x:c r="AB191" s="32"/>
      <x:c r="AC191" s="32"/>
    </x:row>
    <x:row r="192">
      <x:c r="A192" s="32"/>
      <x:c r="B192" s="32"/>
      <x:c r="C192" s="32"/>
      <x:c r="D192" s="32"/>
      <x:c r="E192" s="32"/>
      <x:c r="F192" s="32"/>
      <x:c r="G192" s="32"/>
      <x:c r="H192" s="32"/>
      <x:c r="I192" s="32"/>
      <x:c r="J192" s="32"/>
      <x:c r="K192" s="32"/>
      <x:c r="L192" s="32"/>
      <x:c r="M192" s="32"/>
      <x:c r="N192" s="32"/>
      <x:c r="O192" s="32"/>
      <x:c r="P192" s="32"/>
      <x:c r="Q192" s="32"/>
      <x:c r="R192" s="32"/>
      <x:c r="S192" s="32"/>
      <x:c r="T192" s="32"/>
      <x:c r="U192" s="32"/>
      <x:c r="V192" s="32"/>
      <x:c r="W192" s="32"/>
      <x:c r="X192" s="32"/>
      <x:c r="Y192" s="32"/>
      <x:c r="Z192" s="32"/>
      <x:c r="AA192" s="32"/>
      <x:c r="AB192" s="32"/>
      <x:c r="AC192" s="32"/>
    </x:row>
    <x:row r="193">
      <x:c r="A193" s="32"/>
      <x:c r="B193" s="32"/>
      <x:c r="C193" s="32"/>
      <x:c r="D193" s="32"/>
      <x:c r="E193" s="32"/>
      <x:c r="F193" s="32"/>
      <x:c r="G193" s="32"/>
      <x:c r="H193" s="32"/>
      <x:c r="I193" s="32"/>
      <x:c r="J193" s="32"/>
      <x:c r="K193" s="32"/>
      <x:c r="L193" s="32"/>
      <x:c r="M193" s="32"/>
      <x:c r="N193" s="32"/>
      <x:c r="O193" s="32"/>
      <x:c r="P193" s="32"/>
      <x:c r="Q193" s="32"/>
      <x:c r="R193" s="32"/>
      <x:c r="S193" s="32"/>
      <x:c r="T193" s="32"/>
      <x:c r="U193" s="32"/>
      <x:c r="V193" s="32"/>
      <x:c r="W193" s="32"/>
      <x:c r="X193" s="32"/>
      <x:c r="Y193" s="32"/>
      <x:c r="Z193" s="32"/>
      <x:c r="AA193" s="32"/>
      <x:c r="AB193" s="32"/>
      <x:c r="AC193" s="32"/>
    </x:row>
    <x:row r="194">
      <x:c r="A194" s="32"/>
      <x:c r="B194" s="32"/>
      <x:c r="C194" s="32"/>
      <x:c r="D194" s="32"/>
      <x:c r="E194" s="32"/>
      <x:c r="F194" s="32"/>
      <x:c r="G194" s="32"/>
      <x:c r="H194" s="32"/>
      <x:c r="I194" s="32"/>
      <x:c r="J194" s="32"/>
      <x:c r="K194" s="32"/>
      <x:c r="L194" s="32"/>
      <x:c r="M194" s="32"/>
      <x:c r="N194" s="32"/>
      <x:c r="O194" s="32"/>
      <x:c r="P194" s="32"/>
      <x:c r="Q194" s="32"/>
      <x:c r="R194" s="32"/>
      <x:c r="S194" s="32"/>
      <x:c r="T194" s="32"/>
      <x:c r="U194" s="32"/>
      <x:c r="V194" s="32"/>
      <x:c r="W194" s="32"/>
      <x:c r="X194" s="32"/>
      <x:c r="Y194" s="32"/>
      <x:c r="Z194" s="32"/>
      <x:c r="AA194" s="32"/>
      <x:c r="AB194" s="32"/>
      <x:c r="AC194" s="32"/>
    </x:row>
    <x:row r="195">
      <x:c r="A195" s="32"/>
      <x:c r="B195" s="32"/>
      <x:c r="C195" s="32"/>
      <x:c r="D195" s="32"/>
      <x:c r="E195" s="32"/>
      <x:c r="F195" s="32"/>
      <x:c r="G195" s="32"/>
      <x:c r="H195" s="32"/>
      <x:c r="I195" s="32"/>
      <x:c r="J195" s="32"/>
      <x:c r="K195" s="32"/>
      <x:c r="L195" s="32"/>
      <x:c r="M195" s="32"/>
      <x:c r="N195" s="32"/>
      <x:c r="O195" s="32"/>
      <x:c r="P195" s="32"/>
      <x:c r="Q195" s="32"/>
      <x:c r="R195" s="32"/>
      <x:c r="S195" s="32"/>
      <x:c r="T195" s="32"/>
      <x:c r="U195" s="32"/>
      <x:c r="V195" s="32"/>
      <x:c r="W195" s="32"/>
      <x:c r="X195" s="32"/>
      <x:c r="Y195" s="32"/>
      <x:c r="Z195" s="32"/>
      <x:c r="AA195" s="32"/>
      <x:c r="AB195" s="32"/>
      <x:c r="AC195" s="32"/>
    </x:row>
    <x:row r="196">
      <x:c r="A196" s="32"/>
      <x:c r="B196" s="32"/>
      <x:c r="C196" s="32"/>
      <x:c r="D196" s="32"/>
      <x:c r="E196" s="32"/>
      <x:c r="F196" s="32"/>
      <x:c r="G196" s="32"/>
      <x:c r="H196" s="32"/>
      <x:c r="I196" s="32"/>
      <x:c r="J196" s="32"/>
      <x:c r="K196" s="32"/>
      <x:c r="L196" s="32"/>
      <x:c r="M196" s="32"/>
      <x:c r="N196" s="32"/>
      <x:c r="O196" s="32"/>
      <x:c r="P196" s="32"/>
      <x:c r="Q196" s="32"/>
      <x:c r="R196" s="32"/>
      <x:c r="S196" s="32"/>
      <x:c r="T196" s="32"/>
      <x:c r="U196" s="32"/>
      <x:c r="V196" s="32"/>
      <x:c r="W196" s="32"/>
      <x:c r="X196" s="32"/>
      <x:c r="Y196" s="32"/>
      <x:c r="Z196" s="32"/>
      <x:c r="AA196" s="32"/>
      <x:c r="AB196" s="32"/>
      <x:c r="AC196" s="32"/>
    </x:row>
    <x:row r="197">
      <x:c r="A197" s="32"/>
      <x:c r="B197" s="32"/>
      <x:c r="C197" s="32"/>
      <x:c r="D197" s="32"/>
      <x:c r="E197" s="32"/>
      <x:c r="F197" s="32"/>
      <x:c r="G197" s="32"/>
      <x:c r="H197" s="32"/>
      <x:c r="I197" s="32"/>
      <x:c r="J197" s="32"/>
      <x:c r="K197" s="32"/>
      <x:c r="L197" s="32"/>
      <x:c r="M197" s="32"/>
      <x:c r="N197" s="32"/>
      <x:c r="O197" s="32"/>
      <x:c r="P197" s="32"/>
      <x:c r="Q197" s="32"/>
      <x:c r="R197" s="32"/>
      <x:c r="S197" s="32"/>
      <x:c r="T197" s="32"/>
      <x:c r="U197" s="32"/>
      <x:c r="V197" s="32"/>
      <x:c r="W197" s="32"/>
      <x:c r="X197" s="32"/>
      <x:c r="Y197" s="32"/>
      <x:c r="Z197" s="32"/>
      <x:c r="AA197" s="32"/>
      <x:c r="AB197" s="32"/>
      <x:c r="AC197" s="32"/>
    </x:row>
    <x:row r="198">
      <x:c r="A198" s="32"/>
      <x:c r="B198" s="32"/>
      <x:c r="C198" s="32"/>
      <x:c r="D198" s="32"/>
      <x:c r="E198" s="32"/>
      <x:c r="F198" s="32"/>
      <x:c r="G198" s="32"/>
      <x:c r="H198" s="32"/>
      <x:c r="I198" s="32"/>
      <x:c r="J198" s="32"/>
      <x:c r="K198" s="32"/>
      <x:c r="L198" s="32"/>
      <x:c r="M198" s="32"/>
      <x:c r="N198" s="32"/>
      <x:c r="O198" s="32"/>
      <x:c r="P198" s="32"/>
      <x:c r="Q198" s="32"/>
      <x:c r="R198" s="32"/>
      <x:c r="S198" s="32"/>
      <x:c r="T198" s="32"/>
      <x:c r="U198" s="32"/>
      <x:c r="V198" s="32"/>
      <x:c r="W198" s="32"/>
      <x:c r="X198" s="32"/>
      <x:c r="Y198" s="32"/>
      <x:c r="Z198" s="32"/>
      <x:c r="AA198" s="32"/>
      <x:c r="AB198" s="32"/>
      <x:c r="AC198" s="32"/>
    </x:row>
    <x:row r="199">
      <x:c r="A199" s="32"/>
      <x:c r="B199" s="32"/>
      <x:c r="C199" s="32"/>
      <x:c r="D199" s="32"/>
      <x:c r="E199" s="32"/>
      <x:c r="F199" s="32"/>
      <x:c r="G199" s="32"/>
      <x:c r="H199" s="32"/>
      <x:c r="I199" s="32"/>
      <x:c r="J199" s="32"/>
      <x:c r="K199" s="32"/>
      <x:c r="L199" s="32"/>
      <x:c r="M199" s="32"/>
      <x:c r="N199" s="32"/>
      <x:c r="O199" s="32"/>
      <x:c r="P199" s="32"/>
      <x:c r="Q199" s="32"/>
      <x:c r="R199" s="32"/>
      <x:c r="S199" s="32"/>
      <x:c r="T199" s="32"/>
      <x:c r="U199" s="32"/>
      <x:c r="V199" s="32"/>
      <x:c r="W199" s="32"/>
      <x:c r="X199" s="32"/>
      <x:c r="Y199" s="32"/>
      <x:c r="Z199" s="32"/>
      <x:c r="AA199" s="32"/>
      <x:c r="AB199" s="32"/>
      <x:c r="AC199" s="32"/>
    </x:row>
    <x:row r="200">
      <x:c r="A200" s="32"/>
      <x:c r="B200" s="32"/>
      <x:c r="C200" s="32"/>
      <x:c r="D200" s="32"/>
      <x:c r="E200" s="32"/>
      <x:c r="F200" s="32"/>
      <x:c r="G200" s="32"/>
      <x:c r="H200" s="32"/>
      <x:c r="I200" s="32"/>
      <x:c r="J200" s="32"/>
      <x:c r="K200" s="32"/>
      <x:c r="L200" s="32"/>
      <x:c r="M200" s="32"/>
      <x:c r="N200" s="32"/>
      <x:c r="O200" s="32"/>
      <x:c r="P200" s="32"/>
      <x:c r="Q200" s="32"/>
      <x:c r="R200" s="32"/>
      <x:c r="S200" s="32"/>
      <x:c r="T200" s="32"/>
      <x:c r="U200" s="32"/>
      <x:c r="V200" s="32"/>
      <x:c r="W200" s="32"/>
      <x:c r="X200" s="32"/>
      <x:c r="Y200" s="32"/>
      <x:c r="Z200" s="32"/>
      <x:c r="AA200" s="32"/>
      <x:c r="AB200" s="32"/>
      <x:c r="AC200" s="32"/>
    </x:row>
    <x:row r="201">
      <x:c r="A201" s="32"/>
      <x:c r="B201" s="32"/>
      <x:c r="C201" s="32"/>
      <x:c r="D201" s="32"/>
      <x:c r="E201" s="32"/>
      <x:c r="F201" s="32"/>
      <x:c r="G201" s="32"/>
      <x:c r="H201" s="32"/>
      <x:c r="I201" s="32"/>
      <x:c r="J201" s="32"/>
      <x:c r="K201" s="32"/>
      <x:c r="L201" s="32"/>
      <x:c r="M201" s="32"/>
      <x:c r="N201" s="32"/>
      <x:c r="O201" s="32"/>
      <x:c r="P201" s="32"/>
      <x:c r="Q201" s="32"/>
      <x:c r="R201" s="32"/>
      <x:c r="S201" s="32"/>
      <x:c r="T201" s="32"/>
      <x:c r="U201" s="32"/>
      <x:c r="V201" s="32"/>
      <x:c r="W201" s="32"/>
      <x:c r="X201" s="32"/>
      <x:c r="Y201" s="32"/>
      <x:c r="Z201" s="32"/>
      <x:c r="AA201" s="32"/>
      <x:c r="AB201" s="32"/>
      <x:c r="AC201" s="32"/>
    </x:row>
  </x:sheetData>
  <x:mergeCells>
    <x:mergeCell ref="A1:H1"/>
    <x:mergeCell ref="I1:AC1"/>
  </x:mergeCells>
  <x:dataValidations count="8">
    <x:dataValidation type="list" allowBlank="1" showInputMessage="1" sqref="J2:J1048576">
      <x:formula1>"MySQL.16,MySQL.2,MySQL.256,MySQL.32,MySQL.4,MySQL.48,MySQL.64,MySQL.16,MySQL.2,MySQL.256,MySQL.32,MySQL.4,MySQL.48,MySQL.64,MySQL.HeatWave.BM.Standard,MySQL.HeatWave.BM.Standard.E3,MySQL.HeatWave.VM.Standard,MySQL.HeatWave.VM.Standard.E3"</x:formula1>
    </x:dataValidation>
    <x:dataValidation type="list" allowBlank="1" showInputMessage="1" showErrorMessage="1" sqref="H1:H1048576">
      <x:formula1>"FAULT-DOMAIN-1,FAULT-DOMAIN-2,FAULT-DOMAIN-3"</x:formula1>
    </x:dataValidation>
    <x:dataValidation type="list" allowBlank="1" sqref="W2:W1048576 N2:O1048576">
      <x:formula1>"true,false"</x:formula1>
    </x:dataValidation>
    <x:dataValidation type="list" allowBlank="1" sqref="T2:T1048576 R2:R1048576">
      <x:formula1>"ENABLED,DISABLED"</x:formula1>
    </x:dataValidation>
    <x:dataValidation type="list" allowBlank="1" sqref="U2:U1048576">
      <x:formula1>"DELETE,RETAIN"</x:formula1>
    </x:dataValidation>
    <x:dataValidation type="list" allowBlank="1" showInputMessage="1" showErrorMessage="1" sqref="F26:F1048576 F1:F18">
      <x:formula1>"true,false"</x:formula1>
    </x:dataValidation>
    <x:dataValidation type="list" allowBlank="1" showInputMessage="1" showErrorMessage="1" sqref="G26:G1048576 G1:G18">
      <x:formula1>"AD1,AD2,AD3"</x:formula1>
    </x:dataValidation>
    <x:dataValidation allowBlank="1" sqref="AE2:XFD2 A1:C2 AD1:XFD1 K26:M1048576 X26:XFD1048576 Y2:AC2 D1:E1 P26:P1048576 D26:D1048576 L2:M2 I1:I2 S26:S1048576 V2:V18 V26:V1048576 X3:XFD18 S2:S18 P2:P18 K3:M18 D3:D18"/>
  </x:dataValidations>
  <x:pageMargins left="0.7" right="0.7" top="0.75" bottom="0.75" header="0.3" footer="0.3"/>
  <x:legacyDrawing xmlns:r="http://schemas.openxmlformats.org/officeDocument/2006/relationships" r:id="R0b1b98c89ded4556"/>
</x:worksheet>
</file>

<file path=xl/worksheets/sheet46.xml><?xml version="1.0" encoding="utf-8"?>
<x:worksheet xmlns:x="http://schemas.openxmlformats.org/spreadsheetml/2006/main">
  <x:sheetPr>
    <x:tabColor theme="8" tint="0.59999"/>
  </x:sheetPr>
  <x:sheetFormatPr baseColWidth="10" defaultColWidth="8.83203125" defaultRowHeight="15"/>
  <x:cols>
    <x:col min="1" max="1" width="7.33203125" customWidth="1"/>
    <x:col min="2" max="2" width="16.6640625" customWidth="1"/>
    <x:col min="3" max="3" width="11.5" customWidth="1"/>
    <x:col min="4" max="4" width="10.1640625" customWidth="1"/>
    <x:col min="5" max="5" width="10.6640625" customWidth="1"/>
    <x:col min="6" max="6" width="17.5" customWidth="1"/>
    <x:col min="7" max="7" width="17.33203125" customWidth="1"/>
    <x:col min="8" max="8" width="10.83203125" style="1" customWidth="1"/>
    <x:col min="9" max="9" width="17.1640625" customWidth="1"/>
    <x:col min="10" max="10" width="22.1640625" customWidth="1"/>
    <x:col min="11" max="11" width="12" customWidth="1"/>
    <x:col min="12" max="12" width="11" customWidth="1"/>
    <x:col min="13" max="13" width="12" customWidth="1"/>
    <x:col min="14" max="14" width="11.1640625" customWidth="1"/>
    <x:col min="15" max="15" width="13.5" customWidth="1"/>
    <x:col min="16" max="17" width="15.5" customWidth="1"/>
    <x:col min="18" max="18" width="14.5" customWidth="1"/>
    <x:col min="19" max="19" width="12" customWidth="1"/>
    <x:col min="20" max="20" width="16" customWidth="1"/>
    <x:col min="21" max="21" width="18.33203125" customWidth="1"/>
    <x:col min="22" max="22" width="14.5" customWidth="1"/>
    <x:col min="23" max="23" width="13.1640625" customWidth="1"/>
    <x:col min="24" max="24" width="12.83203125" customWidth="1"/>
    <x:col min="27" max="27" width="14.33203125" customWidth="1"/>
    <x:col min="34" max="34" width="14.33203125" customWidth="1"/>
    <x:col min="39" max="39" width="17" customWidth="1"/>
    <x:col min="60" max="60" width="15" customWidth="1"/>
  </x:cols>
  <x:sheetData>
    <x:row r="1" ht="185" customHeight="1">
      <x:c r="A1" s="145" t="s">
        <x:v>451</x:v>
      </x:c>
      <x:c r="B1" s="145"/>
      <x:c r="C1" s="145"/>
      <x:c r="D1" s="145"/>
      <x:c r="E1" s="145"/>
      <x:c r="F1" s="145"/>
      <x:c r="G1" s="145"/>
      <x:c r="H1" s="145"/>
      <x:c r="I1" s="130"/>
      <x:c r="J1" s="1"/>
    </x:row>
    <x:row r="2" s="40" customFormat="1" ht="32" customHeight="1">
      <x:c r="A2" s="26" t="s">
        <x:v>2</x:v>
      </x:c>
      <x:c r="B2" s="27" t="s">
        <x:v>20</x:v>
      </x:c>
      <x:c r="C2" s="26" t="s">
        <x:v>83</x:v>
      </x:c>
      <x:c r="D2" s="26" t="s">
        <x:v>4</x:v>
      </x:c>
      <x:c r="E2" s="26" t="s">
        <x:v>452</x:v>
      </x:c>
      <x:c r="F2" s="26" t="s">
        <x:v>453</x:v>
      </x:c>
      <x:c r="G2" s="26" t="s">
        <x:v>454</x:v>
      </x:c>
      <x:c r="H2" s="26" t="s">
        <x:v>6</x:v>
      </x:c>
      <x:c r="CC2" s="26" t="s">
        <x:v>6</x:v>
      </x:c>
    </x:row>
    <x:row r="3">
      <x:c r="A3" s="33" t="s">
        <x:v>455</x:v>
      </x:c>
      <x:c r="B3" s="33"/>
      <x:c r="C3" s="33"/>
      <x:c r="D3" s="33"/>
      <x:c r="E3" s="33"/>
      <x:c r="F3" s="33"/>
      <x:c r="G3" s="33"/>
      <x:c r="H3" s="32"/>
    </x:row>
    <x:row r="4" ht="32" customHeight="1">
      <x:c r="A4" s="32" t="s">
        <x:v>456</x:v>
      </x:c>
      <x:c r="B4" s="32" t="s">
        <x:v>457</x:v>
      </x:c>
      <x:c r="C4" s="32" t="s">
        <x:v>458</x:v>
      </x:c>
      <x:c r="D4" s="32"/>
      <x:c r="E4" s="32" t="s">
        <x:v>459</x:v>
      </x:c>
      <x:c r="F4" s="32" t="s">
        <x:v>460</x:v>
      </x:c>
      <x:c r="G4" s="32" t="s">
        <x:v>461</x:v>
      </x:c>
      <x:c r="H4" s="32"/>
    </x:row>
    <x:row r="5" ht="32" customHeight="1">
      <x:c r="A5" s="32"/>
      <x:c r="B5" s="32"/>
      <x:c r="C5" s="32"/>
      <x:c r="D5" s="32"/>
      <x:c r="E5" s="32"/>
      <x:c r="F5" s="32" t="s">
        <x:v>462</x:v>
      </x:c>
      <x:c r="G5" s="32" t="s">
        <x:v>463</x:v>
      </x:c>
      <x:c r="H5" s="32"/>
    </x:row>
    <x:row r="6" ht="32" customHeight="1">
      <x:c r="A6" s="32" t="s">
        <x:v>456</x:v>
      </x:c>
      <x:c r="B6" s="32" t="s">
        <x:v>457</x:v>
      </x:c>
      <x:c r="C6" s="32" t="s">
        <x:v>464</x:v>
      </x:c>
      <x:c r="D6" s="32"/>
      <x:c r="E6" s="32" t="s">
        <x:v>459</x:v>
      </x:c>
      <x:c r="F6" s="32" t="s">
        <x:v>460</x:v>
      </x:c>
      <x:c r="G6" s="32" t="s">
        <x:v>461</x:v>
      </x:c>
      <x:c r="H6" s="32"/>
    </x:row>
    <x:row r="7" ht="48" customHeight="1">
      <x:c r="A7" s="32"/>
      <x:c r="B7" s="32"/>
      <x:c r="C7" s="32"/>
      <x:c r="D7" s="32"/>
      <x:c r="E7" s="32"/>
      <x:c r="F7" s="32" t="s">
        <x:v>465</x:v>
      </x:c>
      <x:c r="G7" s="32" t="s">
        <x:v>466</x:v>
      </x:c>
      <x:c r="H7" s="32"/>
    </x:row>
    <x:row r="8" ht="48" customHeight="1">
      <x:c r="A8" s="32"/>
      <x:c r="B8" s="32"/>
      <x:c r="C8" s="32"/>
      <x:c r="D8" s="32"/>
      <x:c r="E8" s="32"/>
      <x:c r="F8" s="32" t="s">
        <x:v>467</x:v>
      </x:c>
      <x:c r="G8" s="32" t="s">
        <x:v>468</x:v>
      </x:c>
      <x:c r="H8" s="32"/>
    </x:row>
    <x:row r="9" ht="32" customHeight="1">
      <x:c r="A9" s="1"/>
      <x:c r="B9" s="1"/>
      <x:c r="C9" s="1"/>
      <x:c r="D9" s="1"/>
      <x:c r="E9" s="1"/>
      <x:c r="F9" s="1"/>
      <x:c r="G9" s="1"/>
    </x:row>
    <x:row r="10" ht="32" customHeight="1">
      <x:c r="A10" s="1"/>
      <x:c r="B10" s="1"/>
      <x:c r="C10" s="1"/>
      <x:c r="D10" s="1"/>
      <x:c r="E10" s="1"/>
      <x:c r="F10" s="1"/>
      <x:c r="G10" s="1"/>
    </x:row>
    <x:row r="11" ht="64" customHeight="1">
      <x:c r="A11" s="1"/>
      <x:c r="B11" s="1"/>
      <x:c r="C11" s="1"/>
      <x:c r="D11" s="1"/>
      <x:c r="E11" s="1"/>
      <x:c r="F11" s="1"/>
      <x:c r="G11" s="1"/>
    </x:row>
    <x:row r="12" ht="64" customHeight="1">
      <x:c r="A12" s="1"/>
      <x:c r="B12" s="1"/>
      <x:c r="C12" s="1"/>
      <x:c r="D12" s="1"/>
      <x:c r="E12" s="1"/>
      <x:c r="F12" s="1"/>
      <x:c r="G12" s="1"/>
    </x:row>
    <x:row r="13" ht="48" customHeight="1">
      <x:c r="A13" s="1"/>
      <x:c r="B13" s="1"/>
      <x:c r="C13" s="1"/>
      <x:c r="D13" s="1"/>
      <x:c r="E13" s="1"/>
      <x:c r="F13" s="1"/>
      <x:c r="G13" s="1"/>
    </x:row>
    <x:row r="14" ht="48" customHeight="1">
      <x:c r="A14" s="1"/>
      <x:c r="B14" s="1"/>
      <x:c r="C14" s="1"/>
      <x:c r="D14" s="1"/>
      <x:c r="E14" s="1"/>
      <x:c r="F14" s="1"/>
      <x:c r="G14" s="1"/>
    </x:row>
    <x:row r="15" ht="48" customHeight="1">
      <x:c r="A15" s="1"/>
      <x:c r="B15" s="1"/>
      <x:c r="C15" s="1"/>
      <x:c r="D15" s="1"/>
      <x:c r="E15" s="1"/>
      <x:c r="F15" s="1"/>
      <x:c r="G15" s="1"/>
    </x:row>
    <x:row r="16" ht="48" customHeight="1">
      <x:c r="A16" s="1"/>
      <x:c r="B16" s="1"/>
      <x:c r="C16" s="1"/>
      <x:c r="D16" s="1"/>
      <x:c r="E16" s="1"/>
      <x:c r="F16" s="1"/>
      <x:c r="G16" s="1"/>
    </x:row>
    <x:row r="17" ht="64" customHeight="1">
      <x:c r="A17" s="1"/>
      <x:c r="B17" s="1"/>
      <x:c r="C17" s="1"/>
      <x:c r="D17" s="1"/>
      <x:c r="E17" s="1"/>
      <x:c r="F17" s="1"/>
      <x:c r="G17" s="1"/>
    </x:row>
    <x:row r="18" ht="48" customHeight="1">
      <x:c r="A18" s="1"/>
      <x:c r="B18" s="1"/>
      <x:c r="C18" s="1"/>
      <x:c r="D18" s="1"/>
      <x:c r="E18" s="1"/>
      <x:c r="F18" s="1"/>
      <x:c r="G18" s="1"/>
    </x:row>
    <x:row r="19" ht="48" customHeight="1">
      <x:c r="A19" s="1"/>
      <x:c r="B19" s="1"/>
      <x:c r="C19" s="1"/>
      <x:c r="D19" s="1"/>
      <x:c r="E19" s="1"/>
      <x:c r="F19" s="1"/>
      <x:c r="G19" s="1"/>
    </x:row>
    <x:row r="20" ht="48" customHeight="1">
      <x:c r="A20" s="1"/>
      <x:c r="B20" s="1"/>
      <x:c r="C20" s="1"/>
      <x:c r="D20" s="1"/>
      <x:c r="E20" s="1"/>
      <x:c r="F20" s="1"/>
      <x:c r="G20" s="1"/>
    </x:row>
    <x:row r="21" ht="48" customHeight="1">
      <x:c r="A21" s="1"/>
      <x:c r="B21" s="1"/>
      <x:c r="C21" s="1"/>
      <x:c r="D21" s="1"/>
      <x:c r="E21" s="1"/>
      <x:c r="F21" s="1"/>
      <x:c r="G21" s="1"/>
    </x:row>
    <x:row r="22" ht="48" customHeight="1">
      <x:c r="A22" s="1"/>
      <x:c r="B22" s="1"/>
      <x:c r="C22" s="1"/>
      <x:c r="D22" s="1"/>
      <x:c r="E22" s="1"/>
      <x:c r="F22" s="1"/>
      <x:c r="G22" s="1"/>
    </x:row>
    <x:row r="23" ht="32" customHeight="1">
      <x:c r="A23" s="1"/>
      <x:c r="B23" s="1"/>
      <x:c r="C23" s="1"/>
      <x:c r="D23" s="1"/>
      <x:c r="E23" s="1"/>
      <x:c r="F23" s="1"/>
      <x:c r="G23" s="1"/>
    </x:row>
    <x:row r="24" ht="32" customHeight="1">
      <x:c r="A24" s="1"/>
      <x:c r="B24" s="1"/>
      <x:c r="C24" s="1"/>
      <x:c r="D24" s="1"/>
      <x:c r="E24" s="1"/>
      <x:c r="F24" s="1"/>
      <x:c r="G24" s="1"/>
    </x:row>
    <x:row r="25" ht="32" customHeight="1">
      <x:c r="A25" s="1"/>
      <x:c r="B25" s="1"/>
      <x:c r="C25" s="1"/>
      <x:c r="D25" s="1"/>
      <x:c r="E25" s="1"/>
      <x:c r="F25" s="1"/>
      <x:c r="G25" s="1"/>
    </x:row>
    <x:row r="26" ht="32" customHeight="1">
      <x:c r="A26" s="1"/>
      <x:c r="B26" s="1"/>
      <x:c r="C26" s="1"/>
      <x:c r="D26" s="1"/>
      <x:c r="E26" s="1"/>
      <x:c r="F26" s="1"/>
      <x:c r="G26" s="1"/>
    </x:row>
    <x:row r="27" ht="32" customHeight="1">
      <x:c r="A27" s="1"/>
      <x:c r="B27" s="1"/>
      <x:c r="C27" s="1"/>
      <x:c r="D27" s="1"/>
      <x:c r="E27" s="1"/>
      <x:c r="F27" s="1"/>
      <x:c r="G27" s="1"/>
    </x:row>
    <x:row r="28" ht="32" customHeight="1">
      <x:c r="A28" s="1"/>
      <x:c r="B28" s="1"/>
      <x:c r="C28" s="1"/>
      <x:c r="D28" s="1"/>
      <x:c r="E28" s="1"/>
      <x:c r="F28" s="1"/>
      <x:c r="G28" s="1"/>
    </x:row>
    <x:row r="29" ht="32" customHeight="1">
      <x:c r="A29" s="1"/>
      <x:c r="B29" s="1"/>
      <x:c r="C29" s="1"/>
      <x:c r="D29" s="1"/>
      <x:c r="E29" s="1"/>
      <x:c r="F29" s="1"/>
      <x:c r="G29" s="1"/>
    </x:row>
    <x:row r="30" ht="32" customHeight="1">
      <x:c r="A30" s="1"/>
      <x:c r="B30" s="1"/>
      <x:c r="C30" s="1"/>
      <x:c r="D30" s="1"/>
      <x:c r="E30" s="1"/>
      <x:c r="F30" s="1"/>
      <x:c r="G30" s="1"/>
    </x:row>
    <x:row r="31" ht="16" customHeight="1">
      <x:c r="A31" s="1"/>
      <x:c r="B31" s="1"/>
      <x:c r="C31" s="1"/>
      <x:c r="D31" s="1"/>
      <x:c r="E31" s="1"/>
      <x:c r="F31" s="1"/>
      <x:c r="G31" s="1"/>
    </x:row>
    <x:row r="32" ht="16" customHeight="1">
      <x:c r="A32" s="1"/>
      <x:c r="B32" s="1"/>
      <x:c r="C32" s="1"/>
      <x:c r="D32" s="1"/>
      <x:c r="E32" s="1"/>
      <x:c r="F32" s="1"/>
      <x:c r="G32" s="1"/>
    </x:row>
    <x:row r="33" ht="32" customHeight="1">
      <x:c r="A33" s="1"/>
      <x:c r="B33" s="1"/>
      <x:c r="C33" s="1"/>
      <x:c r="D33" s="1"/>
      <x:c r="E33" s="1"/>
      <x:c r="F33" s="1"/>
      <x:c r="G33" s="1"/>
    </x:row>
    <x:row r="34" ht="16" customHeight="1">
      <x:c r="A34" s="1"/>
      <x:c r="B34" s="1"/>
      <x:c r="C34" s="1"/>
      <x:c r="D34" s="1"/>
      <x:c r="E34" s="1"/>
      <x:c r="F34" s="1"/>
      <x:c r="G34" s="1"/>
    </x:row>
    <x:row r="35" ht="16" customHeight="1">
      <x:c r="A35" s="1"/>
      <x:c r="B35" s="1"/>
      <x:c r="C35" s="1"/>
      <x:c r="D35" s="1"/>
      <x:c r="E35" s="1"/>
      <x:c r="F35" s="1"/>
      <x:c r="G35" s="1"/>
    </x:row>
    <x:row r="36">
      <x:c r="A36" s="1"/>
      <x:c r="B36" s="1"/>
      <x:c r="C36" s="1"/>
      <x:c r="D36" s="1"/>
      <x:c r="E36" s="1"/>
      <x:c r="F36" s="1"/>
      <x:c r="G36" s="1"/>
    </x:row>
    <x:row r="37">
      <x:c r="A37" s="1"/>
      <x:c r="B37" s="1"/>
      <x:c r="C37" s="1"/>
      <x:c r="D37" s="1"/>
      <x:c r="E37" s="1"/>
      <x:c r="F37" s="1"/>
      <x:c r="G37" s="1"/>
    </x:row>
    <x:row r="38">
      <x:c r="A38" s="1"/>
      <x:c r="B38" s="1"/>
      <x:c r="C38" s="1"/>
      <x:c r="D38" s="1"/>
      <x:c r="E38" s="1"/>
      <x:c r="F38" s="1"/>
      <x:c r="G38" s="1"/>
    </x:row>
    <x:row r="39">
      <x:c r="A39" s="1"/>
      <x:c r="B39" s="1"/>
      <x:c r="C39" s="1"/>
      <x:c r="D39" s="1"/>
      <x:c r="E39" s="1"/>
      <x:c r="F39" s="1"/>
      <x:c r="G39" s="1"/>
    </x:row>
    <x:row r="40">
      <x:c r="A40" s="1"/>
      <x:c r="B40" s="1"/>
      <x:c r="C40" s="1"/>
      <x:c r="D40" s="1"/>
      <x:c r="E40" s="1"/>
      <x:c r="F40" s="1"/>
      <x:c r="G40" s="1"/>
    </x:row>
    <x:row r="41">
      <x:c r="A41" s="1"/>
      <x:c r="B41" s="1"/>
      <x:c r="C41" s="1"/>
      <x:c r="D41" s="1"/>
      <x:c r="E41" s="1"/>
      <x:c r="F41" s="1"/>
      <x:c r="G41" s="1"/>
    </x:row>
    <x:row r="42">
      <x:c r="A42" s="1"/>
      <x:c r="B42" s="1"/>
      <x:c r="C42" s="1"/>
      <x:c r="D42" s="1"/>
      <x:c r="E42" s="1"/>
      <x:c r="F42" s="1"/>
      <x:c r="G42" s="1"/>
    </x:row>
    <x:row r="43">
      <x:c r="A43" s="1"/>
      <x:c r="B43" s="1"/>
      <x:c r="C43" s="1"/>
      <x:c r="D43" s="1"/>
      <x:c r="E43" s="1"/>
      <x:c r="F43" s="1"/>
      <x:c r="G43" s="1"/>
    </x:row>
    <x:row r="44">
      <x:c r="A44" s="1"/>
      <x:c r="B44" s="1"/>
      <x:c r="C44" s="1"/>
      <x:c r="D44" s="1"/>
      <x:c r="E44" s="1"/>
      <x:c r="F44" s="1"/>
      <x:c r="G44" s="1"/>
    </x:row>
    <x:row r="45">
      <x:c r="A45" s="1"/>
      <x:c r="B45" s="1"/>
      <x:c r="C45" s="1"/>
      <x:c r="D45" s="1"/>
      <x:c r="E45" s="1"/>
      <x:c r="F45" s="1"/>
      <x:c r="G45" s="1"/>
    </x:row>
    <x:row r="46">
      <x:c r="A46" s="1"/>
      <x:c r="B46" s="1"/>
      <x:c r="C46" s="1"/>
      <x:c r="D46" s="1"/>
      <x:c r="E46" s="1"/>
      <x:c r="F46" s="1"/>
      <x:c r="G46" s="1"/>
    </x:row>
    <x:row r="47">
      <x:c r="A47" s="1"/>
      <x:c r="B47" s="1"/>
      <x:c r="C47" s="1"/>
      <x:c r="D47" s="1"/>
      <x:c r="E47" s="1"/>
      <x:c r="F47" s="1"/>
      <x:c r="G47" s="1"/>
    </x:row>
    <x:row r="48">
      <x:c r="A48" s="1"/>
      <x:c r="B48" s="1"/>
      <x:c r="C48" s="1"/>
      <x:c r="D48" s="1"/>
      <x:c r="E48" s="1"/>
      <x:c r="F48" s="1"/>
      <x:c r="G48" s="1"/>
    </x:row>
    <x:row r="49">
      <x:c r="A49" s="1"/>
      <x:c r="B49" s="1"/>
      <x:c r="C49" s="1"/>
      <x:c r="D49" s="1"/>
      <x:c r="E49" s="1"/>
      <x:c r="F49" s="1"/>
      <x:c r="G49" s="1"/>
    </x:row>
    <x:row r="50">
      <x:c r="A50" s="1"/>
      <x:c r="B50" s="1"/>
      <x:c r="C50" s="1"/>
      <x:c r="D50" s="1"/>
      <x:c r="E50" s="1"/>
      <x:c r="F50" s="1"/>
      <x:c r="G50" s="1"/>
    </x:row>
    <x:row r="51">
      <x:c r="A51" s="1"/>
      <x:c r="B51" s="1"/>
      <x:c r="C51" s="1"/>
      <x:c r="D51" s="1"/>
      <x:c r="E51" s="1"/>
      <x:c r="F51" s="1"/>
      <x:c r="G51" s="1"/>
    </x:row>
    <x:row r="52">
      <x:c r="A52" s="1"/>
      <x:c r="B52" s="1"/>
      <x:c r="C52" s="1"/>
      <x:c r="D52" s="1"/>
      <x:c r="E52" s="1"/>
      <x:c r="F52" s="1"/>
      <x:c r="G52" s="1"/>
    </x:row>
    <x:row r="53">
      <x:c r="A53" s="1"/>
      <x:c r="B53" s="1"/>
      <x:c r="C53" s="1"/>
      <x:c r="D53" s="1"/>
      <x:c r="E53" s="1"/>
      <x:c r="F53" s="1"/>
      <x:c r="G53" s="1"/>
    </x:row>
    <x:row r="54">
      <x:c r="A54" s="1"/>
      <x:c r="B54" s="1"/>
      <x:c r="C54" s="1"/>
      <x:c r="D54" s="1"/>
      <x:c r="E54" s="1"/>
      <x:c r="F54" s="1"/>
      <x:c r="G54" s="1"/>
    </x:row>
    <x:row r="55">
      <x:c r="A55" s="1"/>
      <x:c r="B55" s="1"/>
      <x:c r="C55" s="1"/>
      <x:c r="D55" s="1"/>
      <x:c r="E55" s="1"/>
      <x:c r="F55" s="1"/>
      <x:c r="G55" s="1"/>
    </x:row>
    <x:row r="56">
      <x:c r="A56" s="1"/>
      <x:c r="B56" s="1"/>
      <x:c r="C56" s="1"/>
      <x:c r="D56" s="1"/>
      <x:c r="E56" s="1"/>
      <x:c r="F56" s="1"/>
      <x:c r="G56" s="1"/>
    </x:row>
    <x:row r="57">
      <x:c r="A57" s="1"/>
      <x:c r="B57" s="1"/>
      <x:c r="C57" s="1"/>
      <x:c r="D57" s="1"/>
      <x:c r="E57" s="1"/>
      <x:c r="F57" s="1"/>
      <x:c r="G57" s="1"/>
    </x:row>
    <x:row r="58">
      <x:c r="A58" s="1"/>
      <x:c r="B58" s="1"/>
      <x:c r="C58" s="1"/>
      <x:c r="D58" s="1"/>
      <x:c r="E58" s="1"/>
      <x:c r="F58" s="1"/>
      <x:c r="G58" s="1"/>
    </x:row>
    <x:row r="59">
      <x:c r="A59" s="1"/>
      <x:c r="B59" s="1"/>
      <x:c r="C59" s="1"/>
      <x:c r="D59" s="1"/>
      <x:c r="E59" s="1"/>
      <x:c r="F59" s="1"/>
      <x:c r="G59" s="1"/>
    </x:row>
    <x:row r="60">
      <x:c r="A60" s="1"/>
      <x:c r="B60" s="1"/>
      <x:c r="C60" s="1"/>
      <x:c r="D60" s="1"/>
      <x:c r="E60" s="1"/>
      <x:c r="F60" s="1"/>
      <x:c r="G60" s="1"/>
    </x:row>
    <x:row r="61">
      <x:c r="A61" s="1"/>
      <x:c r="B61" s="1"/>
      <x:c r="C61" s="1"/>
      <x:c r="D61" s="1"/>
      <x:c r="E61" s="1"/>
      <x:c r="F61" s="1"/>
      <x:c r="G61" s="1"/>
    </x:row>
    <x:row r="62">
      <x:c r="A62" s="1"/>
      <x:c r="B62" s="1"/>
      <x:c r="C62" s="1"/>
      <x:c r="D62" s="1"/>
      <x:c r="E62" s="1"/>
      <x:c r="F62" s="1"/>
      <x:c r="G62" s="1"/>
    </x:row>
    <x:row r="63">
      <x:c r="A63" s="1"/>
      <x:c r="B63" s="1"/>
      <x:c r="C63" s="1"/>
      <x:c r="D63" s="1"/>
      <x:c r="E63" s="1"/>
      <x:c r="F63" s="1"/>
      <x:c r="G63" s="1"/>
    </x:row>
    <x:row r="64">
      <x:c r="A64" s="1"/>
      <x:c r="B64" s="1"/>
      <x:c r="C64" s="1"/>
      <x:c r="D64" s="1"/>
      <x:c r="E64" s="1"/>
      <x:c r="F64" s="1"/>
      <x:c r="G64" s="1"/>
    </x:row>
    <x:row r="65">
      <x:c r="A65" s="1"/>
      <x:c r="B65" s="1"/>
      <x:c r="C65" s="1"/>
      <x:c r="D65" s="1"/>
      <x:c r="E65" s="1"/>
      <x:c r="F65" s="1"/>
      <x:c r="G65" s="1"/>
    </x:row>
    <x:row r="66">
      <x:c r="A66" s="1"/>
      <x:c r="B66" s="1"/>
      <x:c r="C66" s="1"/>
      <x:c r="D66" s="1"/>
      <x:c r="E66" s="1"/>
      <x:c r="F66" s="1"/>
      <x:c r="G66" s="1"/>
    </x:row>
    <x:row r="67">
      <x:c r="A67" s="1"/>
      <x:c r="B67" s="1"/>
      <x:c r="C67" s="1"/>
      <x:c r="D67" s="1"/>
      <x:c r="E67" s="1"/>
      <x:c r="F67" s="1"/>
      <x:c r="G67" s="1"/>
    </x:row>
    <x:row r="68">
      <x:c r="A68" s="1"/>
      <x:c r="B68" s="1"/>
      <x:c r="C68" s="1"/>
      <x:c r="D68" s="1"/>
      <x:c r="E68" s="1"/>
      <x:c r="F68" s="1"/>
      <x:c r="G68" s="1"/>
    </x:row>
    <x:row r="69">
      <x:c r="A69" s="1"/>
      <x:c r="B69" s="1"/>
      <x:c r="C69" s="1"/>
      <x:c r="D69" s="1"/>
      <x:c r="E69" s="1"/>
      <x:c r="F69" s="1"/>
      <x:c r="G69" s="1"/>
    </x:row>
    <x:row r="70">
      <x:c r="A70" s="1"/>
      <x:c r="B70" s="1"/>
      <x:c r="C70" s="1"/>
      <x:c r="D70" s="1"/>
      <x:c r="E70" s="1"/>
      <x:c r="F70" s="1"/>
      <x:c r="G70" s="1"/>
    </x:row>
    <x:row r="71">
      <x:c r="A71" s="1"/>
      <x:c r="B71" s="1"/>
      <x:c r="C71" s="1"/>
      <x:c r="D71" s="1"/>
      <x:c r="E71" s="1"/>
      <x:c r="F71" s="1"/>
      <x:c r="G71" s="1"/>
    </x:row>
    <x:row r="72">
      <x:c r="A72" s="1"/>
      <x:c r="B72" s="1"/>
      <x:c r="C72" s="1"/>
      <x:c r="D72" s="1"/>
      <x:c r="E72" s="1"/>
      <x:c r="F72" s="1"/>
      <x:c r="G72" s="1"/>
    </x:row>
    <x:row r="73">
      <x:c r="A73" s="1"/>
      <x:c r="B73" s="1"/>
      <x:c r="C73" s="1"/>
      <x:c r="D73" s="1"/>
      <x:c r="E73" s="1"/>
      <x:c r="F73" s="1"/>
      <x:c r="G73" s="1"/>
    </x:row>
    <x:row r="74">
      <x:c r="A74" s="1"/>
      <x:c r="B74" s="1"/>
      <x:c r="C74" s="1"/>
      <x:c r="D74" s="1"/>
      <x:c r="E74" s="1"/>
      <x:c r="F74" s="1"/>
      <x:c r="G74" s="1"/>
    </x:row>
    <x:row r="75">
      <x:c r="A75" s="1"/>
      <x:c r="B75" s="1"/>
      <x:c r="C75" s="1"/>
      <x:c r="D75" s="1"/>
      <x:c r="E75" s="1"/>
      <x:c r="F75" s="1"/>
      <x:c r="G75" s="1"/>
    </x:row>
    <x:row r="76">
      <x:c r="A76" s="1"/>
      <x:c r="B76" s="1"/>
      <x:c r="C76" s="1"/>
      <x:c r="D76" s="1"/>
      <x:c r="E76" s="1"/>
      <x:c r="F76" s="1"/>
      <x:c r="G76" s="1"/>
    </x:row>
    <x:row r="77">
      <x:c r="A77" s="1"/>
      <x:c r="B77" s="1"/>
      <x:c r="C77" s="1"/>
      <x:c r="D77" s="1"/>
      <x:c r="E77" s="1"/>
      <x:c r="F77" s="1"/>
      <x:c r="G77" s="1"/>
    </x:row>
    <x:row r="78">
      <x:c r="A78" s="1"/>
      <x:c r="B78" s="1"/>
      <x:c r="C78" s="1"/>
      <x:c r="D78" s="1"/>
      <x:c r="E78" s="1"/>
      <x:c r="F78" s="1"/>
      <x:c r="G78" s="1"/>
    </x:row>
    <x:row r="79">
      <x:c r="A79" s="1"/>
      <x:c r="B79" s="1"/>
      <x:c r="C79" s="1"/>
      <x:c r="D79" s="1"/>
      <x:c r="E79" s="1"/>
      <x:c r="F79" s="1"/>
      <x:c r="G79" s="1"/>
    </x:row>
    <x:row r="80">
      <x:c r="A80" s="1"/>
      <x:c r="B80" s="1"/>
      <x:c r="C80" s="1"/>
      <x:c r="D80" s="1"/>
      <x:c r="E80" s="1"/>
      <x:c r="F80" s="1"/>
      <x:c r="G80" s="1"/>
    </x:row>
    <x:row r="81">
      <x:c r="A81" s="1"/>
      <x:c r="B81" s="1"/>
      <x:c r="C81" s="1"/>
      <x:c r="D81" s="1"/>
      <x:c r="E81" s="1"/>
      <x:c r="F81" s="1"/>
      <x:c r="G81" s="1"/>
    </x:row>
    <x:row r="82">
      <x:c r="A82" s="1"/>
      <x:c r="B82" s="1"/>
      <x:c r="C82" s="1"/>
      <x:c r="D82" s="1"/>
      <x:c r="E82" s="1"/>
      <x:c r="F82" s="1"/>
      <x:c r="G82" s="1"/>
    </x:row>
    <x:row r="83">
      <x:c r="A83" s="1"/>
      <x:c r="B83" s="1"/>
      <x:c r="C83" s="1"/>
      <x:c r="D83" s="1"/>
      <x:c r="E83" s="1"/>
      <x:c r="F83" s="1"/>
      <x:c r="G83" s="1"/>
    </x:row>
    <x:row r="84">
      <x:c r="A84" s="1"/>
      <x:c r="B84" s="1"/>
      <x:c r="C84" s="1"/>
      <x:c r="D84" s="1"/>
      <x:c r="E84" s="1"/>
      <x:c r="F84" s="1"/>
      <x:c r="G84" s="1"/>
    </x:row>
    <x:row r="85">
      <x:c r="A85" s="1"/>
      <x:c r="B85" s="1"/>
      <x:c r="C85" s="1"/>
      <x:c r="D85" s="1"/>
      <x:c r="E85" s="1"/>
      <x:c r="F85" s="1"/>
      <x:c r="G85" s="1"/>
    </x:row>
    <x:row r="86">
      <x:c r="A86" s="1"/>
      <x:c r="B86" s="1"/>
      <x:c r="C86" s="1"/>
      <x:c r="D86" s="1"/>
      <x:c r="E86" s="1"/>
      <x:c r="F86" s="1"/>
      <x:c r="G86" s="1"/>
    </x:row>
    <x:row r="87">
      <x:c r="A87" s="1"/>
      <x:c r="B87" s="1"/>
      <x:c r="C87" s="1"/>
      <x:c r="D87" s="1"/>
      <x:c r="E87" s="1"/>
      <x:c r="F87" s="1"/>
      <x:c r="G87" s="1"/>
    </x:row>
    <x:row r="88">
      <x:c r="A88" s="1"/>
      <x:c r="B88" s="1"/>
      <x:c r="C88" s="1"/>
      <x:c r="D88" s="1"/>
      <x:c r="E88" s="1"/>
      <x:c r="F88" s="1"/>
      <x:c r="G88" s="1"/>
    </x:row>
    <x:row r="89">
      <x:c r="A89" s="1"/>
      <x:c r="B89" s="1"/>
      <x:c r="C89" s="1"/>
      <x:c r="D89" s="1"/>
      <x:c r="E89" s="1"/>
      <x:c r="F89" s="1"/>
      <x:c r="G89" s="1"/>
    </x:row>
    <x:row r="90">
      <x:c r="A90" s="1"/>
      <x:c r="B90" s="1"/>
      <x:c r="C90" s="1"/>
      <x:c r="D90" s="1"/>
      <x:c r="E90" s="1"/>
      <x:c r="F90" s="1"/>
      <x:c r="G90" s="1"/>
    </x:row>
    <x:row r="91">
      <x:c r="A91" s="1"/>
      <x:c r="B91" s="1"/>
      <x:c r="C91" s="1"/>
      <x:c r="D91" s="1"/>
      <x:c r="E91" s="1"/>
      <x:c r="F91" s="1"/>
      <x:c r="G91" s="1"/>
    </x:row>
    <x:row r="92">
      <x:c r="A92" s="1"/>
      <x:c r="B92" s="1"/>
      <x:c r="C92" s="1"/>
      <x:c r="D92" s="1"/>
      <x:c r="E92" s="1"/>
      <x:c r="F92" s="1"/>
      <x:c r="G92" s="1"/>
    </x:row>
    <x:row r="93">
      <x:c r="A93" s="1"/>
      <x:c r="B93" s="1"/>
      <x:c r="C93" s="1"/>
      <x:c r="D93" s="1"/>
      <x:c r="E93" s="1"/>
      <x:c r="F93" s="1"/>
      <x:c r="G93" s="1"/>
    </x:row>
    <x:row r="94">
      <x:c r="A94" s="1"/>
      <x:c r="B94" s="1"/>
      <x:c r="C94" s="1"/>
      <x:c r="D94" s="1"/>
      <x:c r="E94" s="1"/>
      <x:c r="F94" s="1"/>
      <x:c r="G94" s="1"/>
    </x:row>
    <x:row r="95">
      <x:c r="A95" s="1"/>
      <x:c r="B95" s="1"/>
      <x:c r="C95" s="1"/>
      <x:c r="D95" s="1"/>
      <x:c r="E95" s="1"/>
      <x:c r="F95" s="1"/>
      <x:c r="G95" s="1"/>
    </x:row>
    <x:row r="96">
      <x:c r="A96" s="1"/>
      <x:c r="B96" s="1"/>
      <x:c r="C96" s="1"/>
      <x:c r="D96" s="1"/>
      <x:c r="E96" s="1"/>
      <x:c r="F96" s="1"/>
      <x:c r="G96" s="1"/>
    </x:row>
    <x:row r="97">
      <x:c r="A97" s="1"/>
      <x:c r="B97" s="1"/>
      <x:c r="C97" s="1"/>
      <x:c r="D97" s="1"/>
      <x:c r="E97" s="1"/>
      <x:c r="F97" s="1"/>
      <x:c r="G97" s="1"/>
    </x:row>
    <x:row r="98">
      <x:c r="A98" s="1"/>
      <x:c r="B98" s="1"/>
      <x:c r="C98" s="1"/>
      <x:c r="D98" s="1"/>
      <x:c r="E98" s="1"/>
      <x:c r="F98" s="1"/>
      <x:c r="G98" s="1"/>
    </x:row>
    <x:row r="99">
      <x:c r="A99" s="1"/>
      <x:c r="B99" s="1"/>
      <x:c r="C99" s="1"/>
      <x:c r="D99" s="1"/>
      <x:c r="E99" s="1"/>
      <x:c r="F99" s="1"/>
      <x:c r="G99" s="1"/>
    </x:row>
    <x:row r="100">
      <x:c r="A100" s="1"/>
      <x:c r="B100" s="1"/>
      <x:c r="C100" s="1"/>
      <x:c r="D100" s="1"/>
      <x:c r="E100" s="1"/>
      <x:c r="F100" s="1"/>
      <x:c r="G100" s="1"/>
    </x:row>
    <x:row r="101">
      <x:c r="A101" s="1"/>
      <x:c r="B101" s="1"/>
      <x:c r="C101" s="1"/>
      <x:c r="D101" s="1"/>
      <x:c r="E101" s="1"/>
      <x:c r="F101" s="1"/>
      <x:c r="G101" s="1"/>
    </x:row>
    <x:row r="102">
      <x:c r="A102" s="1"/>
      <x:c r="B102" s="1"/>
      <x:c r="C102" s="1"/>
      <x:c r="D102" s="1"/>
      <x:c r="E102" s="1"/>
      <x:c r="F102" s="1"/>
      <x:c r="G102" s="1"/>
    </x:row>
    <x:row r="103">
      <x:c r="A103" s="1"/>
      <x:c r="B103" s="1"/>
      <x:c r="C103" s="1"/>
      <x:c r="D103" s="1"/>
      <x:c r="E103" s="1"/>
      <x:c r="F103" s="1"/>
      <x:c r="G103" s="1"/>
    </x:row>
    <x:row r="104">
      <x:c r="A104" s="1"/>
      <x:c r="B104" s="1"/>
      <x:c r="C104" s="1"/>
      <x:c r="D104" s="1"/>
      <x:c r="E104" s="1"/>
      <x:c r="F104" s="1"/>
      <x:c r="G104" s="1"/>
    </x:row>
    <x:row r="105">
      <x:c r="A105" s="1"/>
      <x:c r="B105" s="1"/>
      <x:c r="C105" s="1"/>
      <x:c r="D105" s="1"/>
      <x:c r="E105" s="1"/>
      <x:c r="F105" s="1"/>
      <x:c r="G105" s="1"/>
    </x:row>
    <x:row r="106">
      <x:c r="A106" s="1"/>
      <x:c r="B106" s="1"/>
      <x:c r="C106" s="1"/>
      <x:c r="D106" s="1"/>
      <x:c r="E106" s="1"/>
      <x:c r="F106" s="1"/>
      <x:c r="G106" s="1"/>
    </x:row>
    <x:row r="107">
      <x:c r="A107" s="1"/>
      <x:c r="B107" s="1"/>
      <x:c r="C107" s="1"/>
      <x:c r="D107" s="1"/>
      <x:c r="E107" s="1"/>
      <x:c r="F107" s="1"/>
      <x:c r="G107" s="1"/>
    </x:row>
    <x:row r="108">
      <x:c r="A108" s="1"/>
      <x:c r="B108" s="1"/>
      <x:c r="C108" s="1"/>
      <x:c r="D108" s="1"/>
      <x:c r="E108" s="1"/>
      <x:c r="F108" s="1"/>
      <x:c r="G108" s="1"/>
    </x:row>
    <x:row r="109">
      <x:c r="A109" s="1"/>
      <x:c r="B109" s="1"/>
      <x:c r="C109" s="1"/>
      <x:c r="D109" s="1"/>
      <x:c r="E109" s="1"/>
      <x:c r="F109" s="1"/>
      <x:c r="G109" s="1"/>
    </x:row>
    <x:row r="110">
      <x:c r="A110" s="1"/>
      <x:c r="B110" s="1"/>
      <x:c r="C110" s="1"/>
      <x:c r="D110" s="1"/>
      <x:c r="E110" s="1"/>
      <x:c r="F110" s="1"/>
      <x:c r="G110" s="1"/>
    </x:row>
    <x:row r="111">
      <x:c r="A111" s="1"/>
      <x:c r="B111" s="1"/>
      <x:c r="C111" s="1"/>
      <x:c r="D111" s="1"/>
      <x:c r="E111" s="1"/>
      <x:c r="F111" s="1"/>
      <x:c r="G111" s="1"/>
    </x:row>
    <x:row r="112">
      <x:c r="A112" s="1"/>
      <x:c r="B112" s="1"/>
      <x:c r="C112" s="1"/>
      <x:c r="D112" s="1"/>
      <x:c r="E112" s="1"/>
      <x:c r="F112" s="1"/>
      <x:c r="G112" s="1"/>
    </x:row>
    <x:row r="113">
      <x:c r="A113" s="1"/>
      <x:c r="B113" s="1"/>
      <x:c r="C113" s="1"/>
      <x:c r="D113" s="1"/>
      <x:c r="E113" s="1"/>
      <x:c r="F113" s="1"/>
      <x:c r="G113" s="1"/>
    </x:row>
    <x:row r="114">
      <x:c r="A114" s="1"/>
      <x:c r="B114" s="1"/>
      <x:c r="C114" s="1"/>
      <x:c r="D114" s="1"/>
      <x:c r="E114" s="1"/>
      <x:c r="F114" s="1"/>
      <x:c r="G114" s="1"/>
    </x:row>
    <x:row r="115">
      <x:c r="A115" s="1"/>
      <x:c r="B115" s="1"/>
      <x:c r="C115" s="1"/>
      <x:c r="D115" s="1"/>
      <x:c r="E115" s="1"/>
      <x:c r="F115" s="1"/>
      <x:c r="G115" s="1"/>
    </x:row>
    <x:row r="116">
      <x:c r="A116" s="1"/>
      <x:c r="B116" s="1"/>
      <x:c r="C116" s="1"/>
      <x:c r="D116" s="1"/>
      <x:c r="E116" s="1"/>
      <x:c r="F116" s="1"/>
      <x:c r="G116" s="1"/>
    </x:row>
    <x:row r="117">
      <x:c r="A117" s="1"/>
      <x:c r="B117" s="1"/>
      <x:c r="C117" s="1"/>
      <x:c r="D117" s="1"/>
      <x:c r="E117" s="1"/>
      <x:c r="F117" s="1"/>
      <x:c r="G117" s="1"/>
    </x:row>
    <x:row r="118">
      <x:c r="A118" s="1"/>
      <x:c r="B118" s="1"/>
      <x:c r="C118" s="1"/>
      <x:c r="D118" s="1"/>
      <x:c r="E118" s="1"/>
      <x:c r="F118" s="1"/>
      <x:c r="G118" s="1"/>
    </x:row>
    <x:row r="119">
      <x:c r="A119" s="1"/>
      <x:c r="B119" s="1"/>
      <x:c r="C119" s="1"/>
      <x:c r="D119" s="1"/>
      <x:c r="E119" s="1"/>
      <x:c r="F119" s="1"/>
      <x:c r="G119" s="1"/>
    </x:row>
    <x:row r="120">
      <x:c r="A120" s="1"/>
      <x:c r="B120" s="1"/>
      <x:c r="C120" s="1"/>
      <x:c r="D120" s="1"/>
      <x:c r="E120" s="1"/>
      <x:c r="F120" s="1"/>
      <x:c r="G120" s="1"/>
    </x:row>
    <x:row r="121">
      <x:c r="A121" s="1"/>
      <x:c r="B121" s="1"/>
      <x:c r="C121" s="1"/>
      <x:c r="D121" s="1"/>
      <x:c r="E121" s="1"/>
      <x:c r="F121" s="1"/>
      <x:c r="G121" s="1"/>
    </x:row>
    <x:row r="122">
      <x:c r="A122" s="1"/>
      <x:c r="B122" s="1"/>
      <x:c r="C122" s="1"/>
      <x:c r="D122" s="1"/>
      <x:c r="E122" s="1"/>
      <x:c r="F122" s="1"/>
      <x:c r="G122" s="1"/>
    </x:row>
    <x:row r="123">
      <x:c r="A123" s="1"/>
      <x:c r="B123" s="1"/>
      <x:c r="C123" s="1"/>
      <x:c r="D123" s="1"/>
      <x:c r="E123" s="1"/>
      <x:c r="F123" s="1"/>
      <x:c r="G123" s="1"/>
    </x:row>
    <x:row r="124">
      <x:c r="A124" s="1"/>
      <x:c r="B124" s="1"/>
      <x:c r="C124" s="1"/>
      <x:c r="D124" s="1"/>
      <x:c r="E124" s="1"/>
      <x:c r="F124" s="1"/>
      <x:c r="G124" s="1"/>
    </x:row>
    <x:row r="125">
      <x:c r="A125" s="1"/>
      <x:c r="B125" s="1"/>
      <x:c r="C125" s="1"/>
      <x:c r="D125" s="1"/>
      <x:c r="E125" s="1"/>
      <x:c r="F125" s="1"/>
      <x:c r="G125" s="1"/>
    </x:row>
    <x:row r="126">
      <x:c r="A126" s="1"/>
      <x:c r="B126" s="1"/>
      <x:c r="C126" s="1"/>
      <x:c r="D126" s="1"/>
      <x:c r="E126" s="1"/>
      <x:c r="F126" s="1"/>
      <x:c r="G126" s="1"/>
    </x:row>
    <x:row r="127">
      <x:c r="A127" s="1"/>
      <x:c r="B127" s="1"/>
      <x:c r="C127" s="1"/>
      <x:c r="D127" s="1"/>
      <x:c r="E127" s="1"/>
      <x:c r="F127" s="1"/>
      <x:c r="G127" s="1"/>
    </x:row>
    <x:row r="128">
      <x:c r="A128" s="1"/>
      <x:c r="B128" s="1"/>
      <x:c r="C128" s="1"/>
      <x:c r="D128" s="1"/>
      <x:c r="E128" s="1"/>
      <x:c r="F128" s="1"/>
      <x:c r="G128" s="1"/>
    </x:row>
    <x:row r="129">
      <x:c r="A129" s="1"/>
      <x:c r="B129" s="1"/>
      <x:c r="C129" s="1"/>
      <x:c r="D129" s="1"/>
      <x:c r="E129" s="1"/>
      <x:c r="F129" s="1"/>
      <x:c r="G129" s="1"/>
    </x:row>
    <x:row r="130">
      <x:c r="A130" s="1"/>
      <x:c r="B130" s="1"/>
      <x:c r="C130" s="1"/>
      <x:c r="D130" s="1"/>
      <x:c r="E130" s="1"/>
      <x:c r="F130" s="1"/>
      <x:c r="G130" s="1"/>
    </x:row>
    <x:row r="131">
      <x:c r="A131" s="1"/>
      <x:c r="B131" s="1"/>
      <x:c r="C131" s="1"/>
      <x:c r="D131" s="1"/>
      <x:c r="E131" s="1"/>
      <x:c r="F131" s="1"/>
      <x:c r="G131" s="1"/>
    </x:row>
    <x:row r="132">
      <x:c r="A132" s="1"/>
      <x:c r="B132" s="1"/>
      <x:c r="C132" s="1"/>
      <x:c r="D132" s="1"/>
      <x:c r="E132" s="1"/>
      <x:c r="F132" s="1"/>
      <x:c r="G132" s="1"/>
    </x:row>
    <x:row r="133">
      <x:c r="A133" s="1"/>
      <x:c r="B133" s="1"/>
      <x:c r="C133" s="1"/>
      <x:c r="D133" s="1"/>
      <x:c r="E133" s="1"/>
      <x:c r="F133" s="1"/>
      <x:c r="G133" s="1"/>
    </x:row>
    <x:row r="134">
      <x:c r="A134" s="1"/>
      <x:c r="B134" s="1"/>
      <x:c r="C134" s="1"/>
      <x:c r="D134" s="1"/>
      <x:c r="E134" s="1"/>
      <x:c r="F134" s="1"/>
      <x:c r="G134" s="1"/>
    </x:row>
    <x:row r="135">
      <x:c r="A135" s="1"/>
      <x:c r="B135" s="1"/>
      <x:c r="C135" s="1"/>
      <x:c r="D135" s="1"/>
      <x:c r="E135" s="1"/>
      <x:c r="F135" s="1"/>
      <x:c r="G135" s="1"/>
    </x:row>
    <x:row r="136">
      <x:c r="A136" s="1"/>
      <x:c r="B136" s="1"/>
      <x:c r="C136" s="1"/>
      <x:c r="D136" s="1"/>
      <x:c r="E136" s="1"/>
      <x:c r="F136" s="1"/>
      <x:c r="G136" s="1"/>
    </x:row>
    <x:row r="137">
      <x:c r="A137" s="1"/>
      <x:c r="B137" s="1"/>
      <x:c r="C137" s="1"/>
      <x:c r="D137" s="1"/>
      <x:c r="E137" s="1"/>
      <x:c r="F137" s="1"/>
      <x:c r="G137" s="1"/>
    </x:row>
  </x:sheetData>
  <x:mergeCells>
    <x:mergeCell ref="A1:H1"/>
  </x:mergeCells>
  <x:dataValidations count="3">
    <x:dataValidation type="list" allowBlank="1" showInputMessage="1" sqref="E2:E1048576">
      <x:formula1>"MySQL.16,MySQL.2,MySQL.256,MySQL.32,MySQL.4,MySQL.48,MySQL.64,MySQL.8,MySQL.HeatWave.BM.Standard,MySQL.HeatWave.BM.Standard.E3,MySQL.HeatWave.VM.Standard,MySQL.HeatWave.VM.Standard.E3,MySQL.VM.Optimized3.1.16GB,MySQL.VM.Optimized3.1.8GB,MySQL.VM.Optimized"</x:formula1>
    </x:dataValidation>
    <x:dataValidation type="list" allowBlank="1" showInputMessage="1" showErrorMessage="1" sqref="F9:F1048576">
      <x:formula1>"init_variables_lower_case_table_names,variables_autocommit,variables_big_tables,variables_binlog_expire_logs_seconds,binlog_row_metadata,binlog_row_value_options,binlog_transaction_compression,completion_type,connect_timeout,connection_memory_chunk_size,c"</x:formula1>
    </x:dataValidation>
    <x:dataValidation allowBlank="1" sqref="A2:C2 H2 CC2:CD2 CF2:XFD2 U4:XFD1048576 D4:D1048576 J4:R1048576 I1:XFD1 A1"/>
  </x:dataValidations>
  <x:pageMargins left="0.7" right="0.7" top="0.75" bottom="0.75" header="0.3" footer="0.3"/>
</x:worksheet>
</file>

<file path=xl/worksheets/sheet47.xml><?xml version="1.0" encoding="utf-8"?>
<x:worksheet xmlns:x="http://schemas.openxmlformats.org/spreadsheetml/2006/main">
  <x:sheetFormatPr baseColWidth="10" defaultColWidth="8.83203125" defaultRowHeight="15"/>
  <x:cols>
    <x:col min="1" max="1" width="15.5" customWidth="1"/>
    <x:col min="2" max="2" width="42" customWidth="1"/>
    <x:col min="3" max="3" width="9.83203125" customWidth="1"/>
    <x:col min="4" max="4" width="18.1640625" customWidth="1"/>
    <x:col min="5" max="5" width="18.1640625" customWidth="1"/>
    <x:col min="6" max="6" width="25.1640625" customWidth="1"/>
    <x:col min="7" max="7" width="13.83203125" customWidth="1"/>
    <x:col min="8" max="8" width="15.83203125" customWidth="1"/>
    <x:col min="9" max="10" width="11.5" style="1" customWidth="1"/>
    <x:col min="11" max="11" width="10.83203125" customWidth="1"/>
    <x:col min="12" max="12" width="12.5" customWidth="1"/>
    <x:col min="13" max="13" width="37.33203125" customWidth="1"/>
    <x:col min="14" max="14" width="25.1640625" customWidth="1"/>
    <x:col min="15" max="15" width="16.6640625" customWidth="1"/>
    <x:col min="16" max="16" width="10.83203125" customWidth="1"/>
    <x:col min="17" max="17" width="22.83203125" customWidth="1"/>
    <x:col min="18" max="18" width="25.83203125" customWidth="1"/>
    <x:col min="19" max="19" width="29.1640625" customWidth="1"/>
    <x:col min="20" max="20" width="24" customWidth="1"/>
    <x:col min="21" max="21" width="28" customWidth="1"/>
  </x:cols>
  <x:sheetData>
    <x:row r="1" ht="32">
      <x:c r="A1" s="42" t="s">
        <x:v>469</x:v>
      </x:c>
      <x:c r="B1" s="42" t="s">
        <x:v>308</x:v>
      </x:c>
      <x:c r="C1" s="44" t="s">
        <x:v>470</x:v>
      </x:c>
      <x:c r="D1" s="44" t="s">
        <x:v>471</x:v>
      </x:c>
      <x:c r="E1" s="42" t="s">
        <x:v>472</x:v>
      </x:c>
      <x:c r="F1" s="45" t="s">
        <x:v>316</x:v>
      </x:c>
      <x:c r="G1" s="45" t="s">
        <x:v>318</x:v>
      </x:c>
      <x:c r="H1" s="45" t="s">
        <x:v>317</x:v>
      </x:c>
      <x:c r="I1" s="67" t="s">
        <x:v>324</x:v>
      </x:c>
      <x:c r="J1" s="67" t="s">
        <x:v>325</x:v>
      </x:c>
      <x:c r="K1" s="45" t="s">
        <x:v>321</x:v>
      </x:c>
      <x:c r="L1" s="44" t="s">
        <x:v>473</x:v>
      </x:c>
      <x:c r="M1" s="44" t="s">
        <x:v>474</x:v>
      </x:c>
      <x:c r="N1" s="44" t="s">
        <x:v>475</x:v>
      </x:c>
      <x:c r="O1" s="44" t="s">
        <x:v>476</x:v>
      </x:c>
      <x:c r="P1" s="44" t="s">
        <x:v>477</x:v>
      </x:c>
      <x:c r="Q1" s="49" t="s">
        <x:v>478</x:v>
      </x:c>
      <x:c r="R1" s="49" t="s">
        <x:v>479</x:v>
      </x:c>
      <x:c r="S1" s="49" t="s">
        <x:v>480</x:v>
      </x:c>
      <x:c r="T1" s="49" t="s">
        <x:v>481</x:v>
      </x:c>
      <x:c r="U1" s="49" t="s">
        <x:v>482</x:v>
      </x:c>
    </x:row>
    <x:row r="2" ht="16">
      <x:c r="A2" s="66" t="s">
        <x:v>483</x:v>
      </x:c>
      <x:c r="B2" s="43" t="s">
        <x:v>484</x:v>
      </x:c>
      <x:c r="C2" s="33" t="s">
        <x:v>485</x:v>
      </x:c>
      <x:c r="D2" s="33" t="s">
        <x:v>486</x:v>
      </x:c>
      <x:c r="E2" s="33" t="s">
        <x:v>487</x:v>
      </x:c>
      <x:c r="F2" s="43" t="s">
        <x:v>488</x:v>
      </x:c>
      <x:c r="G2" s="51" t="s">
        <x:v>489</x:v>
      </x:c>
      <x:c r="H2" s="33" t="s">
        <x:v>490</x:v>
      </x:c>
      <x:c r="I2" s="32">
        <x:v>80</x:v>
      </x:c>
      <x:c r="J2" s="32" t="s">
        <x:v>491</x:v>
      </x:c>
      <x:c r="K2" s="33">
        <x:v>1</x:v>
      </x:c>
      <x:c r="L2" t="s">
        <x:v>492</x:v>
      </x:c>
      <x:c r="M2" s="32" t="s">
        <x:v>493</x:v>
      </x:c>
      <x:c r="N2" s="32" t="s">
        <x:v>494</x:v>
      </x:c>
      <x:c r="O2" s="32" t="s">
        <x:v>490</x:v>
      </x:c>
      <x:c r="P2" s="32" t="s">
        <x:v>489</x:v>
      </x:c>
      <x:c r="Q2" s="33" t="s">
        <x:v>495</x:v>
      </x:c>
      <x:c r="R2" t="b">
        <x:v>1</x:v>
      </x:c>
      <x:c r="S2" t="s">
        <x:v>496</x:v>
      </x:c>
      <x:c r="T2" t="s">
        <x:v>497</x:v>
      </x:c>
      <x:c r="U2" s="39" t="s">
        <x:v>498</x:v>
      </x:c>
    </x:row>
    <x:row r="3" ht="16">
      <x:c r="A3" s="66" t="s">
        <x:v>499</x:v>
      </x:c>
      <x:c r="B3" s="33" t="s">
        <x:v>500</x:v>
      </x:c>
      <x:c r="C3" s="33" t="s">
        <x:v>501</x:v>
      </x:c>
      <x:c r="D3" s="33" t="s">
        <x:v>502</x:v>
      </x:c>
      <x:c r="E3" s="33" t="s">
        <x:v>503</x:v>
      </x:c>
      <x:c r="F3" s="33" t="s">
        <x:v>504</x:v>
      </x:c>
      <x:c r="G3" s="51" t="s">
        <x:v>505</x:v>
      </x:c>
      <x:c r="H3" s="33" t="s">
        <x:v>506</x:v>
      </x:c>
      <x:c r="I3" s="32">
        <x:v>40</x:v>
      </x:c>
      <x:c r="J3" s="32" t="s">
        <x:v>507</x:v>
      </x:c>
      <x:c r="K3" s="33">
        <x:v>2</x:v>
      </x:c>
      <x:c r="L3" t="s">
        <x:v>508</x:v>
      </x:c>
      <x:c r="M3" s="32" t="s">
        <x:v>509</x:v>
      </x:c>
      <x:c r="N3" s="32" t="s">
        <x:v>510</x:v>
      </x:c>
      <x:c r="O3" s="32" t="s">
        <x:v>506</x:v>
      </x:c>
      <x:c r="P3" s="32" t="s">
        <x:v>505</x:v>
      </x:c>
      <x:c r="Q3" s="33" t="s">
        <x:v>511</x:v>
      </x:c>
      <x:c r="R3" t="b">
        <x:v>0</x:v>
      </x:c>
      <x:c r="S3" t="s">
        <x:v>512</x:v>
      </x:c>
      <x:c r="T3" t="s">
        <x:v>513</x:v>
      </x:c>
      <x:c r="U3" s="32" t="s">
        <x:v>514</x:v>
      </x:c>
    </x:row>
    <x:row r="4" ht="16">
      <x:c r="A4" s="66" t="s">
        <x:v>515</x:v>
      </x:c>
      <x:c r="B4" s="33" t="s">
        <x:v>516</x:v>
      </x:c>
      <x:c r="C4" s="33" t="s">
        <x:v>517</x:v>
      </x:c>
      <x:c r="D4" s="33"/>
      <x:c r="E4" s="33" t="s">
        <x:v>518</x:v>
      </x:c>
      <x:c r="F4" s="33"/>
      <x:c r="H4" s="8" t="s">
        <x:v>519</x:v>
      </x:c>
      <x:c r="L4" t="s">
        <x:v>520</x:v>
      </x:c>
      <x:c r="M4" s="32" t="s">
        <x:v>521</x:v>
      </x:c>
      <x:c r="N4" s="32" t="s">
        <x:v>522</x:v>
      </x:c>
      <x:c r="O4" s="32" t="s">
        <x:v>519</x:v>
      </x:c>
      <x:c r="S4" t="s">
        <x:v>523</x:v>
      </x:c>
      <x:c r="T4" t="s">
        <x:v>524</x:v>
      </x:c>
    </x:row>
    <x:row r="5" ht="16">
      <x:c r="A5" s="66" t="s">
        <x:v>525</x:v>
      </x:c>
      <x:c r="B5" s="33" t="s">
        <x:v>526</x:v>
      </x:c>
      <x:c r="C5" s="33" t="s">
        <x:v>527</x:v>
      </x:c>
      <x:c r="D5" s="33"/>
      <x:c r="E5" s="33" t="s">
        <x:v>528</x:v>
      </x:c>
      <x:c r="F5" s="33"/>
      <x:c r="H5" s="33" t="s">
        <x:v>529</x:v>
      </x:c>
      <x:c r="L5" t="s">
        <x:v>530</x:v>
      </x:c>
      <x:c r="M5" s="32" t="s">
        <x:v>531</x:v>
      </x:c>
      <x:c r="N5" s="32" t="s">
        <x:v>532</x:v>
      </x:c>
      <x:c r="O5" s="32" t="s">
        <x:v>529</x:v>
      </x:c>
      <x:c r="S5" t="s">
        <x:v>533</x:v>
      </x:c>
      <x:c r="T5" t="s">
        <x:v>534</x:v>
      </x:c>
    </x:row>
    <x:row r="6" ht="16">
      <x:c r="A6" s="66" t="s">
        <x:v>535</x:v>
      </x:c>
      <x:c r="B6" s="33"/>
      <x:c r="C6" s="33" t="s">
        <x:v>536</x:v>
      </x:c>
      <x:c r="D6" s="33"/>
      <x:c r="E6" s="33" t="s">
        <x:v>537</x:v>
      </x:c>
      <x:c r="F6" s="33"/>
      <x:c r="H6" s="33" t="s">
        <x:v>538</x:v>
      </x:c>
      <x:c r="M6" s="32" t="s">
        <x:v>539</x:v>
      </x:c>
      <x:c r="N6" s="32" t="s">
        <x:v>540</x:v>
      </x:c>
      <x:c r="O6" s="32" t="s">
        <x:v>538</x:v>
      </x:c>
      <x:c r="S6" t="s">
        <x:v>541</x:v>
      </x:c>
      <x:c r="T6" t="s">
        <x:v>542</x:v>
      </x:c>
    </x:row>
    <x:row r="7" ht="16">
      <x:c r="A7" s="66" t="s">
        <x:v>543</x:v>
      </x:c>
      <x:c r="B7" s="33"/>
      <x:c r="C7" s="33" t="s">
        <x:v>544</x:v>
      </x:c>
      <x:c r="D7" s="33"/>
      <x:c r="E7" s="33" t="s">
        <x:v>545</x:v>
      </x:c>
      <x:c r="F7" s="33"/>
      <x:c r="H7" s="33" t="s">
        <x:v>546</x:v>
      </x:c>
      <x:c r="M7" s="32" t="s">
        <x:v>547</x:v>
      </x:c>
      <x:c r="N7" s="32" t="s">
        <x:v>548</x:v>
      </x:c>
      <x:c r="O7" s="32" t="s">
        <x:v>546</x:v>
      </x:c>
      <x:c r="S7" t="s">
        <x:v>549</x:v>
      </x:c>
      <x:c r="T7" t="s">
        <x:v>550</x:v>
      </x:c>
    </x:row>
    <x:row r="8" ht="16">
      <x:c r="A8" s="66" t="s">
        <x:v>551</x:v>
      </x:c>
      <x:c r="B8" s="33"/>
      <x:c r="C8" s="33" t="s">
        <x:v>552</x:v>
      </x:c>
      <x:c r="D8" s="33"/>
      <x:c r="E8" s="33" t="s">
        <x:v>553</x:v>
      </x:c>
      <x:c r="F8" s="33"/>
      <x:c r="H8" s="33" t="s">
        <x:v>554</x:v>
      </x:c>
      <x:c r="M8" s="32" t="s">
        <x:v>555</x:v>
      </x:c>
      <x:c r="N8" s="32" t="s">
        <x:v>556</x:v>
      </x:c>
      <x:c r="O8" s="32" t="s">
        <x:v>554</x:v>
      </x:c>
      <x:c r="S8" t="s">
        <x:v>557</x:v>
      </x:c>
      <x:c r="T8" t="s">
        <x:v>558</x:v>
      </x:c>
    </x:row>
    <x:row r="9" ht="16">
      <x:c r="A9" s="66" t="s">
        <x:v>559</x:v>
      </x:c>
      <x:c r="B9" s="33"/>
      <x:c r="C9" s="33" t="s">
        <x:v>560</x:v>
      </x:c>
      <x:c r="D9" s="33"/>
      <x:c r="E9" s="33" t="s">
        <x:v>561</x:v>
      </x:c>
      <x:c r="F9" s="33"/>
      <x:c r="H9" s="33" t="s">
        <x:v>562</x:v>
      </x:c>
      <x:c r="M9" s="32" t="s">
        <x:v>563</x:v>
      </x:c>
      <x:c r="N9" s="32" t="s">
        <x:v>564</x:v>
      </x:c>
      <x:c r="O9" s="32" t="s">
        <x:v>562</x:v>
      </x:c>
      <x:c r="T9" t="s">
        <x:v>565</x:v>
      </x:c>
    </x:row>
    <x:row r="10" ht="16">
      <x:c r="A10" s="66" t="s">
        <x:v>566</x:v>
      </x:c>
      <x:c r="B10" s="33"/>
      <x:c r="C10" s="33" t="s">
        <x:v>567</x:v>
      </x:c>
      <x:c r="D10" s="33"/>
      <x:c r="E10" s="33" t="s">
        <x:v>568</x:v>
      </x:c>
      <x:c r="F10" s="33"/>
      <x:c r="H10" s="33" t="s">
        <x:v>569</x:v>
      </x:c>
      <x:c r="M10" s="32" t="s">
        <x:v>570</x:v>
      </x:c>
      <x:c r="N10" s="32" t="s">
        <x:v>571</x:v>
      </x:c>
      <x:c r="O10" s="32" t="s">
        <x:v>569</x:v>
      </x:c>
      <x:c r="T10" t="s">
        <x:v>572</x:v>
      </x:c>
    </x:row>
    <x:row r="11" ht="16">
      <x:c r="A11" s="66" t="s">
        <x:v>573</x:v>
      </x:c>
      <x:c r="B11" s="33"/>
      <x:c r="C11" s="33" t="s">
        <x:v>574</x:v>
      </x:c>
      <x:c r="D11" s="33"/>
      <x:c r="E11" s="33" t="s">
        <x:v>575</x:v>
      </x:c>
      <x:c r="F11" s="33"/>
      <x:c r="H11" s="33" t="s">
        <x:v>576</x:v>
      </x:c>
      <x:c r="M11" s="32" t="s">
        <x:v>577</x:v>
      </x:c>
      <x:c r="T11" t="s">
        <x:v>578</x:v>
      </x:c>
    </x:row>
    <x:row r="12" ht="16">
      <x:c r="A12" s="66" t="s">
        <x:v>579</x:v>
      </x:c>
      <x:c r="B12" s="33"/>
      <x:c r="C12" s="33" t="s">
        <x:v>580</x:v>
      </x:c>
      <x:c r="D12" s="33"/>
      <x:c r="E12" s="33" t="s">
        <x:v>581</x:v>
      </x:c>
      <x:c r="F12" s="33"/>
      <x:c r="H12" s="33" t="s">
        <x:v>582</x:v>
      </x:c>
      <x:c r="M12" s="32" t="s">
        <x:v>583</x:v>
      </x:c>
      <x:c r="T12" t="s">
        <x:v>584</x:v>
      </x:c>
    </x:row>
    <x:row r="13" ht="16">
      <x:c r="A13" s="66" t="s">
        <x:v>585</x:v>
      </x:c>
      <x:c r="B13" s="33"/>
      <x:c r="C13" s="33" t="s">
        <x:v>586</x:v>
      </x:c>
      <x:c r="D13" s="33"/>
      <x:c r="E13" s="33" t="s">
        <x:v>587</x:v>
      </x:c>
      <x:c r="F13" s="33"/>
      <x:c r="H13" s="33" t="s">
        <x:v>588</x:v>
      </x:c>
      <x:c r="M13" s="32" t="s">
        <x:v>589</x:v>
      </x:c>
      <x:c r="T13" t="s">
        <x:v>590</x:v>
      </x:c>
    </x:row>
    <x:row r="14" ht="16">
      <x:c r="A14" s="66" t="s">
        <x:v>591</x:v>
      </x:c>
      <x:c r="B14" s="33"/>
      <x:c r="C14" s="33" t="s">
        <x:v>592</x:v>
      </x:c>
      <x:c r="D14" s="33"/>
      <x:c r="E14" s="33" t="s">
        <x:v>593</x:v>
      </x:c>
      <x:c r="F14" s="33"/>
      <x:c r="H14" s="33" t="s">
        <x:v>594</x:v>
      </x:c>
      <x:c r="M14" s="32" t="s">
        <x:v>595</x:v>
      </x:c>
    </x:row>
    <x:row r="15" ht="16">
      <x:c r="H15" s="33" t="s">
        <x:v>596</x:v>
      </x:c>
      <x:c r="M15" s="32" t="s">
        <x:v>597</x:v>
      </x:c>
    </x:row>
    <x:row r="16" ht="16">
      <x:c r="H16" s="33" t="s">
        <x:v>598</x:v>
      </x:c>
      <x:c r="M16" s="32" t="s">
        <x:v>599</x:v>
      </x:c>
    </x:row>
    <x:row r="17" ht="16">
      <x:c r="H17" s="33" t="s">
        <x:v>600</x:v>
      </x:c>
      <x:c r="M17" s="32" t="s">
        <x:v>601</x:v>
      </x:c>
    </x:row>
    <x:row r="18" ht="16">
      <x:c r="H18" s="33" t="s">
        <x:v>602</x:v>
      </x:c>
      <x:c r="M18" s="32" t="s">
        <x:v>603</x:v>
      </x:c>
    </x:row>
    <x:row r="19" ht="16">
      <x:c r="H19" s="33" t="s">
        <x:v>604</x:v>
      </x:c>
      <x:c r="M19" s="32" t="s">
        <x:v>605</x:v>
      </x:c>
    </x:row>
    <x:row r="20" ht="16">
      <x:c r="H20" s="33" t="s">
        <x:v>606</x:v>
      </x:c>
      <x:c r="M20" s="32" t="s">
        <x:v>607</x:v>
      </x:c>
    </x:row>
    <x:row r="21" ht="16">
      <x:c r="H21" s="33" t="s">
        <x:v>608</x:v>
      </x:c>
      <x:c r="M21" s="32" t="s">
        <x:v>609</x:v>
      </x:c>
    </x:row>
    <x:row r="22" ht="16">
      <x:c r="H22" s="33" t="s">
        <x:v>610</x:v>
      </x:c>
      <x:c r="M22" s="32" t="s">
        <x:v>611</x:v>
      </x:c>
    </x:row>
    <x:row r="23" ht="16">
      <x:c r="H23" s="33" t="s">
        <x:v>612</x:v>
      </x:c>
      <x:c r="M23" s="32" t="s">
        <x:v>613</x:v>
      </x:c>
    </x:row>
    <x:row r="24" ht="16">
      <x:c r="H24" s="33" t="s">
        <x:v>614</x:v>
      </x:c>
      <x:c r="M24" s="32" t="s">
        <x:v>615</x:v>
      </x:c>
    </x:row>
    <x:row r="25" ht="16">
      <x:c r="H25" s="33" t="s">
        <x:v>616</x:v>
      </x:c>
      <x:c r="M25" s="32" t="s">
        <x:v>617</x:v>
      </x:c>
    </x:row>
    <x:row r="26" ht="16">
      <x:c r="H26" s="33" t="s">
        <x:v>618</x:v>
      </x:c>
      <x:c r="M26" s="32" t="s">
        <x:v>619</x:v>
      </x:c>
    </x:row>
    <x:row r="27" ht="16">
      <x:c r="H27" s="33" t="s">
        <x:v>620</x:v>
      </x:c>
      <x:c r="M27" s="32" t="s">
        <x:v>621</x:v>
      </x:c>
    </x:row>
    <x:row r="28" ht="16">
      <x:c r="H28" s="33" t="s">
        <x:v>622</x:v>
      </x:c>
      <x:c r="M28" s="32" t="s">
        <x:v>623</x:v>
      </x:c>
    </x:row>
    <x:row r="29" ht="16">
      <x:c r="H29" s="33" t="s">
        <x:v>624</x:v>
      </x:c>
      <x:c r="M29" s="32" t="s">
        <x:v>625</x:v>
      </x:c>
    </x:row>
    <x:row r="30" ht="16">
      <x:c r="H30" s="33" t="s">
        <x:v>626</x:v>
      </x:c>
      <x:c r="M30" s="32" t="s">
        <x:v>627</x:v>
      </x:c>
    </x:row>
    <x:row r="31" ht="16">
      <x:c r="H31" s="33" t="s">
        <x:v>628</x:v>
      </x:c>
      <x:c r="M31" s="32" t="s">
        <x:v>629</x:v>
      </x:c>
    </x:row>
    <x:row r="32" ht="16">
      <x:c r="H32" s="33" t="s">
        <x:v>630</x:v>
      </x:c>
      <x:c r="M32" s="32" t="s">
        <x:v>631</x:v>
      </x:c>
    </x:row>
    <x:row r="33" ht="16">
      <x:c r="H33" s="33" t="s">
        <x:v>632</x:v>
      </x:c>
      <x:c r="M33" s="32" t="s">
        <x:v>633</x:v>
      </x:c>
    </x:row>
    <x:row r="34" ht="16">
      <x:c r="H34" s="33" t="s">
        <x:v>634</x:v>
      </x:c>
      <x:c r="M34" s="32" t="s">
        <x:v>635</x:v>
      </x:c>
    </x:row>
    <x:row r="35" ht="16">
      <x:c r="H35" s="33" t="s">
        <x:v>636</x:v>
      </x:c>
      <x:c r="M35" s="32" t="s">
        <x:v>637</x:v>
      </x:c>
    </x:row>
    <x:row r="36" ht="16">
      <x:c r="H36" s="33" t="s">
        <x:v>638</x:v>
      </x:c>
      <x:c r="M36" s="32" t="s">
        <x:v>639</x:v>
      </x:c>
    </x:row>
    <x:row r="37" ht="16">
      <x:c r="H37" s="33" t="s">
        <x:v>640</x:v>
      </x:c>
      <x:c r="M37" s="32" t="s">
        <x:v>641</x:v>
      </x:c>
    </x:row>
    <x:row r="38" ht="16">
      <x:c r="H38" s="33" t="s">
        <x:v>642</x:v>
      </x:c>
      <x:c r="M38" s="32" t="s">
        <x:v>643</x:v>
      </x:c>
    </x:row>
    <x:row r="39" ht="16">
      <x:c r="H39" s="33" t="s">
        <x:v>644</x:v>
      </x:c>
      <x:c r="M39" s="32" t="s">
        <x:v>645</x:v>
      </x:c>
    </x:row>
    <x:row r="40" ht="16">
      <x:c r="H40" s="33" t="s">
        <x:v>646</x:v>
      </x:c>
      <x:c r="M40" s="32" t="s">
        <x:v>647</x:v>
      </x:c>
    </x:row>
    <x:row r="41" ht="16">
      <x:c r="H41" s="33" t="s">
        <x:v>648</x:v>
      </x:c>
      <x:c r="M41" s="32" t="s">
        <x:v>649</x:v>
      </x:c>
    </x:row>
    <x:row r="42" ht="16">
      <x:c r="H42" s="33" t="s">
        <x:v>650</x:v>
      </x:c>
      <x:c r="M42" s="32" t="s">
        <x:v>651</x:v>
      </x:c>
    </x:row>
    <x:row r="43" ht="16">
      <x:c r="H43" s="33" t="s">
        <x:v>652</x:v>
      </x:c>
      <x:c r="M43" s="32" t="s">
        <x:v>653</x:v>
      </x:c>
    </x:row>
    <x:row r="44" ht="16">
      <x:c r="H44" s="33" t="s">
        <x:v>654</x:v>
      </x:c>
      <x:c r="M44" s="32" t="s">
        <x:v>655</x:v>
      </x:c>
    </x:row>
    <x:row r="45" ht="16">
      <x:c r="H45" s="33" t="s">
        <x:v>656</x:v>
      </x:c>
      <x:c r="M45" s="32" t="s">
        <x:v>657</x:v>
      </x:c>
    </x:row>
    <x:row r="46" ht="16">
      <x:c r="H46" s="33" t="s">
        <x:v>658</x:v>
      </x:c>
      <x:c r="M46" s="32" t="s">
        <x:v>659</x:v>
      </x:c>
    </x:row>
    <x:row r="47" ht="16">
      <x:c r="H47" s="33" t="s">
        <x:v>660</x:v>
      </x:c>
      <x:c r="M47" s="32" t="s">
        <x:v>661</x:v>
      </x:c>
    </x:row>
    <x:row r="48" ht="16">
      <x:c r="H48" s="33" t="s">
        <x:v>662</x:v>
      </x:c>
      <x:c r="M48" s="32" t="s">
        <x:v>663</x:v>
      </x:c>
    </x:row>
    <x:row r="49" ht="16">
      <x:c r="H49" s="33" t="s">
        <x:v>664</x:v>
      </x:c>
      <x:c r="M49" s="32" t="s">
        <x:v>665</x:v>
      </x:c>
    </x:row>
    <x:row r="50" ht="16">
      <x:c r="H50" s="33" t="s">
        <x:v>666</x:v>
      </x:c>
      <x:c r="M50" s="32" t="s">
        <x:v>667</x:v>
      </x:c>
    </x:row>
    <x:row r="51" ht="16">
      <x:c r="H51" s="33" t="s">
        <x:v>668</x:v>
      </x:c>
      <x:c r="M51" s="32" t="s">
        <x:v>669</x:v>
      </x:c>
    </x:row>
    <x:row r="52" ht="16">
      <x:c r="H52" s="33" t="s">
        <x:v>670</x:v>
      </x:c>
      <x:c r="M52" s="32" t="s">
        <x:v>671</x:v>
      </x:c>
    </x:row>
    <x:row r="53" ht="16">
      <x:c r="H53" s="33" t="s">
        <x:v>672</x:v>
      </x:c>
      <x:c r="M53" s="32" t="s">
        <x:v>673</x:v>
      </x:c>
    </x:row>
    <x:row r="54" ht="16">
      <x:c r="H54" s="33" t="s">
        <x:v>674</x:v>
      </x:c>
      <x:c r="M54" s="32" t="s">
        <x:v>675</x:v>
      </x:c>
    </x:row>
    <x:row r="55" ht="16">
      <x:c r="H55" s="33" t="s">
        <x:v>676</x:v>
      </x:c>
      <x:c r="M55" s="32" t="s">
        <x:v>677</x:v>
      </x:c>
    </x:row>
    <x:row r="56" ht="16">
      <x:c r="H56" s="33" t="s">
        <x:v>678</x:v>
      </x:c>
      <x:c r="M56" s="32" t="s">
        <x:v>679</x:v>
      </x:c>
    </x:row>
    <x:row r="57" ht="16">
      <x:c r="H57" s="33" t="s">
        <x:v>680</x:v>
      </x:c>
      <x:c r="M57" s="32" t="s">
        <x:v>681</x:v>
      </x:c>
    </x:row>
    <x:row r="58" ht="16">
      <x:c r="H58" s="33" t="s">
        <x:v>682</x:v>
      </x:c>
      <x:c r="M58" s="32" t="s">
        <x:v>683</x:v>
      </x:c>
    </x:row>
    <x:row r="59" ht="16">
      <x:c r="H59" s="33" t="s">
        <x:v>684</x:v>
      </x:c>
      <x:c r="M59" s="32" t="s">
        <x:v>685</x:v>
      </x:c>
    </x:row>
    <x:row r="60" ht="16">
      <x:c r="H60" s="33" t="s">
        <x:v>686</x:v>
      </x:c>
      <x:c r="M60" s="32" t="s">
        <x:v>687</x:v>
      </x:c>
    </x:row>
    <x:row r="61" ht="16">
      <x:c r="H61" s="33" t="s">
        <x:v>688</x:v>
      </x:c>
      <x:c r="M61" s="32" t="s">
        <x:v>689</x:v>
      </x:c>
    </x:row>
    <x:row r="62" ht="16">
      <x:c r="H62" s="33" t="s">
        <x:v>690</x:v>
      </x:c>
      <x:c r="M62" s="32" t="s">
        <x:v>691</x:v>
      </x:c>
    </x:row>
    <x:row r="63" ht="16">
      <x:c r="H63" s="33" t="s">
        <x:v>692</x:v>
      </x:c>
      <x:c r="M63" s="32" t="s">
        <x:v>693</x:v>
      </x:c>
    </x:row>
    <x:row r="64" ht="16">
      <x:c r="H64" s="33" t="s">
        <x:v>694</x:v>
      </x:c>
      <x:c r="M64" s="32" t="s">
        <x:v>695</x:v>
      </x:c>
    </x:row>
    <x:row r="65" ht="16">
      <x:c r="H65" s="33" t="s">
        <x:v>696</x:v>
      </x:c>
      <x:c r="M65" s="32" t="s">
        <x:v>697</x:v>
      </x:c>
    </x:row>
    <x:row r="66" ht="16">
      <x:c r="H66" s="33" t="s">
        <x:v>698</x:v>
      </x:c>
      <x:c r="M66" s="32" t="s">
        <x:v>699</x:v>
      </x:c>
    </x:row>
    <x:row r="67" ht="16">
      <x:c r="H67" s="33" t="s">
        <x:v>700</x:v>
      </x:c>
      <x:c r="M67" s="32" t="s">
        <x:v>701</x:v>
      </x:c>
    </x:row>
    <x:row r="68" ht="16">
      <x:c r="H68" s="33" t="s">
        <x:v>702</x:v>
      </x:c>
      <x:c r="M68" s="32" t="s">
        <x:v>703</x:v>
      </x:c>
    </x:row>
    <x:row r="69" ht="16">
      <x:c r="H69" s="33" t="s">
        <x:v>704</x:v>
      </x:c>
      <x:c r="M69" s="32" t="s">
        <x:v>705</x:v>
      </x:c>
    </x:row>
    <x:row r="70" ht="16">
      <x:c r="H70" s="33" t="s">
        <x:v>706</x:v>
      </x:c>
      <x:c r="M70" s="32" t="s">
        <x:v>707</x:v>
      </x:c>
    </x:row>
    <x:row r="71" ht="16">
      <x:c r="H71" s="33" t="s">
        <x:v>708</x:v>
      </x:c>
      <x:c r="M71" s="32" t="s">
        <x:v>709</x:v>
      </x:c>
    </x:row>
    <x:row r="72" ht="16">
      <x:c r="H72" s="33" t="s">
        <x:v>710</x:v>
      </x:c>
      <x:c r="M72" s="32" t="s">
        <x:v>711</x:v>
      </x:c>
    </x:row>
    <x:row r="73" ht="16">
      <x:c r="H73" s="33" t="s">
        <x:v>712</x:v>
      </x:c>
      <x:c r="M73" s="32" t="s">
        <x:v>713</x:v>
      </x:c>
    </x:row>
    <x:row r="74" ht="16">
      <x:c r="H74" s="33" t="s">
        <x:v>714</x:v>
      </x:c>
      <x:c r="M74" s="32" t="s">
        <x:v>715</x:v>
      </x:c>
    </x:row>
    <x:row r="75">
      <x:c r="H75" s="33" t="s">
        <x:v>716</x:v>
      </x:c>
    </x:row>
    <x:row r="76">
      <x:c r="H76" s="33" t="s">
        <x:v>717</x:v>
      </x:c>
    </x:row>
    <x:row r="77">
      <x:c r="H77" s="33" t="s">
        <x:v>718</x:v>
      </x:c>
    </x:row>
    <x:row r="78">
      <x:c r="H78" s="33" t="s">
        <x:v>719</x:v>
      </x:c>
    </x:row>
    <x:row r="79">
      <x:c r="H79" s="33" t="s">
        <x:v>720</x:v>
      </x:c>
    </x:row>
    <x:row r="80">
      <x:c r="H80" s="33" t="s">
        <x:v>721</x:v>
      </x:c>
    </x:row>
    <x:row r="81">
      <x:c r="H81" s="33" t="s">
        <x:v>722</x:v>
      </x:c>
    </x:row>
    <x:row r="82">
      <x:c r="H82" s="33" t="s">
        <x:v>723</x:v>
      </x:c>
    </x:row>
    <x:row r="83">
      <x:c r="H83" s="33" t="s">
        <x:v>505</x:v>
      </x:c>
    </x:row>
    <x:row r="84">
      <x:c r="H84" s="33" t="s">
        <x:v>724</x:v>
      </x:c>
    </x:row>
    <x:row r="85">
      <x:c r="H85" s="33" t="s">
        <x:v>725</x:v>
      </x:c>
    </x:row>
    <x:row r="86">
      <x:c r="H86" s="33" t="s">
        <x:v>726</x:v>
      </x:c>
    </x:row>
    <x:row r="87">
      <x:c r="H87" s="33" t="s">
        <x:v>727</x:v>
      </x:c>
    </x:row>
    <x:row r="88">
      <x:c r="H88" s="33" t="s">
        <x:v>728</x:v>
      </x:c>
    </x:row>
    <x:row r="89">
      <x:c r="H89" s="33" t="s">
        <x:v>729</x:v>
      </x:c>
    </x:row>
    <x:row r="90">
      <x:c r="H90" s="33" t="s">
        <x:v>730</x:v>
      </x:c>
    </x:row>
    <x:row r="91">
      <x:c r="H91" s="33" t="s">
        <x:v>731</x:v>
      </x:c>
    </x:row>
    <x:row r="92">
      <x:c r="H92" s="33" t="s">
        <x:v>732</x:v>
      </x:c>
    </x:row>
    <x:row r="93">
      <x:c r="H93" s="33" t="s">
        <x:v>733</x:v>
      </x:c>
    </x:row>
    <x:row r="94">
      <x:c r="H94" s="33" t="s">
        <x:v>734</x:v>
      </x:c>
    </x:row>
    <x:row r="95">
      <x:c r="H95" s="33" t="s">
        <x:v>735</x:v>
      </x:c>
    </x:row>
    <x:row r="96">
      <x:c r="H96" s="33" t="s">
        <x:v>736</x:v>
      </x:c>
    </x:row>
    <x:row r="97">
      <x:c r="H97" s="33" t="s">
        <x:v>737</x:v>
      </x:c>
    </x:row>
    <x:row r="98">
      <x:c r="H98" s="33" t="s">
        <x:v>738</x:v>
      </x:c>
    </x:row>
    <x:row r="99">
      <x:c r="H99" s="33" t="s">
        <x:v>739</x:v>
      </x:c>
    </x:row>
    <x:row r="100">
      <x:c r="H100" s="33" t="s">
        <x:v>740</x:v>
      </x:c>
    </x:row>
    <x:row r="101">
      <x:c r="H101" s="33" t="s">
        <x:v>741</x:v>
      </x:c>
    </x:row>
    <x:row r="102">
      <x:c r="H102" s="33" t="s">
        <x:v>742</x:v>
      </x:c>
    </x:row>
    <x:row r="103">
      <x:c r="H103" s="33" t="s">
        <x:v>743</x:v>
      </x:c>
    </x:row>
    <x:row r="104">
      <x:c r="H104" s="33" t="s">
        <x:v>744</x:v>
      </x:c>
    </x:row>
    <x:row r="105">
      <x:c r="H105" s="33" t="s">
        <x:v>745</x:v>
      </x:c>
    </x:row>
    <x:row r="106">
      <x:c r="H106" s="33" t="s">
        <x:v>746</x:v>
      </x:c>
    </x:row>
    <x:row r="107">
      <x:c r="H107" s="33" t="s">
        <x:v>747</x:v>
      </x:c>
    </x:row>
    <x:row r="108">
      <x:c r="H108" s="33" t="s">
        <x:v>748</x:v>
      </x:c>
    </x:row>
  </x:sheetData>
  <x:dataValidations count="2">
    <x:dataValidation sqref="Q1:U1"/>
    <x:dataValidation prompt="Select an OCI Region." sqref="Q1:U1"/>
  </x:dataValidations>
  <x:pageMargins left="0.7" right="0.7" top="0.75" bottom="0.75" header="0.3" footer="0.3"/>
  <x:legacyDrawing xmlns:r="http://schemas.openxmlformats.org/officeDocument/2006/relationships" r:id="R4a95b3c5ca504a17"/>
</x:worksheet>
</file>

<file path=xl/worksheets/sheet48.xml><?xml version="1.0" encoding="utf-8"?>
<x:worksheet xmlns:x="http://schemas.openxmlformats.org/spreadsheetml/2006/main">
  <x:sheetFormatPr baseColWidth="10" defaultColWidth="28.33203125" defaultRowHeight="15"/>
  <x:cols>
    <x:col min="1" max="1" width="7.6640625" style="63" customWidth="1"/>
    <x:col min="2" max="2" width="16.6640625" style="63" customWidth="1"/>
    <x:col min="3" max="4" width="20.1640625" style="63" customWidth="1"/>
    <x:col min="5" max="5" width="41" style="63" customWidth="1"/>
    <x:col min="6" max="6" width="28.33203125" style="63" customWidth="0"/>
    <x:col min="7" max="7" width="13" style="63" customWidth="1"/>
    <x:col min="8" max="8" width="10.33203125" style="63" customWidth="1"/>
    <x:col min="9" max="9" width="41.5" style="63" customWidth="1"/>
    <x:col min="10" max="10" width="38.1640625" style="63" customWidth="1"/>
    <x:col min="11" max="11" width="33.83203125" style="63" customWidth="1"/>
    <x:col min="12" max="12" width="15" style="63" customWidth="1"/>
    <x:col min="13" max="13" width="20.5" style="63" customWidth="1"/>
    <x:col min="14" max="14" width="27.5" style="63" customWidth="1"/>
    <x:col min="15" max="15" width="13.6640625" style="63" customWidth="1"/>
    <x:col min="16" max="16" width="13.6640625" style="63" customWidth="1"/>
    <x:col min="17" max="17" width="29.83203125" style="63" customWidth="1"/>
    <x:col min="18" max="18" width="29.83203125" style="63" customWidth="1"/>
    <x:col min="19" max="19" width="9.5" style="63" customWidth="1"/>
    <x:col min="20" max="20" width="9" style="63" customWidth="1"/>
    <x:col min="21" max="21" width="11" style="63" customWidth="1"/>
    <x:col min="22" max="22" width="18" style="63" customWidth="1"/>
    <x:col min="23" max="25" width="18" style="63" customWidth="1"/>
    <x:col min="26" max="26" width="21.33203125" style="63" customWidth="1"/>
    <x:col min="27" max="27" width="14.83203125" style="63" customWidth="1"/>
    <x:col min="28" max="28" width="13.5" style="63" customWidth="1"/>
    <x:col min="29" max="29" width="9.83203125" style="63" customWidth="1"/>
    <x:col min="30" max="30" width="18" style="63" customWidth="1"/>
    <x:col min="31" max="31" width="11.1640625" style="63" customWidth="1"/>
    <x:col min="32" max="32" width="22.6640625" style="63" customWidth="1"/>
    <x:col min="33" max="33" width="30.1640625" style="63" customWidth="1"/>
    <x:col min="34" max="34" width="15.5" style="63" customWidth="1"/>
    <x:col min="35" max="35" width="44.5" style="63" customWidth="1"/>
    <x:col min="36" max="36" width="22.1640625" style="63" customWidth="1"/>
    <x:col min="37" max="37" width="30.33203125" style="63" customWidth="1"/>
    <x:col min="38" max="38" width="28.1640625" style="63" customWidth="1"/>
    <x:col min="39" max="39" width="16.1640625" style="63" customWidth="1"/>
    <x:col min="40" max="40" width="13.1640625" style="63" customWidth="1"/>
    <x:col min="41" max="41" width="17.1640625" style="63" customWidth="1"/>
    <x:col min="42" max="42" width="12.33203125" style="63" customWidth="1"/>
    <x:col min="43" max="46" width="28.33203125" style="63" customWidth="0"/>
    <x:col min="47" max="47" width="33.33203125" style="63" customWidth="1"/>
    <x:col min="48" max="16384" width="28.33203125" style="63" customWidth="0"/>
  </x:cols>
  <x:sheetData>
    <x:row r="1" s="56" customFormat="1" ht="148" customHeight="1">
      <x:c r="A1" s="64" t="s">
        <x:v>749</x:v>
      </x:c>
      <x:c r="B1" s="64" t="s">
        <x:v>750</x:v>
      </x:c>
      <x:c r="C1" s="64" t="s">
        <x:v>751</x:v>
      </x:c>
      <x:c r="D1" s="64" t="s">
        <x:v>752</x:v>
      </x:c>
      <x:c r="E1" s="64" t="s">
        <x:v>753</x:v>
      </x:c>
      <x:c r="F1" s="64" t="s">
        <x:v>754</x:v>
      </x:c>
      <x:c r="G1" s="64" t="s">
        <x:v>755</x:v>
      </x:c>
      <x:c r="H1" s="64" t="s">
        <x:v>756</x:v>
      </x:c>
      <x:c r="I1" s="64" t="s">
        <x:v>757</x:v>
      </x:c>
      <x:c r="J1" s="64" t="s">
        <x:v>758</x:v>
      </x:c>
      <x:c r="K1" s="64" t="s">
        <x:v>759</x:v>
      </x:c>
      <x:c r="L1" s="64" t="s">
        <x:v>2</x:v>
      </x:c>
      <x:c r="M1" s="64" t="s">
        <x:v>760</x:v>
      </x:c>
      <x:c r="N1" s="64" t="s">
        <x:v>761</x:v>
      </x:c>
      <x:c r="O1" s="64" t="s">
        <x:v>762</x:v>
      </x:c>
      <x:c r="P1" s="64" t="s">
        <x:v>763</x:v>
      </x:c>
      <x:c r="Q1" s="64" t="s">
        <x:v>764</x:v>
      </x:c>
      <x:c r="R1" s="64" t="s">
        <x:v>765</x:v>
      </x:c>
      <x:c r="S1" s="64" t="s">
        <x:v>766</x:v>
      </x:c>
      <x:c r="T1" s="64" t="s">
        <x:v>767</x:v>
      </x:c>
      <x:c r="U1" s="64" t="s">
        <x:v>768</x:v>
      </x:c>
      <x:c r="V1" s="64" t="s">
        <x:v>769</x:v>
      </x:c>
      <x:c r="W1" s="64" t="s">
        <x:v>770</x:v>
      </x:c>
      <x:c r="X1" s="64" t="s">
        <x:v>771</x:v>
      </x:c>
      <x:c r="Y1" s="64" t="s">
        <x:v>772</x:v>
      </x:c>
      <x:c r="Z1" s="64" t="s">
        <x:v>773</x:v>
      </x:c>
      <x:c r="AA1" s="55" t="s">
        <x:v>774</x:v>
      </x:c>
      <x:c r="AB1" s="55" t="s">
        <x:v>775</x:v>
      </x:c>
      <x:c r="AC1" s="55" t="s">
        <x:v>776</x:v>
      </x:c>
      <x:c r="AD1" s="64" t="s">
        <x:v>777</x:v>
      </x:c>
      <x:c r="AE1" s="55" t="s">
        <x:v>140</x:v>
      </x:c>
      <x:c r="AF1" s="55" t="s">
        <x:v>778</x:v>
      </x:c>
      <x:c r="AG1" s="55" t="s">
        <x:v>779</x:v>
      </x:c>
      <x:c r="AH1" s="55" t="s">
        <x:v>780</x:v>
      </x:c>
      <x:c r="AI1" s="55" t="s">
        <x:v>781</x:v>
      </x:c>
      <x:c r="AJ1" s="55" t="s">
        <x:v>782</x:v>
      </x:c>
      <x:c r="AK1" s="55" t="s">
        <x:v>783</x:v>
      </x:c>
      <x:c r="AL1" s="55" t="s">
        <x:v>784</x:v>
      </x:c>
      <x:c r="AM1" s="55" t="s">
        <x:v>785</x:v>
      </x:c>
      <x:c r="AN1" s="55" t="s">
        <x:v>786</x:v>
      </x:c>
      <x:c r="AO1" s="55" t="s">
        <x:v>787</x:v>
      </x:c>
      <x:c r="AP1" s="55" t="s">
        <x:v>788</x:v>
      </x:c>
      <x:c r="AQ1" s="55" t="s">
        <x:v>208</x:v>
      </x:c>
      <x:c r="AR1" s="55" t="s">
        <x:v>789</x:v>
      </x:c>
      <x:c r="AS1" s="55" t="s">
        <x:v>790</x:v>
      </x:c>
      <x:c r="AT1" s="55" t="s">
        <x:v>791</x:v>
      </x:c>
      <x:c r="AU1" s="55" t="s">
        <x:v>792</x:v>
      </x:c>
      <x:c r="AV1" s="55" t="s">
        <x:v>757</x:v>
      </x:c>
    </x:row>
    <x:row r="2" s="57" customFormat="1" ht="16">
      <x:c r="A2" s="57">
        <x:v>3</x:v>
      </x:c>
      <x:c r="B2" s="57" t="e" cm="1">
        <x:f t="array" aca="1" ref="B2">IF(COUNTIF(INDIRECT(ADDRESS(3,1,1,1,"VCNS")&amp;":"&amp;ADDRESS(A2,18,4,1)),"*END*")&gt;0,"","VCN"&amp;"::"&amp;INDIRECT(ADDRESS(A2,3,4,1,"VCNS")))</x:f>
      </x:c>
      <x:c r="C2" s="57" t="e" cm="1">
        <x:f t="array" aca="1" ref="C2">IF(COUNTIF(INDIRECT(ADDRESS(3,1,1,1,"VCNS")&amp;":"&amp;ADDRESS(A2,1,4,1)),"*END*")&gt;0,"",INDIRECT(ADDRESS(A2,3,4,1,"VCNS")))</x:f>
      </x:c>
      <x:c r="D2" s="57" t="e" cm="1">
        <x:f t="array" ref="D2">_xlfn.UNIQUE(INDIRECT("C2:C"&amp;$G$5),FALSE,FALSE)</x:f>
      </x:c>
      <x:c r="E2" s="57" t="e" cm="1">
        <x:f t="array" aca="1" ref="E2">_xlfn.IFNA(IF($H2 + 1 &gt; $G$2, "", INDEX(INDIRECT("SubnetsVLANs!$B$" &amp; $H2 + 2 &amp; ":$B$" &amp; $G$2) &amp; "@" &amp; INDIRECT("SubnetsVLANs!$C$" &amp; $H2 + 2 &amp; ":$C$" &amp; $G$2) &amp; "::" &amp; INDIRECT("SubnetsVLANs!$D$" &amp; $H2 + 2 &amp; ":$D$" &amp; $G$2), MATCH("Subnet*", INDIRECT("SubnetsVLANs!$E$" &amp; $H2 + 2 &amp; ":$E$" &amp; $G$2), 0))), "")</x:f>
      </x:c>
      <x:c r="F2" s="33" t="e">
        <x:f>_xlfn.IFNA(IF($H2+1&gt;$G$2,"",INDEX(INDIRECT("SubnetsVLANs!$D$"&amp;$H2+2&amp;":$D$"&amp;$G$2),MATCH("vlan*",INDIRECT("SubnetsVLANs!$E$"&amp;$H2+2&amp;":$E$"&amp;$G$2),0))),"")</x:f>
      </x:c>
      <x:c r="G2" s="33" t="n">
        <x:f>MATCH("&lt;END&gt;",SubnetsVLANs!$A$2:$A$999,0)</x:f>
        <x:v>2</x:v>
      </x:c>
      <x:c r="H2" s="38">
        <x:v>1</x:v>
      </x:c>
      <x:c r="I2" s="33" t="e" cm="1">
        <x:f t="array" ref="I2">_xlfn.UNIQUE(INDIRECT("E2:E"&amp;$G$2),FALSE,FALSE)</x:f>
      </x:c>
      <x:c r="J2" s="33" t="e" cm="1">
        <x:f t="array" ref="J2">_xlfn.UNIQUE(INDIRECT("F2:F"&amp;$G$2),FALSE,FALSE)</x:f>
      </x:c>
      <x:c r="K2" s="58" t="s">
        <x:v>793</x:v>
      </x:c>
      <x:c r="L2" s="126" t="s">
        <x:v>794</x:v>
      </x:c>
      <x:c r="M2" s="58" t="s">
        <x:v>795</x:v>
      </x:c>
      <x:c r="N2" s="58" t="s">
        <x:v>796</x:v>
      </x:c>
      <x:c r="O2" s="58" t="s">
        <x:v>797</x:v>
      </x:c>
      <x:c r="P2" s="58" t="e" cm="1">
        <x:f t="array" aca="1" ref="P2">IF(COUNTIF(INDIRECT(ADDRESS(3,1,1,1,"DHCP")&amp;":"&amp;ADDRESS(A2,1,4,1)),"*END*")&gt;0,"",INDIRECT(ADDRESS(A2,4,4,1,"DHCP")))</x:f>
      </x:c>
      <x:c r="Q2" s="58" t="s">
        <x:v>798</x:v>
      </x:c>
      <x:c r="R2" s="58" t="s">
        <x:v>799</x:v>
      </x:c>
      <x:c r="S2" s="58" t="s">
        <x:v>800</x:v>
      </x:c>
      <x:c r="T2" s="58" t="s">
        <x:v>801</x:v>
      </x:c>
      <x:c r="U2" s="59" t="s">
        <x:v>802</x:v>
      </x:c>
      <x:c r="V2" s="58" t="s">
        <x:v>803</x:v>
      </x:c>
      <x:c r="W2" s="58" t="s">
        <x:v>804</x:v>
      </x:c>
      <x:c r="X2" s="58" t="s">
        <x:v>805</x:v>
      </x:c>
      <x:c r="Y2" s="58" t="e" cm="1">
        <x:f t="array" aca="1" ref="Y2">IF(COUNTIF(INDIRECT(ADDRESS(3,1,1,1,"DedicatedVMHosts")&amp;":"&amp;ADDRESS(A2,1,4,1)),"*END*")&gt;0,"",INDIRECT(ADDRESS(A2,3,4,1,"DedicatedVMHosts")))</x:f>
      </x:c>
      <x:c r="Z2" s="58" t="e" cm="1">
        <x:f t="array" aca="1" ref="Z2">IF(COUNTIF(INDIRECT(ADDRESS(3,1,1,1,"instances")&amp;":"&amp;ADDRESS(A2,1,4,1)),"*END*")&gt;0,"",INDIRECT(ADDRESS(A2,4,4,1,"instances")))</x:f>
      </x:c>
      <x:c r="AA2" s="58" t="s">
        <x:v>806</x:v>
      </x:c>
      <x:c r="AB2" s="58" t="s">
        <x:v>807</x:v>
      </x:c>
      <x:c r="AC2" s="58" t="s">
        <x:v>808</x:v>
      </x:c>
      <x:c r="AD2" s="58" t="b">
        <x:v>1</x:v>
      </x:c>
      <x:c r="AE2" s="58" t="s">
        <x:v>809</x:v>
      </x:c>
      <x:c r="AF2" s="58" t="s">
        <x:v>810</x:v>
      </x:c>
      <x:c r="AG2" s="58" t="s">
        <x:v>811</x:v>
      </x:c>
      <x:c r="AH2" s="58" t="s">
        <x:v>798</x:v>
      </x:c>
      <x:c r="AI2" s="58" t="s">
        <x:v>812</x:v>
      </x:c>
      <x:c r="AJ2" s="58" t="s">
        <x:v>813</x:v>
      </x:c>
      <x:c r="AK2" s="60" t="s">
        <x:v>814</x:v>
      </x:c>
      <x:c r="AL2" s="58" t="s">
        <x:v>815</x:v>
      </x:c>
      <x:c r="AM2" s="58">
        <x:v>301</x:v>
      </x:c>
      <x:c r="AN2" s="58">
        <x:v>8</x:v>
      </x:c>
      <x:c r="AO2" s="58" t="s">
        <x:v>811</x:v>
      </x:c>
      <x:c r="AP2" s="57" t="s">
        <x:v>508</x:v>
      </x:c>
      <x:c r="AQ2" s="57" t="s">
        <x:v>816</x:v>
      </x:c>
      <x:c r="AR2" s="57" t="b">
        <x:v>0</x:v>
      </x:c>
      <x:c r="AS2" s="57" t="s">
        <x:v>817</x:v>
      </x:c>
      <x:c r="AT2" s="57" t="e" cm="1">
        <x:f t="array" ref="AT2">_xlfn.UNIQUE(INDIRECT("B2:B"&amp;$G$5),FALSE,FALSE)</x:f>
      </x:c>
      <x:c r="AU2" s="101" t="e">
        <x:f>_xlfn.IFNA(IF($H2+1&gt;$G$2,"",INDEX(INDIRECT("SubnetsVLANs!$D$"&amp;$H2+2&amp;":$D$"&amp;$G$2),MATCH("Subnet*",INDIRECT("SubnetsVLANs!$E$"&amp;$H2+2&amp;":$E$"&amp;$G$2),0))),"")</x:f>
      </x:c>
      <x:c r="AV2" s="57" t="e" cm="1">
        <x:f t="array" ref="AV2">_xlfn.UNIQUE(INDIRECT("AU2:AU"&amp;$G$2),FALSE,FALSE)</x:f>
      </x:c>
    </x:row>
    <x:row r="3" s="57" customFormat="1" ht="28">
      <x:c r="A3" s="57">
        <x:v>4</x:v>
      </x:c>
      <x:c r="B3" s="57" t="e" cm="1">
        <x:f t="array" aca="1" ref="B3">IF(COUNTIF(INDIRECT(ADDRESS(3,1,1,1,"VCNS")&amp;":"&amp;ADDRESS(A3,18,4,1)),"*END*")&gt;0,"","VCN"&amp;"::"&amp;INDIRECT(ADDRESS(A3,3,4,1,"VCNS")))</x:f>
      </x:c>
      <x:c r="C3" s="57" t="e" cm="1">
        <x:f t="array" aca="1" ref="C3">IF(COUNTIF(INDIRECT(ADDRESS(3,1,1,1,"VCNS")&amp;":"&amp;ADDRESS(A3,1,4,1)),"*END*")&gt;0,"",INDIRECT(ADDRESS(A3,3,4,1,"VCNS")))</x:f>
      </x:c>
      <x:c r="D3" s="57" t="str"/>
      <x:c r="E3" s="57" t="str" cm="1">
        <x:f t="array" aca="1" ref="E3">_xlfn.IFNA(IF($H3 + 1 &gt; $G$2, "", INDEX(INDIRECT("SubnetsVLANs!$B$" &amp; $H3 + 2 &amp; ":$B$" &amp; $G$2) &amp; "@" &amp; INDIRECT("SubnetsVLANs!$C$" &amp; $H3 + 2 &amp; ":$C$" &amp; $G$2) &amp; "::" &amp; INDIRECT("SubnetsVLANs!$D$" &amp; $H3 + 2 &amp; ":$D$" &amp; $G$2), MATCH("Subnet*", INDIRECT("SubnetsVLANs!$E$" &amp; $H3 + 2 &amp; ":$E$" &amp; $G$2), 0))), "")</x:f>
      </x:c>
      <x:c r="F3" s="33" t="str">
        <x:f t="shared" ref="F3:F67" si="0">_xlfn.IFNA(IF($H3+1&gt;$G$2,"",INDEX(INDIRECT("SubnetsVLANs!$D$"&amp;$H3+2&amp;":$D$"&amp;$G$2),MATCH("vlan*",INDIRECT("SubnetsVLANs!$E$"&amp;$H3+2&amp;":$E$"&amp;$G$2),0))),"")</x:f>
      </x:c>
      <x:c r="G3" s="33" t="n">
        <x:f>COUNTIF($I$2:$I$101,"*")</x:f>
        <x:v>100</x:v>
      </x:c>
      <x:c r="H3" s="38">
        <x:v>2</x:v>
      </x:c>
      <x:c r="I3" s="33" t="str">
        <x:v>Network@vcn01::vcn01-app</x:v>
      </x:c>
      <x:c r="J3" s="33"/>
      <x:c r="K3" s="58" t="s">
        <x:v>798</x:v>
      </x:c>
      <x:c r="L3" s="33" t="s">
        <x:v>818</x:v>
      </x:c>
      <x:c r="M3" s="58" t="s">
        <x:v>819</x:v>
      </x:c>
      <x:c r="N3" s="58" t="s">
        <x:v>804</x:v>
      </x:c>
      <x:c r="O3" s="58" t="s">
        <x:v>820</x:v>
      </x:c>
      <x:c r="P3" s="58" t="e" cm="1">
        <x:f t="array" aca="1" ref="P3">IF(COUNTIF(INDIRECT(ADDRESS(3,1,1,1,"DHCP")&amp;":"&amp;ADDRESS(A3,1,4,1)),"*END*")&gt;0,"",INDIRECT(ADDRESS(A3,4,4,1,"DHCP")))</x:f>
      </x:c>
      <x:c r="Q3" s="58" t="s">
        <x:v>821</x:v>
      </x:c>
      <x:c r="R3" s="58" t="e" cm="1">
        <x:f t="array" aca="1" ref="R3">IF(COUNTIF(INDIRECT(ADDRESS(3,1,1,1,"DRGs")&amp;":"&amp;ADDRESS(A3,1,4,1)),"*END*")&gt;0,"",INDIRECT(ADDRESS(A3,3,4,1,"DRGs")))</x:f>
      </x:c>
      <x:c r="S3" s="58" t="s">
        <x:v>822</x:v>
      </x:c>
      <x:c r="T3" s="58" t="s">
        <x:v>823</x:v>
      </x:c>
      <x:c r="U3" s="59" t="s">
        <x:v>824</x:v>
      </x:c>
      <x:c r="V3" s="58" t="s">
        <x:v>825</x:v>
      </x:c>
      <x:c r="W3" s="58" t="s">
        <x:v>826</x:v>
      </x:c>
      <x:c r="X3" s="58" t="s">
        <x:v>827</x:v>
      </x:c>
      <x:c r="Y3" s="58" t="e" cm="1">
        <x:f t="array" aca="1" ref="Y3">IF(COUNTIF(INDIRECT(ADDRESS(3,1,1,1,"DedicatedVMHosts")&amp;":"&amp;ADDRESS(A3,1,4,1)),"*END*")&gt;0,"",INDIRECT(ADDRESS(A3,3,4,1,"DedicatedVMHosts")))</x:f>
      </x:c>
      <x:c r="Z3" s="58" t="e" cm="1">
        <x:f t="array" aca="1" ref="Z3">IF(COUNTIF(INDIRECT(ADDRESS(3,1,1,1,"instances")&amp;":"&amp;ADDRESS(A3,1,4,1)),"*END*")&gt;0,"",INDIRECT(ADDRESS(A3,4,4,1,"instances")))</x:f>
      </x:c>
      <x:c r="AA3" s="58" t="s">
        <x:v>828</x:v>
      </x:c>
      <x:c r="AB3" s="58" t="s">
        <x:v>829</x:v>
      </x:c>
      <x:c r="AC3" s="58" t="s">
        <x:v>830</x:v>
      </x:c>
      <x:c r="AD3" s="58" t="b">
        <x:v>0</x:v>
      </x:c>
      <x:c r="AE3" s="58" t="s">
        <x:v>831</x:v>
      </x:c>
      <x:c r="AF3" s="58" t="s">
        <x:v>832</x:v>
      </x:c>
      <x:c r="AG3" s="58" t="s">
        <x:v>833</x:v>
      </x:c>
      <x:c r="AH3" s="58" t="s">
        <x:v>834</x:v>
      </x:c>
      <x:c r="AI3" s="58" t="s">
        <x:v>835</x:v>
      </x:c>
      <x:c r="AJ3" s="58" t="s">
        <x:v>836</x:v>
      </x:c>
      <x:c r="AK3" s="60" t="s">
        <x:v>837</x:v>
      </x:c>
      <x:c r="AL3" s="58" t="s">
        <x:v>838</x:v>
      </x:c>
      <x:c r="AM3" s="58">
        <x:v>302</x:v>
      </x:c>
      <x:c r="AN3" s="58">
        <x:v>16</x:v>
      </x:c>
      <x:c r="AO3" s="58" t="s">
        <x:v>833</x:v>
      </x:c>
      <x:c r="AP3" s="57" t="s">
        <x:v>492</x:v>
      </x:c>
      <x:c r="AQ3" s="57" t="s">
        <x:v>839</x:v>
      </x:c>
      <x:c r="AR3" s="57" t="b">
        <x:v>1</x:v>
      </x:c>
      <x:c r="AS3" s="57" t="s">
        <x:v>840</x:v>
      </x:c>
      <x:c r="AT3" s="57" t="str"/>
      <x:c r="AU3" s="101" t="str">
        <x:f t="shared" ref="AU3:AU67" si="1">_xlfn.IFNA(IF($H3+1&gt;$G$2,"",INDEX(INDIRECT("SubnetsVLANs!$D$"&amp;$H3+2&amp;":$D$"&amp;$G$2),MATCH("Subnet*",INDIRECT("SubnetsVLANs!$E$"&amp;$H3+2&amp;":$E$"&amp;$G$2),0))),"")</x:f>
      </x:c>
      <x:c r="AV3" s="57" t="str">
        <x:v>vcn01-app</x:v>
      </x:c>
    </x:row>
    <x:row r="4" s="57" customFormat="1" ht="18" customHeight="1">
      <x:c r="A4" s="57">
        <x:v>5</x:v>
      </x:c>
      <x:c r="B4" s="57" t="e" cm="1">
        <x:f t="array" aca="1" ref="B4">IF(COUNTIF(INDIRECT(ADDRESS(3,1,1,1,"VCNS")&amp;":"&amp;ADDRESS(A4,18,4,1)),"*END*")&gt;0,"","VCN"&amp;"::"&amp;INDIRECT(ADDRESS(A4,3,4,1,"VCNS")))</x:f>
      </x:c>
      <x:c r="C4" s="57" t="e" cm="1">
        <x:f t="array" aca="1" ref="C4">IF(COUNTIF(INDIRECT(ADDRESS(3,1,1,1,"VCNS")&amp;":"&amp;ADDRESS(A4,1,4,1)),"*END*")&gt;0,"",INDIRECT(ADDRESS(A4,3,4,1,"VCNS")))</x:f>
      </x:c>
      <x:c r="E4" s="57" t="str" cm="1">
        <x:f t="array" aca="1" ref="E4">_xlfn.IFNA(IF($H4 + 1 &gt; $G$2, "", INDEX(INDIRECT("SubnetsVLANs!$B$" &amp; $H4 + 2 &amp; ":$B$" &amp; $G$2) &amp; "@" &amp; INDIRECT("SubnetsVLANs!$C$" &amp; $H4 + 2 &amp; ":$C$" &amp; $G$2) &amp; "::" &amp; INDIRECT("SubnetsVLANs!$D$" &amp; $H4 + 2 &amp; ":$D$" &amp; $G$2), MATCH("Subnet*", INDIRECT("SubnetsVLANs!$E$" &amp; $H4 + 2 &amp; ":$E$" &amp; $G$2), 0))), "")</x:f>
      </x:c>
      <x:c r="F4" s="33" t="str">
        <x:f t="shared" si="0"/>
      </x:c>
      <x:c r="G4" s="32" t="n">
        <x:f>COUNTIF($J$2:$J$101,"*")</x:f>
        <x:v>100</x:v>
      </x:c>
      <x:c r="H4" s="38">
        <x:v>3</x:v>
      </x:c>
      <x:c r="I4" s="33" t="str">
        <x:v>Network@vcn01::vcn01-db</x:v>
      </x:c>
      <x:c r="J4" s="33"/>
      <x:c r="K4" s="58"/>
      <x:c r="L4" t="s">
        <x:v>841</x:v>
      </x:c>
      <x:c r="M4" s="58"/>
      <x:c r="N4" s="58" t="s">
        <x:v>826</x:v>
      </x:c>
      <x:c r="O4" s="58"/>
      <x:c r="P4" s="58" t="e" cm="1">
        <x:f t="array" aca="1" ref="P4">IF(COUNTIF(INDIRECT(ADDRESS(3,1,1,1,"DHCP")&amp;":"&amp;ADDRESS(A4,1,4,1)),"*END*")&gt;0,"",INDIRECT(ADDRESS(A4,4,4,1,"DHCP")))</x:f>
      </x:c>
      <x:c r="Q4" s="58" t="s">
        <x:v>842</x:v>
      </x:c>
      <x:c r="R4" s="58" t="e" cm="1">
        <x:f t="array" aca="1" ref="R4">IF(COUNTIF(INDIRECT(ADDRESS(3,1,1,1,"DRGs")&amp;":"&amp;ADDRESS(A4,1,4,1)),"*END*")&gt;0,"",INDIRECT(ADDRESS(A4,3,4,1,"DRGs")))</x:f>
      </x:c>
      <x:c r="S4" s="58"/>
      <x:c r="T4" s="58" t="s">
        <x:v>843</x:v>
      </x:c>
      <x:c r="U4" s="59"/>
      <x:c r="V4" s="58" t="s">
        <x:v>844</x:v>
      </x:c>
      <x:c r="W4" s="58" t="s">
        <x:v>845</x:v>
      </x:c>
      <x:c r="X4" s="58" t="s">
        <x:v>846</x:v>
      </x:c>
      <x:c r="Y4" s="58" t="e" cm="1">
        <x:f t="array" aca="1" ref="Y4">IF(COUNTIF(INDIRECT(ADDRESS(3,1,1,1,"DedicatedVMHosts")&amp;":"&amp;ADDRESS(A4,1,4,1)),"*END*")&gt;0,"",INDIRECT(ADDRESS(A4,3,4,1,"DedicatedVMHosts")))</x:f>
      </x:c>
      <x:c r="Z4" s="58" t="e" cm="1">
        <x:f t="array" aca="1" ref="Z4">IF(COUNTIF(INDIRECT(ADDRESS(3,1,1,1,"instances")&amp;":"&amp;ADDRESS(A4,1,4,1)),"*END*")&gt;0,"",INDIRECT(ADDRESS(A4,4,4,1,"instances")))</x:f>
      </x:c>
      <x:c r="AA4" s="58"/>
      <x:c r="AB4" s="58"/>
      <x:c r="AC4" s="58" t="s">
        <x:v>847</x:v>
      </x:c>
      <x:c r="AD4" s="58"/>
      <x:c r="AE4" s="58" t="s">
        <x:v>848</x:v>
      </x:c>
      <x:c r="AF4" s="58" t="s">
        <x:v>849</x:v>
      </x:c>
      <x:c r="AG4" s="58"/>
      <x:c r="AH4" s="58" t="s">
        <x:v>850</x:v>
      </x:c>
      <x:c r="AI4" s="58" t="s">
        <x:v>851</x:v>
      </x:c>
      <x:c r="AJ4" s="58" t="s">
        <x:v>852</x:v>
      </x:c>
      <x:c r="AK4" s="60" t="s">
        <x:v>853</x:v>
      </x:c>
      <x:c r="AL4" s="58" t="s">
        <x:v>854</x:v>
      </x:c>
      <x:c r="AM4" s="58">
        <x:v>303</x:v>
      </x:c>
      <x:c r="AN4" s="58">
        <x:v>32</x:v>
      </x:c>
      <x:c r="AS4" s="57" t="s">
        <x:v>855</x:v>
      </x:c>
      <x:c r="AU4" s="101" t="str">
        <x:f t="shared" si="1"/>
        <x:v>vcn01-db</x:v>
      </x:c>
      <x:c r="AV4" s="57" t="str">
        <x:v>vcn01-db</x:v>
      </x:c>
    </x:row>
    <x:row r="5" s="57" customFormat="1">
      <x:c r="A5" s="57">
        <x:v>6</x:v>
      </x:c>
      <x:c r="B5" s="57" t="e" cm="1">
        <x:f t="array" aca="1" ref="B5">IF(COUNTIF(INDIRECT(ADDRESS(3,1,1,1,"VCNS")&amp;":"&amp;ADDRESS(A5,18,4,1)),"*END*")&gt;0,"","VCN"&amp;"::"&amp;INDIRECT(ADDRESS(A5,3,4,1,"VCNS")))</x:f>
      </x:c>
      <x:c r="C5" s="57" t="e" cm="1">
        <x:f t="array" aca="1" ref="C5">IF(COUNTIF(INDIRECT(ADDRESS(3,1,1,1,"VCNS")&amp;":"&amp;ADDRESS(A5,1,4,1)),"*END*")&gt;0,"",INDIRECT(ADDRESS(A5,3,4,1,"VCNS")))</x:f>
      </x:c>
      <x:c r="E5" s="57" t="str" cm="1">
        <x:f t="array" aca="1" ref="E5">_xlfn.IFNA(IF($H5 + 1 &gt; $G$2, "", INDEX(INDIRECT("SubnetsVLANs!$B$" &amp; $H5 + 2 &amp; ":$B$" &amp; $G$2) &amp; "@" &amp; INDIRECT("SubnetsVLANs!$C$" &amp; $H5 + 2 &amp; ":$C$" &amp; $G$2) &amp; "::" &amp; INDIRECT("SubnetsVLANs!$D$" &amp; $H5 + 2 &amp; ":$D$" &amp; $G$2), MATCH("Subnet*", INDIRECT("SubnetsVLANs!$E$" &amp; $H5 + 2 &amp; ":$E$" &amp; $G$2), 0))), "")</x:f>
      </x:c>
      <x:c r="F5" s="33" t="str">
        <x:f t="shared" si="0"/>
      </x:c>
      <x:c r="G5" s="33" t="n">
        <x:f>MATCH("&lt;END&gt;",VCNs!$A$2:$A$1001,0)</x:f>
        <x:v>2</x:v>
      </x:c>
      <x:c r="H5" s="38">
        <x:v>4</x:v>
      </x:c>
      <x:c r="I5" s="33"/>
      <x:c r="J5" s="33"/>
      <x:c r="K5" s="58"/>
      <x:c r="L5" t="s">
        <x:v>856</x:v>
      </x:c>
      <x:c r="M5" s="58"/>
      <x:c r="N5" s="58" t="s">
        <x:v>845</x:v>
      </x:c>
      <x:c r="O5" s="58"/>
      <x:c r="P5" s="58" t="e" cm="1">
        <x:f t="array" aca="1" ref="P5">IF(COUNTIF(INDIRECT(ADDRESS(3,1,1,1,"DHCP")&amp;":"&amp;ADDRESS(A5,1,4,1)),"*END*")&gt;0,"",INDIRECT(ADDRESS(A5,4,4,1,"DHCP")))</x:f>
      </x:c>
      <x:c r="Q5" s="58"/>
      <x:c r="R5" s="58" t="e" cm="1">
        <x:f t="array" aca="1" ref="R5">IF(COUNTIF(INDIRECT(ADDRESS(3,1,1,1,"DRGs")&amp;":"&amp;ADDRESS(A5,1,4,1)),"*END*")&gt;0,"",INDIRECT(ADDRESS(A5,3,4,1,"DRGs")))</x:f>
      </x:c>
      <x:c r="S5" s="58"/>
      <x:c r="T5" s="58" t="s">
        <x:v>857</x:v>
      </x:c>
      <x:c r="U5" s="59"/>
      <x:c r="V5" s="58"/>
      <x:c r="Y5" s="58" t="e" cm="1">
        <x:f t="array" aca="1" ref="Y5">IF(COUNTIF(INDIRECT(ADDRESS(3,1,1,1,"DedicatedVMHosts")&amp;":"&amp;ADDRESS(A5,1,4,1)),"*END*")&gt;0,"",INDIRECT(ADDRESS(A5,3,4,1,"DedicatedVMHosts")))</x:f>
      </x:c>
      <x:c r="Z5" s="58" t="e" cm="1">
        <x:f t="array" aca="1" ref="Z5">IF(COUNTIF(INDIRECT(ADDRESS(3,1,1,1,"instances")&amp;":"&amp;ADDRESS(A5,1,4,1)),"*END*")&gt;0,"",INDIRECT(ADDRESS(A5,4,4,1,"instances")))</x:f>
      </x:c>
      <x:c r="AA5" s="58"/>
      <x:c r="AB5" s="58"/>
      <x:c r="AC5" s="58"/>
      <x:c r="AD5" s="58"/>
      <x:c r="AE5" s="58" t="s">
        <x:v>858</x:v>
      </x:c>
      <x:c r="AF5" s="58"/>
      <x:c r="AG5" s="58"/>
      <x:c r="AH5" s="58"/>
      <x:c r="AI5" s="58" t="s">
        <x:v>859</x:v>
      </x:c>
      <x:c r="AJ5" s="58" t="s">
        <x:v>860</x:v>
      </x:c>
      <x:c r="AK5" s="60" t="s">
        <x:v>861</x:v>
      </x:c>
      <x:c r="AL5" s="58"/>
      <x:c r="AM5" s="58">
        <x:v>307</x:v>
      </x:c>
      <x:c r="AN5" s="58">
        <x:v>64</x:v>
      </x:c>
      <x:c r="AU5" s="101" t="str">
        <x:f t="shared" si="1"/>
        <x:v>vcn01-db</x:v>
      </x:c>
    </x:row>
    <x:row r="6" s="57" customFormat="1">
      <x:c r="A6" s="57">
        <x:v>7</x:v>
      </x:c>
      <x:c r="B6" s="57" t="e" cm="1">
        <x:f t="array" aca="1" ref="B6">IF(COUNTIF(INDIRECT(ADDRESS(3,1,1,1,"VCNS")&amp;":"&amp;ADDRESS(A6,18,4,1)),"*END*")&gt;0,"","VCN"&amp;"::"&amp;INDIRECT(ADDRESS(A6,3,4,1,"VCNS")))</x:f>
      </x:c>
      <x:c r="C6" s="57" t="e" cm="1">
        <x:f t="array" aca="1" ref="C6">IF(COUNTIF(INDIRECT(ADDRESS(3,1,1,1,"VCNS")&amp;":"&amp;ADDRESS(A6,1,4,1)),"*END*")&gt;0,"",INDIRECT(ADDRESS(A6,3,4,1,"VCNS")))</x:f>
      </x:c>
      <x:c r="E6" s="57" t="str" cm="1">
        <x:f t="array" aca="1" ref="E6">_xlfn.IFNA(IF($H6 + 1 &gt; $G$2, "", INDEX(INDIRECT("SubnetsVLANs!$B$" &amp; $H6 + 2 &amp; ":$B$" &amp; $G$2) &amp; "@" &amp; INDIRECT("SubnetsVLANs!$C$" &amp; $H6 + 2 &amp; ":$C$" &amp; $G$2) &amp; "::" &amp; INDIRECT("SubnetsVLANs!$D$" &amp; $H6 + 2 &amp; ":$D$" &amp; $G$2), MATCH("Subnet*", INDIRECT("SubnetsVLANs!$E$" &amp; $H6 + 2 &amp; ":$E$" &amp; $G$2), 0))), "")</x:f>
      </x:c>
      <x:c r="F6" s="33" t="str">
        <x:f t="shared" si="0"/>
      </x:c>
      <x:c r="G6" s="33" t="n">
        <x:f>COUNTIF($D$2:$D$101,"*")</x:f>
        <x:v>100</x:v>
      </x:c>
      <x:c r="H6" s="38">
        <x:v>5</x:v>
      </x:c>
      <x:c r="I6" s="33"/>
      <x:c r="J6" s="33"/>
      <x:c r="K6" s="58"/>
      <x:c r="L6" t="s">
        <x:v>862</x:v>
      </x:c>
      <x:c r="M6" s="58"/>
      <x:c r="N6" s="58"/>
      <x:c r="O6" s="58"/>
      <x:c r="P6" s="58" t="e" cm="1">
        <x:f t="array" aca="1" ref="P6">IF(COUNTIF(INDIRECT(ADDRESS(3,1,1,1,"DHCP")&amp;":"&amp;ADDRESS(A6,1,4,1)),"*END*")&gt;0,"",INDIRECT(ADDRESS(A6,4,4,1,"DHCP")))</x:f>
      </x:c>
      <x:c r="Q6" s="58"/>
      <x:c r="R6" s="58" t="e" cm="1">
        <x:f t="array" aca="1" ref="R6">IF(COUNTIF(INDIRECT(ADDRESS(3,1,1,1,"DRGs")&amp;":"&amp;ADDRESS(A6,1,4,1)),"*END*")&gt;0,"",INDIRECT(ADDRESS(A6,3,4,1,"DRGs")))</x:f>
      </x:c>
      <x:c r="S6" s="58"/>
      <x:c r="T6" s="58"/>
      <x:c r="U6" s="59"/>
      <x:c r="V6" s="58"/>
      <x:c r="W6" s="58"/>
      <x:c r="X6" s="58"/>
      <x:c r="Y6" s="58" t="e" cm="1">
        <x:f t="array" aca="1" ref="Y6">IF(COUNTIF(INDIRECT(ADDRESS(3,1,1,1,"DedicatedVMHosts")&amp;":"&amp;ADDRESS(A6,1,4,1)),"*END*")&gt;0,"",INDIRECT(ADDRESS(A6,3,4,1,"DedicatedVMHosts")))</x:f>
      </x:c>
      <x:c r="Z6" s="58" t="e" cm="1">
        <x:f t="array" aca="1" ref="Z6">IF(COUNTIF(INDIRECT(ADDRESS(3,1,1,1,"instances")&amp;":"&amp;ADDRESS(A6,1,4,1)),"*END*")&gt;0,"",INDIRECT(ADDRESS(A6,4,4,1,"instances")))</x:f>
      </x:c>
      <x:c r="AA6" s="58"/>
      <x:c r="AB6" s="58"/>
      <x:c r="AC6" s="58"/>
      <x:c r="AD6" s="58"/>
      <x:c r="AE6" s="58"/>
      <x:c r="AF6" s="58"/>
      <x:c r="AG6" s="58"/>
      <x:c r="AH6" s="58"/>
      <x:c r="AI6" s="58" t="s">
        <x:v>863</x:v>
      </x:c>
      <x:c r="AJ6" s="58" t="s">
        <x:v>864</x:v>
      </x:c>
      <x:c r="AK6" s="61"/>
      <x:c r="AL6" s="58"/>
      <x:c r="AM6" s="58">
        <x:v>308</x:v>
      </x:c>
      <x:c r="AN6" s="58"/>
      <x:c r="AU6" s="101" t="str">
        <x:f t="shared" si="1"/>
      </x:c>
    </x:row>
    <x:row r="7" s="57" customFormat="1">
      <x:c r="A7" s="57">
        <x:v>8</x:v>
      </x:c>
      <x:c r="B7" s="57" t="e" cm="1">
        <x:f t="array" aca="1" ref="B7">IF(COUNTIF(INDIRECT(ADDRESS(3,1,1,1,"VCNS")&amp;":"&amp;ADDRESS(A7,18,4,1)),"*END*")&gt;0,"","VCN"&amp;"::"&amp;INDIRECT(ADDRESS(A7,3,4,1,"VCNS")))</x:f>
      </x:c>
      <x:c r="C7" s="57" t="e" cm="1">
        <x:f t="array" aca="1" ref="C7">IF(COUNTIF(INDIRECT(ADDRESS(3,1,1,1,"VCNS")&amp;":"&amp;ADDRESS(A7,1,4,1)),"*END*")&gt;0,"",INDIRECT(ADDRESS(A7,3,4,1,"VCNS")))</x:f>
      </x:c>
      <x:c r="E7" s="57" t="str" cm="1">
        <x:f t="array" aca="1" ref="E7">_xlfn.IFNA(IF($H7 + 1 &gt; $G$2, "", INDEX(INDIRECT("SubnetsVLANs!$B$" &amp; $H7 + 2 &amp; ":$B$" &amp; $G$2) &amp; "@" &amp; INDIRECT("SubnetsVLANs!$C$" &amp; $H7 + 2 &amp; ":$C$" &amp; $G$2) &amp; "::" &amp; INDIRECT("SubnetsVLANs!$D$" &amp; $H7 + 2 &amp; ":$D$" &amp; $G$2), MATCH("Subnet*", INDIRECT("SubnetsVLANs!$E$" &amp; $H7 + 2 &amp; ":$E$" &amp; $G$2), 0))), "")</x:f>
      </x:c>
      <x:c r="F7" s="33" t="str">
        <x:f t="shared" si="0"/>
      </x:c>
      <x:c r="G7" s="33"/>
      <x:c r="H7" s="38">
        <x:v>6</x:v>
      </x:c>
      <x:c r="I7" s="33"/>
      <x:c r="J7" s="33"/>
      <x:c r="K7" s="58"/>
      <x:c r="L7" t="s">
        <x:v>865</x:v>
      </x:c>
      <x:c r="M7" s="58"/>
      <x:c r="N7" s="58"/>
      <x:c r="O7" s="58"/>
      <x:c r="P7" s="58" t="e" cm="1">
        <x:f t="array" aca="1" ref="P7">IF(COUNTIF(INDIRECT(ADDRESS(3,1,1,1,"DHCP")&amp;":"&amp;ADDRESS(A7,1,4,1)),"*END*")&gt;0,"",INDIRECT(ADDRESS(A7,4,4,1,"DHCP")))</x:f>
      </x:c>
      <x:c r="Q7" s="58"/>
      <x:c r="R7" s="58" t="e" cm="1">
        <x:f t="array" aca="1" ref="R7">IF(COUNTIF(INDIRECT(ADDRESS(3,1,1,1,"DRGs")&amp;":"&amp;ADDRESS(A7,1,4,1)),"*END*")&gt;0,"",INDIRECT(ADDRESS(A7,3,4,1,"DRGs")))</x:f>
      </x:c>
      <x:c r="S7" s="58"/>
      <x:c r="T7" s="58"/>
      <x:c r="U7" s="59"/>
      <x:c r="V7" s="58"/>
      <x:c r="W7" s="58"/>
      <x:c r="X7" s="58"/>
      <x:c r="Y7" s="58" t="e" cm="1">
        <x:f t="array" aca="1" ref="Y7">IF(COUNTIF(INDIRECT(ADDRESS(3,1,1,1,"DedicatedVMHosts")&amp;":"&amp;ADDRESS(A7,1,4,1)),"*END*")&gt;0,"",INDIRECT(ADDRESS(A7,3,4,1,"DedicatedVMHosts")))</x:f>
      </x:c>
      <x:c r="Z7" s="58" t="e" cm="1">
        <x:f t="array" aca="1" ref="Z7">IF(COUNTIF(INDIRECT(ADDRESS(3,1,1,1,"instances")&amp;":"&amp;ADDRESS(A7,1,4,1)),"*END*")&gt;0,"",INDIRECT(ADDRESS(A7,4,4,1,"instances")))</x:f>
      </x:c>
      <x:c r="AA7" s="58"/>
      <x:c r="AB7" s="58"/>
      <x:c r="AC7" s="58"/>
      <x:c r="AD7" s="58"/>
      <x:c r="AE7" s="58"/>
      <x:c r="AF7" s="58"/>
      <x:c r="AG7" s="58"/>
      <x:c r="AH7" s="58"/>
      <x:c r="AI7" s="58" t="s">
        <x:v>866</x:v>
      </x:c>
      <x:c r="AJ7" s="58" t="s">
        <x:v>867</x:v>
      </x:c>
      <x:c r="AK7" s="61"/>
      <x:c r="AL7" s="58"/>
      <x:c r="AM7" s="58"/>
      <x:c r="AN7" s="58"/>
      <x:c r="AU7" s="101" t="str">
        <x:f t="shared" si="1"/>
      </x:c>
    </x:row>
    <x:row r="8" s="57" customFormat="1">
      <x:c r="A8" s="57">
        <x:v>9</x:v>
      </x:c>
      <x:c r="B8" s="57" t="e" cm="1">
        <x:f t="array" aca="1" ref="B8">IF(COUNTIF(INDIRECT(ADDRESS(3,1,1,1,"VCNS")&amp;":"&amp;ADDRESS(A8,18,4,1)),"*END*")&gt;0,"","VCN"&amp;"::"&amp;INDIRECT(ADDRESS(A8,3,4,1,"VCNS")))</x:f>
      </x:c>
      <x:c r="C8" s="57" t="e" cm="1">
        <x:f t="array" aca="1" ref="C8">IF(COUNTIF(INDIRECT(ADDRESS(3,1,1,1,"VCNS")&amp;":"&amp;ADDRESS(A8,1,4,1)),"*END*")&gt;0,"",INDIRECT(ADDRESS(A8,3,4,1,"VCNS")))</x:f>
      </x:c>
      <x:c r="E8" s="57" t="str" cm="1">
        <x:f t="array" aca="1" ref="E8">_xlfn.IFNA(IF($H8 + 1 &gt; $G$2, "", INDEX(INDIRECT("SubnetsVLANs!$B$" &amp; $H8 + 2 &amp; ":$B$" &amp; $G$2) &amp; "@" &amp; INDIRECT("SubnetsVLANs!$C$" &amp; $H8 + 2 &amp; ":$C$" &amp; $G$2) &amp; "::" &amp; INDIRECT("SubnetsVLANs!$D$" &amp; $H8 + 2 &amp; ":$D$" &amp; $G$2), MATCH("Subnet*", INDIRECT("SubnetsVLANs!$E$" &amp; $H8 + 2 &amp; ":$E$" &amp; $G$2), 0))), "")</x:f>
      </x:c>
      <x:c r="F8" s="33" t="str">
        <x:f t="shared" si="0"/>
      </x:c>
      <x:c r="G8" s="33"/>
      <x:c r="H8" s="38">
        <x:v>7</x:v>
      </x:c>
      <x:c r="I8" s="33"/>
      <x:c r="J8" s="33"/>
      <x:c r="K8" s="58"/>
      <x:c r="L8" t="s">
        <x:v>868</x:v>
      </x:c>
      <x:c r="M8" s="58"/>
      <x:c r="N8" s="58"/>
      <x:c r="O8" s="58"/>
      <x:c r="P8" s="58" t="e" cm="1">
        <x:f t="array" aca="1" ref="P8">IF(COUNTIF(INDIRECT(ADDRESS(3,1,1,1,"DHCP")&amp;":"&amp;ADDRESS(A8,1,4,1)),"*END*")&gt;0,"",INDIRECT(ADDRESS(A8,4,4,1,"DHCP")))</x:f>
      </x:c>
      <x:c r="Q8" s="58"/>
      <x:c r="R8" s="58" t="e" cm="1">
        <x:f t="array" aca="1" ref="R8">IF(COUNTIF(INDIRECT(ADDRESS(3,1,1,1,"DRGs")&amp;":"&amp;ADDRESS(A8,1,4,1)),"*END*")&gt;0,"",INDIRECT(ADDRESS(A8,3,4,1,"DRGs")))</x:f>
      </x:c>
      <x:c r="S8" s="58"/>
      <x:c r="T8" s="58"/>
      <x:c r="U8" s="59"/>
      <x:c r="V8" s="58"/>
      <x:c r="W8" s="58"/>
      <x:c r="X8" s="58"/>
      <x:c r="Y8" s="58" t="e" cm="1">
        <x:f t="array" aca="1" ref="Y8">IF(COUNTIF(INDIRECT(ADDRESS(3,1,1,1,"DedicatedVMHosts")&amp;":"&amp;ADDRESS(A8,1,4,1)),"*END*")&gt;0,"",INDIRECT(ADDRESS(A8,3,4,1,"DedicatedVMHosts")))</x:f>
      </x:c>
      <x:c r="Z8" s="58" t="e" cm="1">
        <x:f t="array" aca="1" ref="Z8">IF(COUNTIF(INDIRECT(ADDRESS(3,1,1,1,"instances")&amp;":"&amp;ADDRESS(A8,1,4,1)),"*END*")&gt;0,"",INDIRECT(ADDRESS(A8,4,4,1,"instances")))</x:f>
      </x:c>
      <x:c r="AA8" s="58"/>
      <x:c r="AB8" s="58"/>
      <x:c r="AC8" s="58"/>
      <x:c r="AD8" s="58"/>
      <x:c r="AE8" s="58"/>
      <x:c r="AF8" s="58"/>
      <x:c r="AG8" s="58"/>
      <x:c r="AH8" s="58"/>
      <x:c r="AI8" s="58" t="s">
        <x:v>869</x:v>
      </x:c>
      <x:c r="AJ8" s="58" t="s">
        <x:v>870</x:v>
      </x:c>
      <x:c r="AK8" s="61"/>
      <x:c r="AL8" s="58"/>
      <x:c r="AM8" s="58"/>
      <x:c r="AN8" s="58"/>
      <x:c r="AU8" s="101" t="str">
        <x:f t="shared" si="1"/>
      </x:c>
    </x:row>
    <x:row r="9" s="57" customFormat="1">
      <x:c r="A9" s="57">
        <x:v>10</x:v>
      </x:c>
      <x:c r="B9" s="57" t="e" cm="1">
        <x:f t="array" aca="1" ref="B9">IF(COUNTIF(INDIRECT(ADDRESS(3,1,1,1,"VCNS")&amp;":"&amp;ADDRESS(A9,18,4,1)),"*END*")&gt;0,"","VCN"&amp;"::"&amp;INDIRECT(ADDRESS(A9,3,4,1,"VCNS")))</x:f>
      </x:c>
      <x:c r="C9" s="57" t="e" cm="1">
        <x:f t="array" aca="1" ref="C9">IF(COUNTIF(INDIRECT(ADDRESS(3,1,1,1,"VCNS")&amp;":"&amp;ADDRESS(A9,1,4,1)),"*END*")&gt;0,"",INDIRECT(ADDRESS(A9,3,4,1,"VCNS")))</x:f>
      </x:c>
      <x:c r="E9" s="57" t="str" cm="1">
        <x:f t="array" aca="1" ref="E9">_xlfn.IFNA(IF($H9 + 1 &gt; $G$2, "", INDEX(INDIRECT("SubnetsVLANs!$B$" &amp; $H9 + 2 &amp; ":$B$" &amp; $G$2) &amp; "@" &amp; INDIRECT("SubnetsVLANs!$C$" &amp; $H9 + 2 &amp; ":$C$" &amp; $G$2) &amp; "::" &amp; INDIRECT("SubnetsVLANs!$D$" &amp; $H9 + 2 &amp; ":$D$" &amp; $G$2), MATCH("Subnet*", INDIRECT("SubnetsVLANs!$E$" &amp; $H9 + 2 &amp; ":$E$" &amp; $G$2), 0))), "")</x:f>
      </x:c>
      <x:c r="F9" s="33" t="str">
        <x:f t="shared" si="0"/>
      </x:c>
      <x:c r="G9" s="33"/>
      <x:c r="H9" s="38">
        <x:v>8</x:v>
      </x:c>
      <x:c r="I9" s="33"/>
      <x:c r="J9" s="33"/>
      <x:c r="K9" s="58"/>
      <x:c r="L9" t="s">
        <x:v>871</x:v>
      </x:c>
      <x:c r="M9" s="58"/>
      <x:c r="N9" s="58"/>
      <x:c r="O9" s="58"/>
      <x:c r="P9" s="58" t="e" cm="1">
        <x:f t="array" aca="1" ref="P9">IF(COUNTIF(INDIRECT(ADDRESS(3,1,1,1,"DHCP")&amp;":"&amp;ADDRESS(A9,1,4,1)),"*END*")&gt;0,"",INDIRECT(ADDRESS(A9,4,4,1,"DHCP")))</x:f>
      </x:c>
      <x:c r="Q9" s="58"/>
      <x:c r="R9" s="58" t="e" cm="1">
        <x:f t="array" aca="1" ref="R9">IF(COUNTIF(INDIRECT(ADDRESS(3,1,1,1,"DRGs")&amp;":"&amp;ADDRESS(A9,1,4,1)),"*END*")&gt;0,"",INDIRECT(ADDRESS(A9,3,4,1,"DRGs")))</x:f>
      </x:c>
      <x:c r="S9" s="58"/>
      <x:c r="T9" s="58"/>
      <x:c r="U9" s="59"/>
      <x:c r="V9" s="58"/>
      <x:c r="W9" s="58"/>
      <x:c r="X9" s="58"/>
      <x:c r="Y9" s="58" t="e" cm="1">
        <x:f t="array" aca="1" ref="Y9">IF(COUNTIF(INDIRECT(ADDRESS(3,1,1,1,"DedicatedVMHosts")&amp;":"&amp;ADDRESS(A9,1,4,1)),"*END*")&gt;0,"",INDIRECT(ADDRESS(A9,3,4,1,"DedicatedVMHosts")))</x:f>
      </x:c>
      <x:c r="Z9" s="58" t="e" cm="1">
        <x:f t="array" aca="1" ref="Z9">IF(COUNTIF(INDIRECT(ADDRESS(3,1,1,1,"instances")&amp;":"&amp;ADDRESS(A9,1,4,1)),"*END*")&gt;0,"",INDIRECT(ADDRESS(A9,4,4,1,"instances")))</x:f>
      </x:c>
      <x:c r="AA9" s="58"/>
      <x:c r="AB9" s="58"/>
      <x:c r="AC9" s="58"/>
      <x:c r="AD9" s="58"/>
      <x:c r="AE9" s="58"/>
      <x:c r="AF9" s="58"/>
      <x:c r="AG9" s="58"/>
      <x:c r="AH9" s="58"/>
      <x:c r="AI9" s="58" t="s">
        <x:v>872</x:v>
      </x:c>
      <x:c r="AJ9" s="58" t="s">
        <x:v>873</x:v>
      </x:c>
      <x:c r="AK9" s="61"/>
      <x:c r="AL9" s="58"/>
      <x:c r="AM9" s="58"/>
      <x:c r="AN9" s="58"/>
      <x:c r="AU9" s="101" t="str">
        <x:f t="shared" si="1"/>
      </x:c>
    </x:row>
    <x:row r="10" s="57" customFormat="1">
      <x:c r="A10" s="57">
        <x:v>11</x:v>
      </x:c>
      <x:c r="B10" s="57" t="e" cm="1">
        <x:f t="array" aca="1" ref="B10">IF(COUNTIF(INDIRECT(ADDRESS(3,1,1,1,"VCNS")&amp;":"&amp;ADDRESS(A10,18,4,1)),"*END*")&gt;0,"","VCN"&amp;"::"&amp;INDIRECT(ADDRESS(A10,3,4,1,"VCNS")))</x:f>
      </x:c>
      <x:c r="C10" s="57" t="e" cm="1">
        <x:f t="array" aca="1" ref="C10">IF(COUNTIF(INDIRECT(ADDRESS(3,1,1,1,"VCNS")&amp;":"&amp;ADDRESS(A10,1,4,1)),"*END*")&gt;0,"",INDIRECT(ADDRESS(A10,3,4,1,"VCNS")))</x:f>
      </x:c>
      <x:c r="E10" s="57" t="str" cm="1">
        <x:f t="array" aca="1" ref="E10">_xlfn.IFNA(IF($H10 + 1 &gt; $G$2, "", INDEX(INDIRECT("SubnetsVLANs!$B$" &amp; $H10 + 2 &amp; ":$B$" &amp; $G$2) &amp; "@" &amp; INDIRECT("SubnetsVLANs!$C$" &amp; $H10 + 2 &amp; ":$C$" &amp; $G$2) &amp; "::" &amp; INDIRECT("SubnetsVLANs!$D$" &amp; $H10 + 2 &amp; ":$D$" &amp; $G$2), MATCH("Subnet*", INDIRECT("SubnetsVLANs!$E$" &amp; $H10 + 2 &amp; ":$E$" &amp; $G$2), 0))), "")</x:f>
      </x:c>
      <x:c r="F10" s="33" t="str">
        <x:f t="shared" si="0"/>
      </x:c>
      <x:c r="G10" s="33"/>
      <x:c r="H10" s="38">
        <x:v>9</x:v>
      </x:c>
      <x:c r="I10" s="33"/>
      <x:c r="J10" s="33"/>
      <x:c r="K10" s="58"/>
      <x:c r="L10" t="s">
        <x:v>874</x:v>
      </x:c>
      <x:c r="M10" s="58"/>
      <x:c r="N10" s="58"/>
      <x:c r="O10" s="58"/>
      <x:c r="P10" s="58" t="e" cm="1">
        <x:f t="array" aca="1" ref="P10">IF(COUNTIF(INDIRECT(ADDRESS(3,1,1,1,"DHCP")&amp;":"&amp;ADDRESS(A10,1,4,1)),"*END*")&gt;0,"",INDIRECT(ADDRESS(A10,4,4,1,"DHCP")))</x:f>
      </x:c>
      <x:c r="Q10" s="58"/>
      <x:c r="R10" s="58" t="e" cm="1">
        <x:f t="array" aca="1" ref="R10">IF(COUNTIF(INDIRECT(ADDRESS(3,1,1,1,"DRGs")&amp;":"&amp;ADDRESS(A10,1,4,1)),"*END*")&gt;0,"",INDIRECT(ADDRESS(A10,3,4,1,"DRGs")))</x:f>
      </x:c>
      <x:c r="S10" s="58"/>
      <x:c r="T10" s="58"/>
      <x:c r="U10" s="59"/>
      <x:c r="V10" s="58"/>
      <x:c r="W10" s="58"/>
      <x:c r="X10" s="58"/>
      <x:c r="Y10" s="58" t="e" cm="1">
        <x:f t="array" aca="1" ref="Y10">IF(COUNTIF(INDIRECT(ADDRESS(3,1,1,1,"DedicatedVMHosts")&amp;":"&amp;ADDRESS(A10,1,4,1)),"*END*")&gt;0,"",INDIRECT(ADDRESS(A10,3,4,1,"DedicatedVMHosts")))</x:f>
      </x:c>
      <x:c r="Z10" s="58" t="e" cm="1">
        <x:f t="array" aca="1" ref="Z10">IF(COUNTIF(INDIRECT(ADDRESS(3,1,1,1,"instances")&amp;":"&amp;ADDRESS(A10,1,4,1)),"*END*")&gt;0,"",INDIRECT(ADDRESS(A10,4,4,1,"instances")))</x:f>
      </x:c>
      <x:c r="AA10" s="58"/>
      <x:c r="AB10" s="58"/>
      <x:c r="AC10" s="58"/>
      <x:c r="AD10" s="58"/>
      <x:c r="AE10" s="58"/>
      <x:c r="AF10" s="58"/>
      <x:c r="AG10" s="58"/>
      <x:c r="AH10" s="58"/>
      <x:c r="AI10" s="58" t="s">
        <x:v>875</x:v>
      </x:c>
      <x:c r="AJ10" s="58" t="s">
        <x:v>876</x:v>
      </x:c>
      <x:c r="AK10" s="61"/>
      <x:c r="AL10" s="58"/>
      <x:c r="AM10" s="58"/>
      <x:c r="AN10" s="58"/>
      <x:c r="AU10" s="101" t="str">
        <x:f t="shared" si="1"/>
      </x:c>
    </x:row>
    <x:row r="11" s="57" customFormat="1">
      <x:c r="A11" s="57">
        <x:v>12</x:v>
      </x:c>
      <x:c r="B11" s="57" t="e" cm="1">
        <x:f t="array" aca="1" ref="B11">IF(COUNTIF(INDIRECT(ADDRESS(3,1,1,1,"VCNS")&amp;":"&amp;ADDRESS(A11,18,4,1)),"*END*")&gt;0,"","VCN"&amp;"::"&amp;INDIRECT(ADDRESS(A11,3,4,1,"VCNS")))</x:f>
      </x:c>
      <x:c r="C11" s="57" t="e" cm="1">
        <x:f t="array" aca="1" ref="C11">IF(COUNTIF(INDIRECT(ADDRESS(3,1,1,1,"VCNS")&amp;":"&amp;ADDRESS(A11,1,4,1)),"*END*")&gt;0,"",INDIRECT(ADDRESS(A11,3,4,1,"VCNS")))</x:f>
      </x:c>
      <x:c r="E11" s="57" t="str" cm="1">
        <x:f t="array" aca="1" ref="E11">_xlfn.IFNA(IF($H11 + 1 &gt; $G$2, "", INDEX(INDIRECT("SubnetsVLANs!$B$" &amp; $H11 + 2 &amp; ":$B$" &amp; $G$2) &amp; "@" &amp; INDIRECT("SubnetsVLANs!$C$" &amp; $H11 + 2 &amp; ":$C$" &amp; $G$2) &amp; "::" &amp; INDIRECT("SubnetsVLANs!$D$" &amp; $H11 + 2 &amp; ":$D$" &amp; $G$2), MATCH("Subnet*", INDIRECT("SubnetsVLANs!$E$" &amp; $H11 + 2 &amp; ":$E$" &amp; $G$2), 0))), "")</x:f>
      </x:c>
      <x:c r="F11" s="33" t="str">
        <x:f t="shared" si="0"/>
      </x:c>
      <x:c r="G11" s="33"/>
      <x:c r="H11" s="38">
        <x:v>10</x:v>
      </x:c>
      <x:c r="I11" s="33"/>
      <x:c r="J11" s="33"/>
      <x:c r="K11" s="58"/>
      <x:c r="L11" t="s">
        <x:v>877</x:v>
      </x:c>
      <x:c r="M11" s="58"/>
      <x:c r="N11" s="58"/>
      <x:c r="O11" s="58"/>
      <x:c r="P11" s="58" t="e" cm="1">
        <x:f t="array" aca="1" ref="P11">IF(COUNTIF(INDIRECT(ADDRESS(3,1,1,1,"DHCP")&amp;":"&amp;ADDRESS(A11,1,4,1)),"*END*")&gt;0,"",INDIRECT(ADDRESS(A11,4,4,1,"DHCP")))</x:f>
      </x:c>
      <x:c r="Q11" s="58"/>
      <x:c r="R11" s="58" t="e" cm="1">
        <x:f t="array" aca="1" ref="R11">IF(COUNTIF(INDIRECT(ADDRESS(3,1,1,1,"DRGs")&amp;":"&amp;ADDRESS(A11,1,4,1)),"*END*")&gt;0,"",INDIRECT(ADDRESS(A11,3,4,1,"DRGs")))</x:f>
      </x:c>
      <x:c r="S11" s="58"/>
      <x:c r="T11" s="58"/>
      <x:c r="U11" s="59"/>
      <x:c r="V11" s="58"/>
      <x:c r="W11" s="58"/>
      <x:c r="X11" s="58"/>
      <x:c r="Y11" s="58" t="e" cm="1">
        <x:f t="array" aca="1" ref="Y11">IF(COUNTIF(INDIRECT(ADDRESS(3,1,1,1,"DedicatedVMHosts")&amp;":"&amp;ADDRESS(A11,1,4,1)),"*END*")&gt;0,"",INDIRECT(ADDRESS(A11,3,4,1,"DedicatedVMHosts")))</x:f>
      </x:c>
      <x:c r="Z11" s="58" t="e" cm="1">
        <x:f t="array" aca="1" ref="Z11">IF(COUNTIF(INDIRECT(ADDRESS(3,1,1,1,"instances")&amp;":"&amp;ADDRESS(A11,1,4,1)),"*END*")&gt;0,"",INDIRECT(ADDRESS(A11,4,4,1,"instances")))</x:f>
      </x:c>
      <x:c r="AA11" s="58"/>
      <x:c r="AB11" s="58"/>
      <x:c r="AC11" s="58"/>
      <x:c r="AD11" s="58"/>
      <x:c r="AE11" s="58"/>
      <x:c r="AF11" s="58"/>
      <x:c r="AG11" s="58"/>
      <x:c r="AH11" s="58"/>
      <x:c r="AI11" s="58" t="s">
        <x:v>878</x:v>
      </x:c>
      <x:c r="AJ11" s="58" t="s">
        <x:v>879</x:v>
      </x:c>
      <x:c r="AK11" s="61"/>
      <x:c r="AL11" s="58"/>
      <x:c r="AM11" s="58"/>
      <x:c r="AN11" s="58"/>
      <x:c r="AU11" s="101" t="str">
        <x:f t="shared" si="1"/>
      </x:c>
    </x:row>
    <x:row r="12" s="57" customFormat="1">
      <x:c r="A12" s="57">
        <x:v>13</x:v>
      </x:c>
      <x:c r="B12" s="57" t="e" cm="1">
        <x:f t="array" aca="1" ref="B12">IF(COUNTIF(INDIRECT(ADDRESS(3,1,1,1,"VCNS")&amp;":"&amp;ADDRESS(A12,18,4,1)),"*END*")&gt;0,"","VCN"&amp;"::"&amp;INDIRECT(ADDRESS(A12,3,4,1,"VCNS")))</x:f>
      </x:c>
      <x:c r="C12" s="57" t="e" cm="1">
        <x:f t="array" aca="1" ref="C12">IF(COUNTIF(INDIRECT(ADDRESS(3,1,1,1,"VCNS")&amp;":"&amp;ADDRESS(A12,1,4,1)),"*END*")&gt;0,"",INDIRECT(ADDRESS(A12,3,4,1,"VCNS")))</x:f>
      </x:c>
      <x:c r="E12" s="57" t="str" cm="1">
        <x:f t="array" aca="1" ref="E12">_xlfn.IFNA(IF($H12 + 1 &gt; $G$2, "", INDEX(INDIRECT("SubnetsVLANs!$B$" &amp; $H12 + 2 &amp; ":$B$" &amp; $G$2) &amp; "@" &amp; INDIRECT("SubnetsVLANs!$C$" &amp; $H12 + 2 &amp; ":$C$" &amp; $G$2) &amp; "::" &amp; INDIRECT("SubnetsVLANs!$D$" &amp; $H12 + 2 &amp; ":$D$" &amp; $G$2), MATCH("Subnet*", INDIRECT("SubnetsVLANs!$E$" &amp; $H12 + 2 &amp; ":$E$" &amp; $G$2), 0))), "")</x:f>
      </x:c>
      <x:c r="F12" s="33" t="str">
        <x:f t="shared" si="0"/>
      </x:c>
      <x:c r="G12" s="33"/>
      <x:c r="H12" s="38">
        <x:v>11</x:v>
      </x:c>
      <x:c r="I12" s="33"/>
      <x:c r="J12" s="33"/>
      <x:c r="K12" s="58"/>
      <x:c r="L12" t="s">
        <x:v>880</x:v>
      </x:c>
      <x:c r="M12" s="58"/>
      <x:c r="N12" s="58"/>
      <x:c r="O12" s="58"/>
      <x:c r="P12" s="58" t="e" cm="1">
        <x:f t="array" aca="1" ref="P12">IF(COUNTIF(INDIRECT(ADDRESS(3,1,1,1,"DHCP")&amp;":"&amp;ADDRESS(A12,1,4,1)),"*END*")&gt;0,"",INDIRECT(ADDRESS(A12,4,4,1,"DHCP")))</x:f>
      </x:c>
      <x:c r="Q12" s="58"/>
      <x:c r="R12" s="58" t="e" cm="1">
        <x:f t="array" aca="1" ref="R12">IF(COUNTIF(INDIRECT(ADDRESS(3,1,1,1,"DRGs")&amp;":"&amp;ADDRESS(A12,1,4,1)),"*END*")&gt;0,"",INDIRECT(ADDRESS(A12,3,4,1,"DRGs")))</x:f>
      </x:c>
      <x:c r="S12" s="58"/>
      <x:c r="T12" s="58"/>
      <x:c r="U12" s="59"/>
      <x:c r="V12" s="58"/>
      <x:c r="W12" s="58"/>
      <x:c r="X12" s="58"/>
      <x:c r="Y12" s="58" t="e" cm="1">
        <x:f t="array" aca="1" ref="Y12">IF(COUNTIF(INDIRECT(ADDRESS(3,1,1,1,"DedicatedVMHosts")&amp;":"&amp;ADDRESS(A12,1,4,1)),"*END*")&gt;0,"",INDIRECT(ADDRESS(A12,3,4,1,"DedicatedVMHosts")))</x:f>
      </x:c>
      <x:c r="Z12" s="58" t="e" cm="1">
        <x:f t="array" aca="1" ref="Z12">IF(COUNTIF(INDIRECT(ADDRESS(3,1,1,1,"instances")&amp;":"&amp;ADDRESS(A12,1,4,1)),"*END*")&gt;0,"",INDIRECT(ADDRESS(A12,4,4,1,"instances")))</x:f>
      </x:c>
      <x:c r="AA12" s="58"/>
      <x:c r="AB12" s="58"/>
      <x:c r="AC12" s="58"/>
      <x:c r="AD12" s="58"/>
      <x:c r="AE12" s="58"/>
      <x:c r="AF12" s="58"/>
      <x:c r="AG12" s="58"/>
      <x:c r="AH12" s="58"/>
      <x:c r="AI12" s="58"/>
      <x:c r="AJ12" s="58" t="s">
        <x:v>881</x:v>
      </x:c>
      <x:c r="AK12" s="61"/>
      <x:c r="AL12" s="58"/>
      <x:c r="AM12" s="58"/>
      <x:c r="AN12" s="58"/>
      <x:c r="AU12" s="101" t="str">
        <x:f t="shared" si="1"/>
      </x:c>
    </x:row>
    <x:row r="13" s="57" customFormat="1">
      <x:c r="A13" s="57">
        <x:v>14</x:v>
      </x:c>
      <x:c r="B13" s="57" t="e" cm="1">
        <x:f t="array" aca="1" ref="B13">IF(COUNTIF(INDIRECT(ADDRESS(3,1,1,1,"VCNS")&amp;":"&amp;ADDRESS(A13,18,4,1)),"*END*")&gt;0,"","VCN"&amp;"::"&amp;INDIRECT(ADDRESS(A13,3,4,1,"VCNS")))</x:f>
      </x:c>
      <x:c r="C13" s="57" t="e" cm="1">
        <x:f t="array" aca="1" ref="C13">IF(COUNTIF(INDIRECT(ADDRESS(3,1,1,1,"VCNS")&amp;":"&amp;ADDRESS(A13,1,4,1)),"*END*")&gt;0,"",INDIRECT(ADDRESS(A13,3,4,1,"VCNS")))</x:f>
      </x:c>
      <x:c r="E13" s="57" t="str" cm="1">
        <x:f t="array" aca="1" ref="E13">_xlfn.IFNA(IF($H13 + 1 &gt; $G$2, "", INDEX(INDIRECT("SubnetsVLANs!$C$" &amp; $H13 + 2 &amp; ":$C$" &amp; $G$2) &amp; "_" &amp; INDIRECT("SubnetsVLANs!$D$" &amp; $H13 + 2 &amp; ":$D$" &amp; $G$2), MATCH("Subnet*", INDIRECT("SubnetsVLANs!$E$" &amp; $H13 + 2 &amp; ":$E$" &amp; $G$2), 0))), "")</x:f>
      </x:c>
      <x:c r="F13" s="33" t="str">
        <x:f t="shared" si="0"/>
      </x:c>
      <x:c r="G13" s="33"/>
      <x:c r="H13" s="38">
        <x:v>12</x:v>
      </x:c>
      <x:c r="I13" s="33"/>
      <x:c r="J13" s="33"/>
      <x:c r="K13" s="58"/>
      <x:c r="L13" t="s">
        <x:v>882</x:v>
      </x:c>
      <x:c r="M13" s="58"/>
      <x:c r="N13" s="58"/>
      <x:c r="O13" s="58"/>
      <x:c r="P13" s="58" t="e" cm="1">
        <x:f t="array" aca="1" ref="P13">IF(COUNTIF(INDIRECT(ADDRESS(3,1,1,1,"DHCP")&amp;":"&amp;ADDRESS(A13,1,4,1)),"*END*")&gt;0,"",INDIRECT(ADDRESS(A13,4,4,1,"DHCP")))</x:f>
      </x:c>
      <x:c r="Q13" s="58"/>
      <x:c r="R13" s="58" t="e" cm="1">
        <x:f t="array" aca="1" ref="R13">IF(COUNTIF(INDIRECT(ADDRESS(3,1,1,1,"DRGs")&amp;":"&amp;ADDRESS(A13,1,4,1)),"*END*")&gt;0,"",INDIRECT(ADDRESS(A13,3,4,1,"DRGs")))</x:f>
      </x:c>
      <x:c r="S13" s="58"/>
      <x:c r="T13" s="58"/>
      <x:c r="U13" s="59"/>
      <x:c r="V13" s="58"/>
      <x:c r="W13" s="58"/>
      <x:c r="X13" s="58"/>
      <x:c r="Y13" s="58" t="e" cm="1">
        <x:f t="array" aca="1" ref="Y13">IF(COUNTIF(INDIRECT(ADDRESS(3,1,1,1,"DedicatedVMHosts")&amp;":"&amp;ADDRESS(A13,1,4,1)),"*END*")&gt;0,"",INDIRECT(ADDRESS(A13,3,4,1,"DedicatedVMHosts")))</x:f>
      </x:c>
      <x:c r="Z13" s="58" t="e" cm="1">
        <x:f t="array" aca="1" ref="Z13">IF(COUNTIF(INDIRECT(ADDRESS(3,1,1,1,"instances")&amp;":"&amp;ADDRESS(A13,1,4,1)),"*END*")&gt;0,"",INDIRECT(ADDRESS(A13,4,4,1,"instances")))</x:f>
      </x:c>
      <x:c r="AA13" s="58"/>
      <x:c r="AB13" s="58"/>
      <x:c r="AC13" s="58"/>
      <x:c r="AD13" s="58"/>
      <x:c r="AE13" s="58"/>
      <x:c r="AF13" s="58"/>
      <x:c r="AG13" s="58"/>
      <x:c r="AH13" s="58"/>
      <x:c r="AI13" s="58"/>
      <x:c r="AJ13" s="58" t="s">
        <x:v>883</x:v>
      </x:c>
      <x:c r="AK13" s="61"/>
      <x:c r="AL13" s="58"/>
      <x:c r="AM13" s="58"/>
      <x:c r="AN13" s="58"/>
      <x:c r="AU13" s="101" t="str">
        <x:f t="shared" si="1"/>
      </x:c>
    </x:row>
    <x:row r="14" s="57" customFormat="1">
      <x:c r="A14" s="57">
        <x:v>15</x:v>
      </x:c>
      <x:c r="B14" s="57" t="e" cm="1">
        <x:f t="array" aca="1" ref="B14">IF(COUNTIF(INDIRECT(ADDRESS(3,1,1,1,"VCNS")&amp;":"&amp;ADDRESS(A14,18,4,1)),"*END*")&gt;0,"","VCN"&amp;"::"&amp;INDIRECT(ADDRESS(A14,3,4,1,"VCNS")))</x:f>
      </x:c>
      <x:c r="C14" s="57" t="e" cm="1">
        <x:f t="array" aca="1" ref="C14">IF(COUNTIF(INDIRECT(ADDRESS(3,1,1,1,"VCNS")&amp;":"&amp;ADDRESS(A14,1,4,1)),"*END*")&gt;0,"",INDIRECT(ADDRESS(A14,3,4,1,"VCNS")))</x:f>
      </x:c>
      <x:c r="E14" s="57" t="str" cm="1">
        <x:f t="array" aca="1" ref="E14">_xlfn.IFNA(IF($H14 + 1 &gt; $G$2, "", INDEX(INDIRECT("SubnetsVLANs!$C$" &amp; $H14 + 2 &amp; ":$C$" &amp; $G$2) &amp; "_" &amp; INDIRECT("SubnetsVLANs!$D$" &amp; $H14 + 2 &amp; ":$D$" &amp; $G$2), MATCH("Subnet*", INDIRECT("SubnetsVLANs!$E$" &amp; $H14 + 2 &amp; ":$E$" &amp; $G$2), 0))), "")</x:f>
      </x:c>
      <x:c r="F14" s="33" t="str">
        <x:f t="shared" si="0"/>
      </x:c>
      <x:c r="G14" s="33"/>
      <x:c r="H14" s="38">
        <x:v>13</x:v>
      </x:c>
      <x:c r="I14" s="33"/>
      <x:c r="J14" s="33"/>
      <x:c r="K14" s="58"/>
      <x:c r="L14" t="s">
        <x:v>884</x:v>
      </x:c>
      <x:c r="M14" s="58"/>
      <x:c r="N14" s="58"/>
      <x:c r="O14" s="58"/>
      <x:c r="P14" s="58" t="e" cm="1">
        <x:f t="array" aca="1" ref="P14">IF(COUNTIF(INDIRECT(ADDRESS(3,1,1,1,"DHCP")&amp;":"&amp;ADDRESS(A14,1,4,1)),"*END*")&gt;0,"",INDIRECT(ADDRESS(A14,4,4,1,"DHCP")))</x:f>
      </x:c>
      <x:c r="Q14" s="58"/>
      <x:c r="R14" s="58" t="e" cm="1">
        <x:f t="array" aca="1" ref="R14">IF(COUNTIF(INDIRECT(ADDRESS(3,1,1,1,"DRGs")&amp;":"&amp;ADDRESS(A14,1,4,1)),"*END*")&gt;0,"",INDIRECT(ADDRESS(A14,3,4,1,"DRGs")))</x:f>
      </x:c>
      <x:c r="S14" s="58"/>
      <x:c r="T14" s="58"/>
      <x:c r="U14" s="59"/>
      <x:c r="V14" s="58"/>
      <x:c r="W14" s="58"/>
      <x:c r="X14" s="58"/>
      <x:c r="Y14" s="58" t="e" cm="1">
        <x:f t="array" aca="1" ref="Y14">IF(COUNTIF(INDIRECT(ADDRESS(3,1,1,1,"DedicatedVMHosts")&amp;":"&amp;ADDRESS(A14,1,4,1)),"*END*")&gt;0,"",INDIRECT(ADDRESS(A14,3,4,1,"DedicatedVMHosts")))</x:f>
      </x:c>
      <x:c r="Z14" s="58" t="e" cm="1">
        <x:f t="array" aca="1" ref="Z14">IF(COUNTIF(INDIRECT(ADDRESS(3,1,1,1,"instances")&amp;":"&amp;ADDRESS(A14,1,4,1)),"*END*")&gt;0,"",INDIRECT(ADDRESS(A14,4,4,1,"instances")))</x:f>
      </x:c>
      <x:c r="AA14" s="58"/>
      <x:c r="AB14" s="58"/>
      <x:c r="AC14" s="58"/>
      <x:c r="AD14" s="58"/>
      <x:c r="AE14" s="58"/>
      <x:c r="AF14" s="58"/>
      <x:c r="AG14" s="58"/>
      <x:c r="AH14" s="58"/>
      <x:c r="AI14" s="58"/>
      <x:c r="AJ14" s="58" t="s">
        <x:v>885</x:v>
      </x:c>
      <x:c r="AK14" s="61"/>
      <x:c r="AL14" s="58"/>
      <x:c r="AM14" s="58"/>
      <x:c r="AN14" s="58"/>
      <x:c r="AU14" s="101" t="str">
        <x:f t="shared" si="1"/>
      </x:c>
    </x:row>
    <x:row r="15" s="57" customFormat="1">
      <x:c r="A15" s="57">
        <x:v>16</x:v>
      </x:c>
      <x:c r="B15" s="57" t="e" cm="1">
        <x:f t="array" aca="1" ref="B15">IF(COUNTIF(INDIRECT(ADDRESS(3,1,1,1,"VCNS")&amp;":"&amp;ADDRESS(A15,18,4,1)),"*END*")&gt;0,"","VCN"&amp;"::"&amp;INDIRECT(ADDRESS(A15,3,4,1,"VCNS")))</x:f>
      </x:c>
      <x:c r="C15" s="57" t="e" cm="1">
        <x:f t="array" aca="1" ref="C15">IF(COUNTIF(INDIRECT(ADDRESS(3,1,1,1,"VCNS")&amp;":"&amp;ADDRESS(A15,1,4,1)),"*END*")&gt;0,"",INDIRECT(ADDRESS(A15,3,4,1,"VCNS")))</x:f>
      </x:c>
      <x:c r="E15" s="57" t="str" cm="1">
        <x:f t="array" aca="1" ref="E15">_xlfn.IFNA(IF($H15 + 1 &gt; $G$2, "", INDEX(INDIRECT("SubnetsVLANs!$C$" &amp; $H15 + 2 &amp; ":$C$" &amp; $G$2) &amp; "_" &amp; INDIRECT("SubnetsVLANs!$D$" &amp; $H15 + 2 &amp; ":$D$" &amp; $G$2), MATCH("Subnet*", INDIRECT("SubnetsVLANs!$E$" &amp; $H15 + 2 &amp; ":$E$" &amp; $G$2), 0))), "")</x:f>
      </x:c>
      <x:c r="F15" s="33" t="str">
        <x:f t="shared" si="0"/>
      </x:c>
      <x:c r="G15" s="33"/>
      <x:c r="H15" s="38">
        <x:v>14</x:v>
      </x:c>
      <x:c r="I15" s="33"/>
      <x:c r="J15" s="33"/>
      <x:c r="K15" s="58"/>
      <x:c r="L15" t="s">
        <x:v>886</x:v>
      </x:c>
      <x:c r="M15" s="58"/>
      <x:c r="N15" s="58"/>
      <x:c r="O15" s="58"/>
      <x:c r="P15" s="58" t="e" cm="1">
        <x:f t="array" aca="1" ref="P15">IF(COUNTIF(INDIRECT(ADDRESS(3,1,1,1,"DHCP")&amp;":"&amp;ADDRESS(A15,1,4,1)),"*END*")&gt;0,"",INDIRECT(ADDRESS(A15,4,4,1,"DHCP")))</x:f>
      </x:c>
      <x:c r="Q15" s="58"/>
      <x:c r="R15" s="58" t="e" cm="1">
        <x:f t="array" aca="1" ref="R15">IF(COUNTIF(INDIRECT(ADDRESS(3,1,1,1,"DRGs")&amp;":"&amp;ADDRESS(A15,1,4,1)),"*END*")&gt;0,"",INDIRECT(ADDRESS(A15,3,4,1,"DRGs")))</x:f>
      </x:c>
      <x:c r="S15" s="58"/>
      <x:c r="T15" s="58"/>
      <x:c r="U15" s="59"/>
      <x:c r="V15" s="58"/>
      <x:c r="W15" s="58"/>
      <x:c r="X15" s="58"/>
      <x:c r="Y15" s="58" t="e" cm="1">
        <x:f t="array" aca="1" ref="Y15">IF(COUNTIF(INDIRECT(ADDRESS(3,1,1,1,"DedicatedVMHosts")&amp;":"&amp;ADDRESS(A15,1,4,1)),"*END*")&gt;0,"",INDIRECT(ADDRESS(A15,3,4,1,"DedicatedVMHosts")))</x:f>
      </x:c>
      <x:c r="Z15" s="58" t="e" cm="1">
        <x:f t="array" aca="1" ref="Z15">IF(COUNTIF(INDIRECT(ADDRESS(3,1,1,1,"instances")&amp;":"&amp;ADDRESS(A15,1,4,1)),"*END*")&gt;0,"",INDIRECT(ADDRESS(A15,4,4,1,"instances")))</x:f>
      </x:c>
      <x:c r="AA15" s="58"/>
      <x:c r="AB15" s="58"/>
      <x:c r="AC15" s="58"/>
      <x:c r="AD15" s="58"/>
      <x:c r="AE15" s="58"/>
      <x:c r="AF15" s="58"/>
      <x:c r="AG15" s="58"/>
      <x:c r="AH15" s="58"/>
      <x:c r="AI15" s="58"/>
      <x:c r="AJ15" s="58" t="s">
        <x:v>887</x:v>
      </x:c>
      <x:c r="AK15" s="61"/>
      <x:c r="AL15" s="58"/>
      <x:c r="AM15" s="58"/>
      <x:c r="AN15" s="58"/>
      <x:c r="AU15" s="101" t="str">
        <x:f t="shared" si="1"/>
      </x:c>
    </x:row>
    <x:row r="16" s="57" customFormat="1">
      <x:c r="A16" s="57">
        <x:v>17</x:v>
      </x:c>
      <x:c r="B16" s="57" t="e" cm="1">
        <x:f t="array" aca="1" ref="B16">IF(COUNTIF(INDIRECT(ADDRESS(3,1,1,1,"VCNS")&amp;":"&amp;ADDRESS(A16,18,4,1)),"*END*")&gt;0,"","VCN"&amp;"::"&amp;INDIRECT(ADDRESS(A16,3,4,1,"VCNS")))</x:f>
      </x:c>
      <x:c r="C16" s="57" t="e" cm="1">
        <x:f t="array" aca="1" ref="C16">IF(COUNTIF(INDIRECT(ADDRESS(3,1,1,1,"VCNS")&amp;":"&amp;ADDRESS(A16,1,4,1)),"*END*")&gt;0,"",INDIRECT(ADDRESS(A16,3,4,1,"VCNS")))</x:f>
      </x:c>
      <x:c r="E16" s="57" t="str" cm="1">
        <x:f t="array" aca="1" ref="E16">_xlfn.IFNA(IF($H16 + 1 &gt; $G$2, "", INDEX(INDIRECT("SubnetsVLANs!$C$" &amp; $H16 + 2 &amp; ":$C$" &amp; $G$2) &amp; "_" &amp; INDIRECT("SubnetsVLANs!$D$" &amp; $H16 + 2 &amp; ":$D$" &amp; $G$2), MATCH("Subnet*", INDIRECT("SubnetsVLANs!$E$" &amp; $H16 + 2 &amp; ":$E$" &amp; $G$2), 0))), "")</x:f>
      </x:c>
      <x:c r="F16" s="33" t="str">
        <x:f t="shared" si="0"/>
      </x:c>
      <x:c r="G16" s="33"/>
      <x:c r="H16" s="38">
        <x:v>15</x:v>
      </x:c>
      <x:c r="I16" s="33"/>
      <x:c r="J16" s="33"/>
      <x:c r="K16" s="58"/>
      <x:c r="L16" t="s">
        <x:v>888</x:v>
      </x:c>
      <x:c r="M16" s="58"/>
      <x:c r="N16" s="58"/>
      <x:c r="O16" s="58"/>
      <x:c r="P16" s="58" t="e" cm="1">
        <x:f t="array" aca="1" ref="P16">IF(COUNTIF(INDIRECT(ADDRESS(3,1,1,1,"DHCP")&amp;":"&amp;ADDRESS(A16,1,4,1)),"*END*")&gt;0,"",INDIRECT(ADDRESS(A16,4,4,1,"DHCP")))</x:f>
      </x:c>
      <x:c r="Q16" s="58"/>
      <x:c r="R16" s="58" t="e" cm="1">
        <x:f t="array" aca="1" ref="R16">IF(COUNTIF(INDIRECT(ADDRESS(3,1,1,1,"DRGs")&amp;":"&amp;ADDRESS(A16,1,4,1)),"*END*")&gt;0,"",INDIRECT(ADDRESS(A16,3,4,1,"DRGs")))</x:f>
      </x:c>
      <x:c r="S16" s="58"/>
      <x:c r="T16" s="58"/>
      <x:c r="U16" s="59"/>
      <x:c r="V16" s="58"/>
      <x:c r="W16" s="58"/>
      <x:c r="X16" s="58"/>
      <x:c r="Y16" s="58" t="e" cm="1">
        <x:f t="array" aca="1" ref="Y16">IF(COUNTIF(INDIRECT(ADDRESS(3,1,1,1,"DedicatedVMHosts")&amp;":"&amp;ADDRESS(A16,1,4,1)),"*END*")&gt;0,"",INDIRECT(ADDRESS(A16,3,4,1,"DedicatedVMHosts")))</x:f>
      </x:c>
      <x:c r="Z16" s="58" t="e" cm="1">
        <x:f t="array" aca="1" ref="Z16">IF(COUNTIF(INDIRECT(ADDRESS(3,1,1,1,"instances")&amp;":"&amp;ADDRESS(A16,1,4,1)),"*END*")&gt;0,"",INDIRECT(ADDRESS(A16,4,4,1,"instances")))</x:f>
      </x:c>
      <x:c r="AA16" s="58"/>
      <x:c r="AB16" s="58"/>
      <x:c r="AC16" s="58"/>
      <x:c r="AD16" s="58"/>
      <x:c r="AE16" s="58"/>
      <x:c r="AF16" s="58"/>
      <x:c r="AG16" s="58"/>
      <x:c r="AH16" s="58"/>
      <x:c r="AI16" s="58"/>
      <x:c r="AJ16" s="58" t="s">
        <x:v>889</x:v>
      </x:c>
      <x:c r="AK16" s="61"/>
      <x:c r="AL16" s="58"/>
      <x:c r="AM16" s="58"/>
      <x:c r="AN16" s="58"/>
      <x:c r="AU16" s="101" t="str">
        <x:f t="shared" si="1"/>
      </x:c>
    </x:row>
    <x:row r="17" s="57" customFormat="1">
      <x:c r="A17" s="57">
        <x:v>18</x:v>
      </x:c>
      <x:c r="B17" s="57" t="e" cm="1">
        <x:f t="array" aca="1" ref="B17">IF(COUNTIF(INDIRECT(ADDRESS(3,1,1,1,"VCNS")&amp;":"&amp;ADDRESS(A17,18,4,1)),"*END*")&gt;0,"","VCN"&amp;"::"&amp;INDIRECT(ADDRESS(A17,3,4,1,"VCNS")))</x:f>
      </x:c>
      <x:c r="C17" s="57" t="e" cm="1">
        <x:f t="array" aca="1" ref="C17">IF(COUNTIF(INDIRECT(ADDRESS(3,1,1,1,"VCNS")&amp;":"&amp;ADDRESS(A17,1,4,1)),"*END*")&gt;0,"",INDIRECT(ADDRESS(A17,3,4,1,"VCNS")))</x:f>
      </x:c>
      <x:c r="E17" s="57" t="str" cm="1">
        <x:f t="array" aca="1" ref="E17">_xlfn.IFNA(IF($H17 + 1 &gt; $G$2, "", INDEX(INDIRECT("SubnetsVLANs!$C$" &amp; $H17 + 2 &amp; ":$C$" &amp; $G$2) &amp; "_" &amp; INDIRECT("SubnetsVLANs!$D$" &amp; $H17 + 2 &amp; ":$D$" &amp; $G$2), MATCH("Subnet*", INDIRECT("SubnetsVLANs!$E$" &amp; $H17 + 2 &amp; ":$E$" &amp; $G$2), 0))), "")</x:f>
      </x:c>
      <x:c r="F17" s="33" t="str">
        <x:f t="shared" si="0"/>
      </x:c>
      <x:c r="G17" s="33"/>
      <x:c r="H17" s="38">
        <x:v>16</x:v>
      </x:c>
      <x:c r="I17" s="33"/>
      <x:c r="J17" s="33"/>
      <x:c r="K17" s="58"/>
      <x:c r="L17" t="s">
        <x:v>890</x:v>
      </x:c>
      <x:c r="M17" s="58"/>
      <x:c r="N17" s="58"/>
      <x:c r="O17" s="58"/>
      <x:c r="P17" s="58" t="e" cm="1">
        <x:f t="array" aca="1" ref="P17">IF(COUNTIF(INDIRECT(ADDRESS(3,1,1,1,"DHCP")&amp;":"&amp;ADDRESS(A17,1,4,1)),"*END*")&gt;0,"",INDIRECT(ADDRESS(A17,4,4,1,"DHCP")))</x:f>
      </x:c>
      <x:c r="Q17" s="58"/>
      <x:c r="R17" s="58" t="e" cm="1">
        <x:f t="array" aca="1" ref="R17">IF(COUNTIF(INDIRECT(ADDRESS(3,1,1,1,"DRGs")&amp;":"&amp;ADDRESS(A17,1,4,1)),"*END*")&gt;0,"",INDIRECT(ADDRESS(A17,3,4,1,"DRGs")))</x:f>
      </x:c>
      <x:c r="S17" s="58"/>
      <x:c r="T17" s="58"/>
      <x:c r="U17" s="59"/>
      <x:c r="V17" s="58"/>
      <x:c r="W17" s="58"/>
      <x:c r="X17" s="58"/>
      <x:c r="Y17" s="58" t="e" cm="1">
        <x:f t="array" aca="1" ref="Y17">IF(COUNTIF(INDIRECT(ADDRESS(3,1,1,1,"DedicatedVMHosts")&amp;":"&amp;ADDRESS(A17,1,4,1)),"*END*")&gt;0,"",INDIRECT(ADDRESS(A17,3,4,1,"DedicatedVMHosts")))</x:f>
      </x:c>
      <x:c r="Z17" s="58" t="e" cm="1">
        <x:f t="array" aca="1" ref="Z17">IF(COUNTIF(INDIRECT(ADDRESS(3,1,1,1,"instances")&amp;":"&amp;ADDRESS(A17,1,4,1)),"*END*")&gt;0,"",INDIRECT(ADDRESS(A17,4,4,1,"instances")))</x:f>
      </x:c>
      <x:c r="AA17" s="58"/>
      <x:c r="AB17" s="58"/>
      <x:c r="AC17" s="58"/>
      <x:c r="AD17" s="58"/>
      <x:c r="AE17" s="58"/>
      <x:c r="AF17" s="58"/>
      <x:c r="AG17" s="58"/>
      <x:c r="AH17" s="58"/>
      <x:c r="AI17" s="58"/>
      <x:c r="AJ17" s="58" t="s">
        <x:v>891</x:v>
      </x:c>
      <x:c r="AK17" s="61"/>
      <x:c r="AL17" s="58"/>
      <x:c r="AM17" s="58"/>
      <x:c r="AN17" s="58"/>
      <x:c r="AU17" s="101" t="str">
        <x:f t="shared" si="1"/>
      </x:c>
    </x:row>
    <x:row r="18" s="57" customFormat="1">
      <x:c r="A18" s="57">
        <x:v>19</x:v>
      </x:c>
      <x:c r="B18" s="57" t="e" cm="1">
        <x:f t="array" aca="1" ref="B18">IF(COUNTIF(INDIRECT(ADDRESS(3,1,1,1,"VCNS")&amp;":"&amp;ADDRESS(A18,18,4,1)),"*END*")&gt;0,"","VCN"&amp;"::"&amp;INDIRECT(ADDRESS(A18,3,4,1,"VCNS")))</x:f>
      </x:c>
      <x:c r="C18" s="57" t="e" cm="1">
        <x:f t="array" aca="1" ref="C18">IF(COUNTIF(INDIRECT(ADDRESS(3,1,1,1,"VCNS")&amp;":"&amp;ADDRESS(A18,1,4,1)),"*END*")&gt;0,"",INDIRECT(ADDRESS(A18,3,4,1,"VCNS")))</x:f>
      </x:c>
      <x:c r="E18" s="57" t="str" cm="1">
        <x:f t="array" aca="1" ref="E18">_xlfn.IFNA(IF($H18 + 1 &gt; $G$2, "", INDEX(INDIRECT("SubnetsVLANs!$C$" &amp; $H18 + 2 &amp; ":$C$" &amp; $G$2) &amp; "_" &amp; INDIRECT("SubnetsVLANs!$D$" &amp; $H18 + 2 &amp; ":$D$" &amp; $G$2), MATCH("Subnet*", INDIRECT("SubnetsVLANs!$E$" &amp; $H18 + 2 &amp; ":$E$" &amp; $G$2), 0))), "")</x:f>
      </x:c>
      <x:c r="F18" s="33" t="str">
        <x:f t="shared" si="0"/>
      </x:c>
      <x:c r="G18" s="33"/>
      <x:c r="H18" s="38">
        <x:v>17</x:v>
      </x:c>
      <x:c r="I18" s="33"/>
      <x:c r="J18" s="33"/>
      <x:c r="K18" s="58"/>
      <x:c r="L18" t="s">
        <x:v>892</x:v>
      </x:c>
      <x:c r="M18" s="58"/>
      <x:c r="N18" s="58"/>
      <x:c r="O18" s="58"/>
      <x:c r="P18" s="58" t="e" cm="1">
        <x:f t="array" aca="1" ref="P18">IF(COUNTIF(INDIRECT(ADDRESS(3,1,1,1,"DHCP")&amp;":"&amp;ADDRESS(A18,1,4,1)),"*END*")&gt;0,"",INDIRECT(ADDRESS(A18,4,4,1,"DHCP")))</x:f>
      </x:c>
      <x:c r="Q18" s="58"/>
      <x:c r="R18" s="58" t="e" cm="1">
        <x:f t="array" aca="1" ref="R18">IF(COUNTIF(INDIRECT(ADDRESS(3,1,1,1,"DRGs")&amp;":"&amp;ADDRESS(A18,1,4,1)),"*END*")&gt;0,"",INDIRECT(ADDRESS(A18,3,4,1,"DRGs")))</x:f>
      </x:c>
      <x:c r="S18" s="58"/>
      <x:c r="T18" s="58"/>
      <x:c r="U18" s="59"/>
      <x:c r="V18" s="58"/>
      <x:c r="W18" s="58"/>
      <x:c r="X18" s="58"/>
      <x:c r="Y18" s="58" t="e" cm="1">
        <x:f t="array" aca="1" ref="Y18">IF(COUNTIF(INDIRECT(ADDRESS(3,1,1,1,"DedicatedVMHosts")&amp;":"&amp;ADDRESS(A18,1,4,1)),"*END*")&gt;0,"",INDIRECT(ADDRESS(A18,3,4,1,"DedicatedVMHosts")))</x:f>
      </x:c>
      <x:c r="Z18" s="58" t="e" cm="1">
        <x:f t="array" aca="1" ref="Z18">IF(COUNTIF(INDIRECT(ADDRESS(3,1,1,1,"instances")&amp;":"&amp;ADDRESS(A18,1,4,1)),"*END*")&gt;0,"",INDIRECT(ADDRESS(A18,4,4,1,"instances")))</x:f>
      </x:c>
      <x:c r="AA18" s="58"/>
      <x:c r="AB18" s="58"/>
      <x:c r="AC18" s="58"/>
      <x:c r="AD18" s="58"/>
      <x:c r="AE18" s="58"/>
      <x:c r="AF18" s="58"/>
      <x:c r="AG18" s="58"/>
      <x:c r="AH18" s="58"/>
      <x:c r="AI18" s="58"/>
      <x:c r="AJ18" s="58" t="s">
        <x:v>893</x:v>
      </x:c>
      <x:c r="AK18" s="61"/>
      <x:c r="AL18" s="58"/>
      <x:c r="AM18" s="58"/>
      <x:c r="AN18" s="58"/>
      <x:c r="AU18" s="101" t="str">
        <x:f t="shared" si="1"/>
      </x:c>
    </x:row>
    <x:row r="19" s="57" customFormat="1">
      <x:c r="A19" s="57">
        <x:v>20</x:v>
      </x:c>
      <x:c r="B19" s="57" t="e" cm="1">
        <x:f t="array" aca="1" ref="B19">IF(COUNTIF(INDIRECT(ADDRESS(3,1,1,1,"VCNS")&amp;":"&amp;ADDRESS(A19,18,4,1)),"*END*")&gt;0,"","VCN"&amp;"::"&amp;INDIRECT(ADDRESS(A19,3,4,1,"VCNS")))</x:f>
      </x:c>
      <x:c r="C19" s="57" t="e" cm="1">
        <x:f t="array" aca="1" ref="C19">IF(COUNTIF(INDIRECT(ADDRESS(3,1,1,1,"VCNS")&amp;":"&amp;ADDRESS(A19,1,4,1)),"*END*")&gt;0,"",INDIRECT(ADDRESS(A19,3,4,1,"VCNS")))</x:f>
      </x:c>
      <x:c r="E19" s="57" t="str" cm="1">
        <x:f t="array" aca="1" ref="E19">_xlfn.IFNA(IF($H19 + 1 &gt; $G$2, "", INDEX(INDIRECT("SubnetsVLANs!$C$" &amp; $H19 + 2 &amp; ":$C$" &amp; $G$2) &amp; "_" &amp; INDIRECT("SubnetsVLANs!$D$" &amp; $H19 + 2 &amp; ":$D$" &amp; $G$2), MATCH("Subnet*", INDIRECT("SubnetsVLANs!$E$" &amp; $H19 + 2 &amp; ":$E$" &amp; $G$2), 0))), "")</x:f>
      </x:c>
      <x:c r="F19" s="33" t="str">
        <x:f t="shared" si="0"/>
      </x:c>
      <x:c r="G19" s="33"/>
      <x:c r="H19" s="38">
        <x:v>18</x:v>
      </x:c>
      <x:c r="I19" s="33"/>
      <x:c r="J19" s="33"/>
      <x:c r="K19" s="58"/>
      <x:c r="L19" t="s">
        <x:v>894</x:v>
      </x:c>
      <x:c r="M19" s="58"/>
      <x:c r="N19" s="58"/>
      <x:c r="O19" s="58"/>
      <x:c r="P19" s="58" t="e" cm="1">
        <x:f t="array" aca="1" ref="P19">IF(COUNTIF(INDIRECT(ADDRESS(3,1,1,1,"DHCP")&amp;":"&amp;ADDRESS(A19,1,4,1)),"*END*")&gt;0,"",INDIRECT(ADDRESS(A19,4,4,1,"DHCP")))</x:f>
      </x:c>
      <x:c r="Q19" s="58"/>
      <x:c r="R19" s="58" t="e" cm="1">
        <x:f t="array" aca="1" ref="R19">IF(COUNTIF(INDIRECT(ADDRESS(3,1,1,1,"DRGs")&amp;":"&amp;ADDRESS(A19,1,4,1)),"*END*")&gt;0,"",INDIRECT(ADDRESS(A19,3,4,1,"DRGs")))</x:f>
      </x:c>
      <x:c r="S19" s="58"/>
      <x:c r="T19" s="58"/>
      <x:c r="U19" s="59"/>
      <x:c r="V19" s="58"/>
      <x:c r="W19" s="58"/>
      <x:c r="X19" s="58"/>
      <x:c r="Y19" s="58" t="e" cm="1">
        <x:f t="array" aca="1" ref="Y19">IF(COUNTIF(INDIRECT(ADDRESS(3,1,1,1,"DedicatedVMHosts")&amp;":"&amp;ADDRESS(A19,1,4,1)),"*END*")&gt;0,"",INDIRECT(ADDRESS(A19,3,4,1,"DedicatedVMHosts")))</x:f>
      </x:c>
      <x:c r="Z19" s="58" t="e" cm="1">
        <x:f t="array" aca="1" ref="Z19">IF(COUNTIF(INDIRECT(ADDRESS(3,1,1,1,"instances")&amp;":"&amp;ADDRESS(A19,1,4,1)),"*END*")&gt;0,"",INDIRECT(ADDRESS(A19,4,4,1,"instances")))</x:f>
      </x:c>
      <x:c r="AA19" s="58"/>
      <x:c r="AB19" s="58"/>
      <x:c r="AC19" s="58"/>
      <x:c r="AD19" s="58"/>
      <x:c r="AE19" s="58"/>
      <x:c r="AF19" s="58"/>
      <x:c r="AG19" s="58"/>
      <x:c r="AH19" s="58"/>
      <x:c r="AI19" s="58"/>
      <x:c r="AJ19" s="58" t="s">
        <x:v>895</x:v>
      </x:c>
      <x:c r="AK19" s="61"/>
      <x:c r="AL19" s="58"/>
      <x:c r="AM19" s="58"/>
      <x:c r="AN19" s="58"/>
      <x:c r="AU19" s="101" t="str">
        <x:f t="shared" si="1"/>
      </x:c>
    </x:row>
    <x:row r="20" s="57" customFormat="1">
      <x:c r="A20" s="57">
        <x:v>21</x:v>
      </x:c>
      <x:c r="B20" s="57" t="e" cm="1">
        <x:f t="array" aca="1" ref="B20">IF(COUNTIF(INDIRECT(ADDRESS(3,1,1,1,"VCNS")&amp;":"&amp;ADDRESS(A20,18,4,1)),"*END*")&gt;0,"","VCN"&amp;"::"&amp;INDIRECT(ADDRESS(A20,3,4,1,"VCNS")))</x:f>
      </x:c>
      <x:c r="C20" s="57" t="e" cm="1">
        <x:f t="array" aca="1" ref="C20">IF(COUNTIF(INDIRECT(ADDRESS(3,1,1,1,"VCNS")&amp;":"&amp;ADDRESS(A20,1,4,1)),"*END*")&gt;0,"",INDIRECT(ADDRESS(A20,3,4,1,"VCNS")))</x:f>
      </x:c>
      <x:c r="F20" s="33" t="str">
        <x:f t="shared" si="0"/>
      </x:c>
      <x:c r="G20" s="33"/>
      <x:c r="H20" s="38">
        <x:v>19</x:v>
      </x:c>
      <x:c r="I20" s="33"/>
      <x:c r="J20" s="33"/>
      <x:c r="K20" s="58"/>
      <x:c r="L20" t="s">
        <x:v>896</x:v>
      </x:c>
      <x:c r="M20" s="58"/>
      <x:c r="N20" s="58"/>
      <x:c r="O20" s="58"/>
      <x:c r="P20" s="58" t="e" cm="1">
        <x:f t="array" aca="1" ref="P20">IF(COUNTIF(INDIRECT(ADDRESS(3,1,1,1,"DHCP")&amp;":"&amp;ADDRESS(A20,1,4,1)),"*END*")&gt;0,"",INDIRECT(ADDRESS(A20,4,4,1,"DHCP")))</x:f>
      </x:c>
      <x:c r="Q20" s="58"/>
      <x:c r="R20" s="58" t="e" cm="1">
        <x:f t="array" aca="1" ref="R20">IF(COUNTIF(INDIRECT(ADDRESS(3,1,1,1,"DRGs")&amp;":"&amp;ADDRESS(A20,1,4,1)),"*END*")&gt;0,"",INDIRECT(ADDRESS(A20,3,4,1,"DRGs")))</x:f>
      </x:c>
      <x:c r="S20" s="58"/>
      <x:c r="T20" s="58"/>
      <x:c r="U20" s="59"/>
      <x:c r="V20" s="58"/>
      <x:c r="W20" s="58"/>
      <x:c r="X20" s="58"/>
      <x:c r="Y20" s="58" t="e" cm="1">
        <x:f t="array" aca="1" ref="Y20">IF(COUNTIF(INDIRECT(ADDRESS(3,1,1,1,"DedicatedVMHosts")&amp;":"&amp;ADDRESS(A20,1,4,1)),"*END*")&gt;0,"",INDIRECT(ADDRESS(A20,3,4,1,"DedicatedVMHosts")))</x:f>
      </x:c>
      <x:c r="Z20" s="58" t="e" cm="1">
        <x:f t="array" aca="1" ref="Z20">IF(COUNTIF(INDIRECT(ADDRESS(3,1,1,1,"instances")&amp;":"&amp;ADDRESS(A20,1,4,1)),"*END*")&gt;0,"",INDIRECT(ADDRESS(A20,4,4,1,"instances")))</x:f>
      </x:c>
      <x:c r="AA20" s="58"/>
      <x:c r="AB20" s="58"/>
      <x:c r="AC20" s="58"/>
      <x:c r="AD20" s="58"/>
      <x:c r="AE20" s="58"/>
      <x:c r="AF20" s="58"/>
      <x:c r="AG20" s="58"/>
      <x:c r="AH20" s="58"/>
      <x:c r="AI20" s="58"/>
      <x:c r="AJ20" s="58" t="s">
        <x:v>897</x:v>
      </x:c>
      <x:c r="AK20" s="61"/>
      <x:c r="AL20" s="58"/>
      <x:c r="AM20" s="58"/>
      <x:c r="AN20" s="58"/>
      <x:c r="AU20" s="101" t="str">
        <x:f t="shared" si="1"/>
      </x:c>
    </x:row>
    <x:row r="21" s="57" customFormat="1">
      <x:c r="A21" s="57">
        <x:v>22</x:v>
      </x:c>
      <x:c r="B21" s="57" t="e" cm="1">
        <x:f t="array" aca="1" ref="B21">IF(COUNTIF(INDIRECT(ADDRESS(3,1,1,1,"VCNS")&amp;":"&amp;ADDRESS(A21,18,4,1)),"*END*")&gt;0,"","VCN"&amp;"::"&amp;INDIRECT(ADDRESS(A21,3,4,1,"VCNS")))</x:f>
      </x:c>
      <x:c r="C21" s="57" t="e" cm="1">
        <x:f t="array" aca="1" ref="C21">IF(COUNTIF(INDIRECT(ADDRESS(3,1,1,1,"VCNS")&amp;":"&amp;ADDRESS(A21,1,4,1)),"*END*")&gt;0,"",INDIRECT(ADDRESS(A21,3,4,1,"VCNS")))</x:f>
      </x:c>
      <x:c r="F21" s="33" t="str">
        <x:f t="shared" si="0"/>
      </x:c>
      <x:c r="G21" s="33"/>
      <x:c r="H21" s="38">
        <x:v>20</x:v>
      </x:c>
      <x:c r="I21" s="33"/>
      <x:c r="J21" s="33"/>
      <x:c r="K21" s="58"/>
      <x:c r="L21" t="s">
        <x:v>898</x:v>
      </x:c>
      <x:c r="M21" s="58"/>
      <x:c r="N21" s="58"/>
      <x:c r="O21" s="58"/>
      <x:c r="P21" s="58" t="e" cm="1">
        <x:f t="array" aca="1" ref="P21">IF(COUNTIF(INDIRECT(ADDRESS(3,1,1,1,"DHCP")&amp;":"&amp;ADDRESS(A21,1,4,1)),"*END*")&gt;0,"",INDIRECT(ADDRESS(A21,4,4,1,"DHCP")))</x:f>
      </x:c>
      <x:c r="Q21" s="58"/>
      <x:c r="R21" s="58" t="e" cm="1">
        <x:f t="array" aca="1" ref="R21">IF(COUNTIF(INDIRECT(ADDRESS(3,1,1,1,"DRGs")&amp;":"&amp;ADDRESS(A21,1,4,1)),"*END*")&gt;0,"",INDIRECT(ADDRESS(A21,3,4,1,"DRGs")))</x:f>
      </x:c>
      <x:c r="S21" s="58"/>
      <x:c r="T21" s="58"/>
      <x:c r="U21" s="59"/>
      <x:c r="V21" s="58"/>
      <x:c r="W21" s="58"/>
      <x:c r="X21" s="58"/>
      <x:c r="Y21" s="58" t="e" cm="1">
        <x:f t="array" aca="1" ref="Y21">IF(COUNTIF(INDIRECT(ADDRESS(3,1,1,1,"DedicatedVMHosts")&amp;":"&amp;ADDRESS(A21,1,4,1)),"*END*")&gt;0,"",INDIRECT(ADDRESS(A21,3,4,1,"DedicatedVMHosts")))</x:f>
      </x:c>
      <x:c r="Z21" s="58" t="e" cm="1">
        <x:f t="array" aca="1" ref="Z21">IF(COUNTIF(INDIRECT(ADDRESS(3,1,1,1,"instances")&amp;":"&amp;ADDRESS(A21,1,4,1)),"*END*")&gt;0,"",INDIRECT(ADDRESS(A21,4,4,1,"instances")))</x:f>
      </x:c>
      <x:c r="AA21" s="58"/>
      <x:c r="AB21" s="58"/>
      <x:c r="AC21" s="58"/>
      <x:c r="AD21" s="58"/>
      <x:c r="AE21" s="58"/>
      <x:c r="AF21" s="58"/>
      <x:c r="AG21" s="58"/>
      <x:c r="AH21" s="58"/>
      <x:c r="AI21" s="58"/>
      <x:c r="AJ21" s="58" t="s">
        <x:v>899</x:v>
      </x:c>
      <x:c r="AK21" s="61"/>
      <x:c r="AL21" s="58"/>
      <x:c r="AM21" s="58"/>
      <x:c r="AN21" s="58"/>
      <x:c r="AU21" s="101" t="str">
        <x:f t="shared" si="1"/>
      </x:c>
    </x:row>
    <x:row r="22" s="57" customFormat="1">
      <x:c r="A22" s="57">
        <x:v>23</x:v>
      </x:c>
      <x:c r="B22" s="57" t="e" cm="1">
        <x:f t="array" aca="1" ref="B22">IF(COUNTIF(INDIRECT(ADDRESS(3,1,1,1,"VCNS")&amp;":"&amp;ADDRESS(A22,18,4,1)),"*END*")&gt;0,"","VCN"&amp;"::"&amp;INDIRECT(ADDRESS(A22,3,4,1,"VCNS")))</x:f>
      </x:c>
      <x:c r="C22" s="57" t="e" cm="1">
        <x:f t="array" aca="1" ref="C22">IF(COUNTIF(INDIRECT(ADDRESS(3,1,1,1,"VCNS")&amp;":"&amp;ADDRESS(A22,1,4,1)),"*END*")&gt;0,"",INDIRECT(ADDRESS(A22,3,4,1,"VCNS")))</x:f>
      </x:c>
      <x:c r="F22" s="33" t="str">
        <x:f t="shared" si="0"/>
      </x:c>
      <x:c r="G22" s="33"/>
      <x:c r="H22" s="38">
        <x:v>21</x:v>
      </x:c>
      <x:c r="I22" s="33"/>
      <x:c r="J22" s="33"/>
      <x:c r="K22" s="58"/>
      <x:c r="L22" t="s">
        <x:v>900</x:v>
      </x:c>
      <x:c r="M22" s="58"/>
      <x:c r="N22" s="58"/>
      <x:c r="O22" s="58"/>
      <x:c r="P22" s="58" t="e" cm="1">
        <x:f t="array" aca="1" ref="P22">IF(COUNTIF(INDIRECT(ADDRESS(3,1,1,1,"DHCP")&amp;":"&amp;ADDRESS(A22,1,4,1)),"*END*")&gt;0,"",INDIRECT(ADDRESS(A22,4,4,1,"DHCP")))</x:f>
      </x:c>
      <x:c r="Q22" s="58"/>
      <x:c r="R22" s="58" t="e" cm="1">
        <x:f t="array" aca="1" ref="R22">IF(COUNTIF(INDIRECT(ADDRESS(3,1,1,1,"DRGs")&amp;":"&amp;ADDRESS(A22,1,4,1)),"*END*")&gt;0,"",INDIRECT(ADDRESS(A22,3,4,1,"DRGs")))</x:f>
      </x:c>
      <x:c r="S22" s="58"/>
      <x:c r="T22" s="58"/>
      <x:c r="U22" s="59"/>
      <x:c r="V22" s="58"/>
      <x:c r="W22" s="58"/>
      <x:c r="X22" s="58"/>
      <x:c r="Y22" s="58" t="e" cm="1">
        <x:f t="array" aca="1" ref="Y22">IF(COUNTIF(INDIRECT(ADDRESS(3,1,1,1,"DedicatedVMHosts")&amp;":"&amp;ADDRESS(A22,1,4,1)),"*END*")&gt;0,"",INDIRECT(ADDRESS(A22,3,4,1,"DedicatedVMHosts")))</x:f>
      </x:c>
      <x:c r="Z22" s="58" t="e" cm="1">
        <x:f t="array" aca="1" ref="Z22">IF(COUNTIF(INDIRECT(ADDRESS(3,1,1,1,"instances")&amp;":"&amp;ADDRESS(A22,1,4,1)),"*END*")&gt;0,"",INDIRECT(ADDRESS(A22,4,4,1,"instances")))</x:f>
      </x:c>
      <x:c r="AA22" s="58"/>
      <x:c r="AB22" s="58"/>
      <x:c r="AC22" s="58"/>
      <x:c r="AD22" s="58"/>
      <x:c r="AE22" s="58"/>
      <x:c r="AF22" s="58"/>
      <x:c r="AG22" s="58"/>
      <x:c r="AH22" s="58"/>
      <x:c r="AI22" s="58"/>
      <x:c r="AJ22" s="58" t="s">
        <x:v>901</x:v>
      </x:c>
      <x:c r="AK22" s="61"/>
      <x:c r="AL22" s="58"/>
      <x:c r="AM22" s="58"/>
      <x:c r="AN22" s="58"/>
      <x:c r="AU22" s="101" t="str">
        <x:f t="shared" si="1"/>
      </x:c>
    </x:row>
    <x:row r="23" s="57" customFormat="1">
      <x:c r="A23" s="57">
        <x:v>24</x:v>
      </x:c>
      <x:c r="B23" s="57" t="e" cm="1">
        <x:f t="array" aca="1" ref="B23">IF(COUNTIF(INDIRECT(ADDRESS(3,1,1,1,"VCNS")&amp;":"&amp;ADDRESS(A23,18,4,1)),"*END*")&gt;0,"","VCN"&amp;"::"&amp;INDIRECT(ADDRESS(A23,3,4,1,"VCNS")))</x:f>
      </x:c>
      <x:c r="C23" s="57" t="e" cm="1">
        <x:f t="array" aca="1" ref="C23">IF(COUNTIF(INDIRECT(ADDRESS(3,1,1,1,"VCNS")&amp;":"&amp;ADDRESS(A23,1,4,1)),"*END*")&gt;0,"",INDIRECT(ADDRESS(A23,3,4,1,"VCNS")))</x:f>
      </x:c>
      <x:c r="F23" s="33" t="str">
        <x:f t="shared" si="0"/>
      </x:c>
      <x:c r="G23" s="33"/>
      <x:c r="H23" s="38">
        <x:v>22</x:v>
      </x:c>
      <x:c r="I23" s="33"/>
      <x:c r="J23" s="33"/>
      <x:c r="K23" s="58"/>
      <x:c r="L23" t="s">
        <x:v>902</x:v>
      </x:c>
      <x:c r="M23" s="58"/>
      <x:c r="N23" s="58"/>
      <x:c r="O23" s="58"/>
      <x:c r="P23" s="58" t="e" cm="1">
        <x:f t="array" aca="1" ref="P23">IF(COUNTIF(INDIRECT(ADDRESS(3,1,1,1,"DHCP")&amp;":"&amp;ADDRESS(A23,1,4,1)),"*END*")&gt;0,"",INDIRECT(ADDRESS(A23,4,4,1,"DHCP")))</x:f>
      </x:c>
      <x:c r="Q23" s="58"/>
      <x:c r="R23" s="58" t="e" cm="1">
        <x:f t="array" aca="1" ref="R23">IF(COUNTIF(INDIRECT(ADDRESS(3,1,1,1,"DRGs")&amp;":"&amp;ADDRESS(A23,1,4,1)),"*END*")&gt;0,"",INDIRECT(ADDRESS(A23,3,4,1,"DRGs")))</x:f>
      </x:c>
      <x:c r="S23" s="58"/>
      <x:c r="T23" s="58"/>
      <x:c r="U23" s="59"/>
      <x:c r="V23" s="58"/>
      <x:c r="W23" s="58"/>
      <x:c r="X23" s="58"/>
      <x:c r="Y23" s="58" t="e" cm="1">
        <x:f t="array" aca="1" ref="Y23">IF(COUNTIF(INDIRECT(ADDRESS(3,1,1,1,"DedicatedVMHosts")&amp;":"&amp;ADDRESS(A23,1,4,1)),"*END*")&gt;0,"",INDIRECT(ADDRESS(A23,3,4,1,"DedicatedVMHosts")))</x:f>
      </x:c>
      <x:c r="Z23" s="58" t="e" cm="1">
        <x:f t="array" aca="1" ref="Z23">IF(COUNTIF(INDIRECT(ADDRESS(3,1,1,1,"instances")&amp;":"&amp;ADDRESS(A23,1,4,1)),"*END*")&gt;0,"",INDIRECT(ADDRESS(A23,4,4,1,"instances")))</x:f>
      </x:c>
      <x:c r="AA23" s="58"/>
      <x:c r="AB23" s="58"/>
      <x:c r="AC23" s="58"/>
      <x:c r="AD23" s="58"/>
      <x:c r="AE23" s="58"/>
      <x:c r="AF23" s="58"/>
      <x:c r="AG23" s="58"/>
      <x:c r="AH23" s="58"/>
      <x:c r="AI23" s="58"/>
      <x:c r="AJ23" s="58" t="s">
        <x:v>903</x:v>
      </x:c>
      <x:c r="AK23" s="61"/>
      <x:c r="AL23" s="58"/>
      <x:c r="AM23" s="58"/>
      <x:c r="AN23" s="58"/>
      <x:c r="AU23" s="101" t="str">
        <x:f t="shared" si="1"/>
      </x:c>
    </x:row>
    <x:row r="24" s="57" customFormat="1">
      <x:c r="A24" s="57">
        <x:v>25</x:v>
      </x:c>
      <x:c r="B24" s="57" t="e" cm="1">
        <x:f t="array" aca="1" ref="B24">IF(COUNTIF(INDIRECT(ADDRESS(3,1,1,1,"VCNS")&amp;":"&amp;ADDRESS(A24,18,4,1)),"*END*")&gt;0,"","VCN"&amp;"::"&amp;INDIRECT(ADDRESS(A24,3,4,1,"VCNS")))</x:f>
      </x:c>
      <x:c r="C24" s="57" t="e" cm="1">
        <x:f t="array" aca="1" ref="C24">IF(COUNTIF(INDIRECT(ADDRESS(3,1,1,1,"VCNS")&amp;":"&amp;ADDRESS(A24,1,4,1)),"*END*")&gt;0,"",INDIRECT(ADDRESS(A24,3,4,1,"VCNS")))</x:f>
      </x:c>
      <x:c r="F24" s="33" t="str">
        <x:f t="shared" si="0"/>
      </x:c>
      <x:c r="G24" s="33"/>
      <x:c r="H24" s="38">
        <x:v>23</x:v>
      </x:c>
      <x:c r="I24" s="33"/>
      <x:c r="J24" s="33"/>
      <x:c r="K24" s="58"/>
      <x:c r="L24" t="s">
        <x:v>904</x:v>
      </x:c>
      <x:c r="M24" s="58"/>
      <x:c r="N24" s="58"/>
      <x:c r="O24" s="58"/>
      <x:c r="P24" s="58" t="e" cm="1">
        <x:f t="array" aca="1" ref="P24">IF(COUNTIF(INDIRECT(ADDRESS(3,1,1,1,"DHCP")&amp;":"&amp;ADDRESS(A24,1,4,1)),"*END*")&gt;0,"",INDIRECT(ADDRESS(A24,4,4,1,"DHCP")))</x:f>
      </x:c>
      <x:c r="Q24" s="58"/>
      <x:c r="R24" s="58" t="e" cm="1">
        <x:f t="array" aca="1" ref="R24">IF(COUNTIF(INDIRECT(ADDRESS(3,1,1,1,"DRGs")&amp;":"&amp;ADDRESS(A24,1,4,1)),"*END*")&gt;0,"",INDIRECT(ADDRESS(A24,3,4,1,"DRGs")))</x:f>
      </x:c>
      <x:c r="S24" s="58"/>
      <x:c r="T24" s="58"/>
      <x:c r="U24" s="58"/>
      <x:c r="V24" s="58"/>
      <x:c r="W24" s="58"/>
      <x:c r="X24" s="58"/>
      <x:c r="Y24" s="58" t="e" cm="1">
        <x:f t="array" aca="1" ref="Y24">IF(COUNTIF(INDIRECT(ADDRESS(3,1,1,1,"DedicatedVMHosts")&amp;":"&amp;ADDRESS(A24,1,4,1)),"*END*")&gt;0,"",INDIRECT(ADDRESS(A24,3,4,1,"DedicatedVMHosts")))</x:f>
      </x:c>
      <x:c r="Z24" s="58" t="e" cm="1">
        <x:f t="array" aca="1" ref="Z24">IF(COUNTIF(INDIRECT(ADDRESS(3,1,1,1,"instances")&amp;":"&amp;ADDRESS(A24,1,4,1)),"*END*")&gt;0,"",INDIRECT(ADDRESS(A24,4,4,1,"instances")))</x:f>
      </x:c>
      <x:c r="AA24" s="58"/>
      <x:c r="AB24" s="58"/>
      <x:c r="AC24" s="58"/>
      <x:c r="AD24" s="58"/>
      <x:c r="AE24" s="58"/>
      <x:c r="AF24" s="58"/>
      <x:c r="AG24" s="58"/>
      <x:c r="AH24" s="58"/>
      <x:c r="AI24" s="58"/>
      <x:c r="AJ24" s="58" t="s">
        <x:v>905</x:v>
      </x:c>
      <x:c r="AK24" s="61"/>
      <x:c r="AL24" s="58"/>
      <x:c r="AM24" s="58"/>
      <x:c r="AN24" s="58"/>
      <x:c r="AU24" s="101" t="str">
        <x:f t="shared" si="1"/>
      </x:c>
    </x:row>
    <x:row r="25" s="57" customFormat="1">
      <x:c r="A25" s="57">
        <x:v>26</x:v>
      </x:c>
      <x:c r="B25" s="57" t="e" cm="1">
        <x:f t="array" aca="1" ref="B25">IF(COUNTIF(INDIRECT(ADDRESS(3,1,1,1,"VCNS")&amp;":"&amp;ADDRESS(A25,18,4,1)),"*END*")&gt;0,"","VCN"&amp;"::"&amp;INDIRECT(ADDRESS(A25,3,4,1,"VCNS")))</x:f>
      </x:c>
      <x:c r="C25" s="57" t="e" cm="1">
        <x:f t="array" aca="1" ref="C25">IF(COUNTIF(INDIRECT(ADDRESS(3,1,1,1,"VCNS")&amp;":"&amp;ADDRESS(A25,1,4,1)),"*END*")&gt;0,"",INDIRECT(ADDRESS(A25,3,4,1,"VCNS")))</x:f>
      </x:c>
      <x:c r="F25" s="33" t="str">
        <x:f t="shared" si="0"/>
      </x:c>
      <x:c r="G25" s="33"/>
      <x:c r="H25" s="38">
        <x:v>24</x:v>
      </x:c>
      <x:c r="I25" s="33"/>
      <x:c r="J25" s="33"/>
      <x:c r="K25" s="58"/>
      <x:c r="L25" t="s">
        <x:v>906</x:v>
      </x:c>
      <x:c r="M25" s="58"/>
      <x:c r="N25" s="58"/>
      <x:c r="O25" s="58"/>
      <x:c r="P25" s="58" t="e" cm="1">
        <x:f t="array" aca="1" ref="P25">IF(COUNTIF(INDIRECT(ADDRESS(3,1,1,1,"DHCP")&amp;":"&amp;ADDRESS(A25,1,4,1)),"*END*")&gt;0,"",INDIRECT(ADDRESS(A25,4,4,1,"DHCP")))</x:f>
      </x:c>
      <x:c r="Q25" s="58"/>
      <x:c r="R25" s="58" t="e" cm="1">
        <x:f t="array" aca="1" ref="R25">IF(COUNTIF(INDIRECT(ADDRESS(3,1,1,1,"DRGs")&amp;":"&amp;ADDRESS(A25,1,4,1)),"*END*")&gt;0,"",INDIRECT(ADDRESS(A25,3,4,1,"DRGs")))</x:f>
      </x:c>
      <x:c r="S25" s="58"/>
      <x:c r="T25" s="58"/>
      <x:c r="U25" s="58"/>
      <x:c r="V25" s="58"/>
      <x:c r="W25" s="58"/>
      <x:c r="X25" s="58"/>
      <x:c r="Y25" s="58" t="e" cm="1">
        <x:f t="array" aca="1" ref="Y25">IF(COUNTIF(INDIRECT(ADDRESS(3,1,1,1,"DedicatedVMHosts")&amp;":"&amp;ADDRESS(A25,1,4,1)),"*END*")&gt;0,"",INDIRECT(ADDRESS(A25,3,4,1,"DedicatedVMHosts")))</x:f>
      </x:c>
      <x:c r="Z25" s="58" t="e" cm="1">
        <x:f t="array" aca="1" ref="Z25">IF(COUNTIF(INDIRECT(ADDRESS(3,1,1,1,"instances")&amp;":"&amp;ADDRESS(A25,1,4,1)),"*END*")&gt;0,"",INDIRECT(ADDRESS(A25,4,4,1,"instances")))</x:f>
      </x:c>
      <x:c r="AA25" s="58"/>
      <x:c r="AB25" s="58"/>
      <x:c r="AC25" s="58"/>
      <x:c r="AD25" s="58"/>
      <x:c r="AE25" s="58"/>
      <x:c r="AF25" s="58"/>
      <x:c r="AG25" s="58"/>
      <x:c r="AH25" s="58"/>
      <x:c r="AI25" s="58"/>
      <x:c r="AJ25" s="58" t="s">
        <x:v>907</x:v>
      </x:c>
      <x:c r="AK25" s="61"/>
      <x:c r="AL25" s="58"/>
      <x:c r="AM25" s="58"/>
      <x:c r="AN25" s="58"/>
      <x:c r="AU25" s="101" t="str">
        <x:f t="shared" si="1"/>
      </x:c>
    </x:row>
    <x:row r="26" s="57" customFormat="1">
      <x:c r="A26" s="57">
        <x:v>27</x:v>
      </x:c>
      <x:c r="B26" s="57" t="e" cm="1">
        <x:f t="array" aca="1" ref="B26">IF(COUNTIF(INDIRECT(ADDRESS(3,1,1,1,"VCNS")&amp;":"&amp;ADDRESS(A26,18,4,1)),"*END*")&gt;0,"","VCN"&amp;"::"&amp;INDIRECT(ADDRESS(A26,3,4,1,"VCNS")))</x:f>
      </x:c>
      <x:c r="C26" s="57" t="e" cm="1">
        <x:f t="array" aca="1" ref="C26">IF(COUNTIF(INDIRECT(ADDRESS(3,1,1,1,"VCNS")&amp;":"&amp;ADDRESS(A26,1,4,1)),"*END*")&gt;0,"",INDIRECT(ADDRESS(A26,3,4,1,"VCNS")))</x:f>
      </x:c>
      <x:c r="F26" s="33" t="str">
        <x:f t="shared" si="0"/>
      </x:c>
      <x:c r="G26" s="33"/>
      <x:c r="H26" s="38">
        <x:v>25</x:v>
      </x:c>
      <x:c r="I26" s="33"/>
      <x:c r="J26" s="33"/>
      <x:c r="K26" s="58"/>
      <x:c r="L26" t="s">
        <x:v>908</x:v>
      </x:c>
      <x:c r="M26" s="58"/>
      <x:c r="N26" s="58"/>
      <x:c r="O26" s="58"/>
      <x:c r="P26" s="58" t="e" cm="1">
        <x:f t="array" aca="1" ref="P26">IF(COUNTIF(INDIRECT(ADDRESS(3,1,1,1,"DHCP")&amp;":"&amp;ADDRESS(A26,1,4,1)),"*END*")&gt;0,"",INDIRECT(ADDRESS(A26,4,4,1,"DHCP")))</x:f>
      </x:c>
      <x:c r="Q26" s="58"/>
      <x:c r="R26" s="58" t="e" cm="1">
        <x:f t="array" aca="1" ref="R26">IF(COUNTIF(INDIRECT(ADDRESS(3,1,1,1,"DRGs")&amp;":"&amp;ADDRESS(A26,1,4,1)),"*END*")&gt;0,"",INDIRECT(ADDRESS(A26,3,4,1,"DRGs")))</x:f>
      </x:c>
      <x:c r="S26" s="58"/>
      <x:c r="T26" s="58"/>
      <x:c r="U26" s="58"/>
      <x:c r="V26" s="58"/>
      <x:c r="W26" s="58"/>
      <x:c r="X26" s="58"/>
      <x:c r="Y26" s="58" t="e" cm="1">
        <x:f t="array" aca="1" ref="Y26">IF(COUNTIF(INDIRECT(ADDRESS(3,1,1,1,"DedicatedVMHosts")&amp;":"&amp;ADDRESS(A26,1,4,1)),"*END*")&gt;0,"",INDIRECT(ADDRESS(A26,3,4,1,"DedicatedVMHosts")))</x:f>
      </x:c>
      <x:c r="Z26" s="58" t="e" cm="1">
        <x:f t="array" aca="1" ref="Z26">IF(COUNTIF(INDIRECT(ADDRESS(3,1,1,1,"instances")&amp;":"&amp;ADDRESS(A26,1,4,1)),"*END*")&gt;0,"",INDIRECT(ADDRESS(A26,4,4,1,"instances")))</x:f>
      </x:c>
      <x:c r="AA26" s="58"/>
      <x:c r="AB26" s="58"/>
      <x:c r="AC26" s="58"/>
      <x:c r="AD26" s="58"/>
      <x:c r="AE26" s="58"/>
      <x:c r="AF26" s="58"/>
      <x:c r="AG26" s="58"/>
      <x:c r="AH26" s="58"/>
      <x:c r="AI26" s="58"/>
      <x:c r="AJ26" s="58" t="s">
        <x:v>909</x:v>
      </x:c>
      <x:c r="AK26" s="61"/>
      <x:c r="AL26" s="58"/>
      <x:c r="AM26" s="58"/>
      <x:c r="AN26" s="58"/>
      <x:c r="AU26" s="101" t="str">
        <x:f t="shared" si="1"/>
      </x:c>
    </x:row>
    <x:row r="27" s="57" customFormat="1">
      <x:c r="A27" s="57">
        <x:v>28</x:v>
      </x:c>
      <x:c r="B27" s="57" t="e" cm="1">
        <x:f t="array" aca="1" ref="B27">IF(COUNTIF(INDIRECT(ADDRESS(3,1,1,1,"VCNS")&amp;":"&amp;ADDRESS(A27,18,4,1)),"*END*")&gt;0,"","VCN"&amp;"::"&amp;INDIRECT(ADDRESS(A27,3,4,1,"VCNS")))</x:f>
      </x:c>
      <x:c r="C27" s="57" t="e" cm="1">
        <x:f t="array" aca="1" ref="C27">IF(COUNTIF(INDIRECT(ADDRESS(3,1,1,1,"VCNS")&amp;":"&amp;ADDRESS(A27,1,4,1)),"*END*")&gt;0,"",INDIRECT(ADDRESS(A27,3,4,1,"VCNS")))</x:f>
      </x:c>
      <x:c r="F27" s="33" t="str">
        <x:f t="shared" si="0"/>
      </x:c>
      <x:c r="G27" s="33"/>
      <x:c r="H27" s="38">
        <x:v>26</x:v>
      </x:c>
      <x:c r="I27" s="33"/>
      <x:c r="J27" s="33"/>
      <x:c r="K27" s="58"/>
      <x:c r="L27" t="s">
        <x:v>910</x:v>
      </x:c>
      <x:c r="M27" s="58"/>
      <x:c r="N27" s="58"/>
      <x:c r="O27" s="58"/>
      <x:c r="P27" s="58" t="e" cm="1">
        <x:f t="array" aca="1" ref="P27">IF(COUNTIF(INDIRECT(ADDRESS(3,1,1,1,"DHCP")&amp;":"&amp;ADDRESS(A27,1,4,1)),"*END*")&gt;0,"",INDIRECT(ADDRESS(A27,4,4,1,"DHCP")))</x:f>
      </x:c>
      <x:c r="Q27" s="58"/>
      <x:c r="R27" s="58" t="e" cm="1">
        <x:f t="array" aca="1" ref="R27">IF(COUNTIF(INDIRECT(ADDRESS(3,1,1,1,"DRGs")&amp;":"&amp;ADDRESS(A27,1,4,1)),"*END*")&gt;0,"",INDIRECT(ADDRESS(A27,3,4,1,"DRGs")))</x:f>
      </x:c>
      <x:c r="S27" s="58"/>
      <x:c r="T27" s="58"/>
      <x:c r="U27" s="58"/>
      <x:c r="V27" s="58"/>
      <x:c r="W27" s="58"/>
      <x:c r="X27" s="58"/>
      <x:c r="Y27" s="58" t="e" cm="1">
        <x:f t="array" aca="1" ref="Y27">IF(COUNTIF(INDIRECT(ADDRESS(3,1,1,1,"DedicatedVMHosts")&amp;":"&amp;ADDRESS(A27,1,4,1)),"*END*")&gt;0,"",INDIRECT(ADDRESS(A27,3,4,1,"DedicatedVMHosts")))</x:f>
      </x:c>
      <x:c r="Z27" s="58" t="e" cm="1">
        <x:f t="array" aca="1" ref="Z27">IF(COUNTIF(INDIRECT(ADDRESS(3,1,1,1,"instances")&amp;":"&amp;ADDRESS(A27,1,4,1)),"*END*")&gt;0,"",INDIRECT(ADDRESS(A27,4,4,1,"instances")))</x:f>
      </x:c>
      <x:c r="AA27" s="58"/>
      <x:c r="AB27" s="58"/>
      <x:c r="AC27" s="58"/>
      <x:c r="AD27" s="58"/>
      <x:c r="AE27" s="58"/>
      <x:c r="AF27" s="58"/>
      <x:c r="AG27" s="58"/>
      <x:c r="AH27" s="58"/>
      <x:c r="AI27" s="58"/>
      <x:c r="AJ27" s="58" t="s">
        <x:v>911</x:v>
      </x:c>
      <x:c r="AK27" s="61"/>
      <x:c r="AL27" s="58"/>
      <x:c r="AM27" s="58"/>
      <x:c r="AN27" s="58"/>
      <x:c r="AU27" s="101" t="str">
        <x:f t="shared" si="1"/>
      </x:c>
    </x:row>
    <x:row r="28" s="57" customFormat="1">
      <x:c r="A28" s="57">
        <x:v>29</x:v>
      </x:c>
      <x:c r="B28" s="57" t="e" cm="1">
        <x:f t="array" aca="1" ref="B28">IF(COUNTIF(INDIRECT(ADDRESS(3,1,1,1,"VCNS")&amp;":"&amp;ADDRESS(A28,18,4,1)),"*END*")&gt;0,"","VCN"&amp;"::"&amp;INDIRECT(ADDRESS(A28,3,4,1,"VCNS")))</x:f>
      </x:c>
      <x:c r="C28" s="57" t="e" cm="1">
        <x:f t="array" aca="1" ref="C28">IF(COUNTIF(INDIRECT(ADDRESS(3,1,1,1,"VCNS")&amp;":"&amp;ADDRESS(A28,1,4,1)),"*END*")&gt;0,"",INDIRECT(ADDRESS(A28,3,4,1,"VCNS")))</x:f>
      </x:c>
      <x:c r="F28" s="33" t="str">
        <x:f t="shared" si="0"/>
      </x:c>
      <x:c r="G28" s="33"/>
      <x:c r="H28" s="38">
        <x:v>27</x:v>
      </x:c>
      <x:c r="I28" s="33"/>
      <x:c r="J28" s="33"/>
      <x:c r="K28" s="58"/>
      <x:c r="L28" t="s">
        <x:v>912</x:v>
      </x:c>
      <x:c r="M28" s="58"/>
      <x:c r="N28" s="58"/>
      <x:c r="O28" s="58"/>
      <x:c r="P28" s="58" t="e" cm="1">
        <x:f t="array" aca="1" ref="P28">IF(COUNTIF(INDIRECT(ADDRESS(3,1,1,1,"DHCP")&amp;":"&amp;ADDRESS(A28,1,4,1)),"*END*")&gt;0,"",INDIRECT(ADDRESS(A28,4,4,1,"DHCP")))</x:f>
      </x:c>
      <x:c r="Q28" s="58"/>
      <x:c r="R28" s="58" t="e" cm="1">
        <x:f t="array" aca="1" ref="R28">IF(COUNTIF(INDIRECT(ADDRESS(3,1,1,1,"DRGs")&amp;":"&amp;ADDRESS(A28,1,4,1)),"*END*")&gt;0,"",INDIRECT(ADDRESS(A28,3,4,1,"DRGs")))</x:f>
      </x:c>
      <x:c r="S28" s="58"/>
      <x:c r="T28" s="58"/>
      <x:c r="U28" s="58"/>
      <x:c r="V28" s="58"/>
      <x:c r="W28" s="58"/>
      <x:c r="X28" s="58"/>
      <x:c r="Y28" s="58" t="e" cm="1">
        <x:f t="array" aca="1" ref="Y28">IF(COUNTIF(INDIRECT(ADDRESS(3,1,1,1,"DedicatedVMHosts")&amp;":"&amp;ADDRESS(A28,1,4,1)),"*END*")&gt;0,"",INDIRECT(ADDRESS(A28,3,4,1,"DedicatedVMHosts")))</x:f>
      </x:c>
      <x:c r="Z28" s="58" t="e" cm="1">
        <x:f t="array" aca="1" ref="Z28">IF(COUNTIF(INDIRECT(ADDRESS(3,1,1,1,"instances")&amp;":"&amp;ADDRESS(A28,1,4,1)),"*END*")&gt;0,"",INDIRECT(ADDRESS(A28,4,4,1,"instances")))</x:f>
      </x:c>
      <x:c r="AA28" s="58"/>
      <x:c r="AB28" s="58"/>
      <x:c r="AC28" s="58"/>
      <x:c r="AD28" s="58"/>
      <x:c r="AE28" s="58"/>
      <x:c r="AF28" s="58"/>
      <x:c r="AG28" s="58"/>
      <x:c r="AH28" s="58"/>
      <x:c r="AI28" s="58"/>
      <x:c r="AJ28" s="58" t="s">
        <x:v>913</x:v>
      </x:c>
      <x:c r="AK28" s="61"/>
      <x:c r="AL28" s="58"/>
      <x:c r="AM28" s="58"/>
      <x:c r="AN28" s="58"/>
      <x:c r="AU28" s="101" t="str">
        <x:f t="shared" si="1"/>
      </x:c>
    </x:row>
    <x:row r="29" s="57" customFormat="1">
      <x:c r="A29" s="57">
        <x:v>30</x:v>
      </x:c>
      <x:c r="B29" s="57" t="e" cm="1">
        <x:f t="array" aca="1" ref="B29">IF(COUNTIF(INDIRECT(ADDRESS(3,1,1,1,"VCNS")&amp;":"&amp;ADDRESS(A29,18,4,1)),"*END*")&gt;0,"","VCN"&amp;"::"&amp;INDIRECT(ADDRESS(A29,3,4,1,"VCNS")))</x:f>
      </x:c>
      <x:c r="C29" s="57" t="e" cm="1">
        <x:f t="array" aca="1" ref="C29">IF(COUNTIF(INDIRECT(ADDRESS(3,1,1,1,"VCNS")&amp;":"&amp;ADDRESS(A29,1,4,1)),"*END*")&gt;0,"",INDIRECT(ADDRESS(A29,3,4,1,"VCNS")))</x:f>
      </x:c>
      <x:c r="F29" s="33" t="str">
        <x:f t="shared" si="0"/>
      </x:c>
      <x:c r="G29" s="33"/>
      <x:c r="H29" s="38">
        <x:v>28</x:v>
      </x:c>
      <x:c r="I29" s="33"/>
      <x:c r="J29" s="33"/>
      <x:c r="K29" s="58"/>
      <x:c r="L29" t="s">
        <x:v>914</x:v>
      </x:c>
      <x:c r="M29" s="58"/>
      <x:c r="N29" s="58"/>
      <x:c r="O29" s="58"/>
      <x:c r="P29" s="58" t="e" cm="1">
        <x:f t="array" aca="1" ref="P29">IF(COUNTIF(INDIRECT(ADDRESS(3,1,1,1,"DHCP")&amp;":"&amp;ADDRESS(A29,1,4,1)),"*END*")&gt;0,"",INDIRECT(ADDRESS(A29,4,4,1,"DHCP")))</x:f>
      </x:c>
      <x:c r="Q29" s="58"/>
      <x:c r="R29" s="58" t="e" cm="1">
        <x:f t="array" aca="1" ref="R29">IF(COUNTIF(INDIRECT(ADDRESS(3,1,1,1,"DRGs")&amp;":"&amp;ADDRESS(A29,1,4,1)),"*END*")&gt;0,"",INDIRECT(ADDRESS(A29,3,4,1,"DRGs")))</x:f>
      </x:c>
      <x:c r="S29" s="58"/>
      <x:c r="T29" s="58"/>
      <x:c r="U29" s="58"/>
      <x:c r="V29" s="58"/>
      <x:c r="W29" s="58"/>
      <x:c r="X29" s="58"/>
      <x:c r="Y29" s="58" t="e" cm="1">
        <x:f t="array" aca="1" ref="Y29">IF(COUNTIF(INDIRECT(ADDRESS(3,1,1,1,"DedicatedVMHosts")&amp;":"&amp;ADDRESS(A29,1,4,1)),"*END*")&gt;0,"",INDIRECT(ADDRESS(A29,3,4,1,"DedicatedVMHosts")))</x:f>
      </x:c>
      <x:c r="Z29" s="58" t="e" cm="1">
        <x:f t="array" aca="1" ref="Z29">IF(COUNTIF(INDIRECT(ADDRESS(3,1,1,1,"instances")&amp;":"&amp;ADDRESS(A29,1,4,1)),"*END*")&gt;0,"",INDIRECT(ADDRESS(A29,4,4,1,"instances")))</x:f>
      </x:c>
      <x:c r="AA29" s="58"/>
      <x:c r="AB29" s="58"/>
      <x:c r="AC29" s="58"/>
      <x:c r="AD29" s="58"/>
      <x:c r="AE29" s="58"/>
      <x:c r="AF29" s="58"/>
      <x:c r="AG29" s="58"/>
      <x:c r="AH29" s="58"/>
      <x:c r="AI29" s="58"/>
      <x:c r="AJ29" s="58" t="s">
        <x:v>915</x:v>
      </x:c>
      <x:c r="AK29" s="61"/>
      <x:c r="AL29" s="58"/>
      <x:c r="AM29" s="58"/>
      <x:c r="AN29" s="58"/>
      <x:c r="AU29" s="101" t="str">
        <x:f t="shared" si="1"/>
      </x:c>
    </x:row>
    <x:row r="30" s="57" customFormat="1">
      <x:c r="A30" s="57">
        <x:v>31</x:v>
      </x:c>
      <x:c r="B30" s="57" t="e" cm="1">
        <x:f t="array" aca="1" ref="B30">IF(COUNTIF(INDIRECT(ADDRESS(3,1,1,1,"VCNS")&amp;":"&amp;ADDRESS(A30,18,4,1)),"*END*")&gt;0,"","VCN"&amp;"::"&amp;INDIRECT(ADDRESS(A30,3,4,1,"VCNS")))</x:f>
      </x:c>
      <x:c r="C30" s="57" t="e" cm="1">
        <x:f t="array" aca="1" ref="C30">IF(COUNTIF(INDIRECT(ADDRESS(3,1,1,1,"VCNS")&amp;":"&amp;ADDRESS(A30,1,4,1)),"*END*")&gt;0,"",INDIRECT(ADDRESS(A30,3,4,1,"VCNS")))</x:f>
      </x:c>
      <x:c r="F30" s="33" t="str">
        <x:f t="shared" si="0"/>
      </x:c>
      <x:c r="G30" s="33"/>
      <x:c r="H30" s="38">
        <x:v>29</x:v>
      </x:c>
      <x:c r="I30" s="33"/>
      <x:c r="J30" s="33"/>
      <x:c r="K30" s="58"/>
      <x:c r="L30" t="s">
        <x:v>916</x:v>
      </x:c>
      <x:c r="M30" s="58"/>
      <x:c r="N30" s="58"/>
      <x:c r="O30" s="58"/>
      <x:c r="P30" s="58" t="e" cm="1">
        <x:f t="array" aca="1" ref="P30">IF(COUNTIF(INDIRECT(ADDRESS(3,1,1,1,"DHCP")&amp;":"&amp;ADDRESS(A30,1,4,1)),"*END*")&gt;0,"",INDIRECT(ADDRESS(A30,4,4,1,"DHCP")))</x:f>
      </x:c>
      <x:c r="Q30" s="58"/>
      <x:c r="R30" s="58" t="e" cm="1">
        <x:f t="array" aca="1" ref="R30">IF(COUNTIF(INDIRECT(ADDRESS(3,1,1,1,"DRGs")&amp;":"&amp;ADDRESS(A30,1,4,1)),"*END*")&gt;0,"",INDIRECT(ADDRESS(A30,3,4,1,"DRGs")))</x:f>
      </x:c>
      <x:c r="S30" s="58"/>
      <x:c r="T30" s="58"/>
      <x:c r="U30" s="58"/>
      <x:c r="V30" s="58"/>
      <x:c r="W30" s="58"/>
      <x:c r="X30" s="58"/>
      <x:c r="Y30" s="58" t="e" cm="1">
        <x:f t="array" aca="1" ref="Y30">IF(COUNTIF(INDIRECT(ADDRESS(3,1,1,1,"DedicatedVMHosts")&amp;":"&amp;ADDRESS(A30,1,4,1)),"*END*")&gt;0,"",INDIRECT(ADDRESS(A30,3,4,1,"DedicatedVMHosts")))</x:f>
      </x:c>
      <x:c r="Z30" s="58" t="e" cm="1">
        <x:f t="array" aca="1" ref="Z30">IF(COUNTIF(INDIRECT(ADDRESS(3,1,1,1,"instances")&amp;":"&amp;ADDRESS(A30,1,4,1)),"*END*")&gt;0,"",INDIRECT(ADDRESS(A30,4,4,1,"instances")))</x:f>
      </x:c>
      <x:c r="AA30" s="58"/>
      <x:c r="AB30" s="58"/>
      <x:c r="AC30" s="58"/>
      <x:c r="AD30" s="58"/>
      <x:c r="AE30" s="58"/>
      <x:c r="AF30" s="58"/>
      <x:c r="AG30" s="58"/>
      <x:c r="AH30" s="58"/>
      <x:c r="AI30" s="58"/>
      <x:c r="AJ30" s="58" t="s">
        <x:v>917</x:v>
      </x:c>
      <x:c r="AK30" s="61"/>
      <x:c r="AL30" s="58"/>
      <x:c r="AM30" s="58"/>
      <x:c r="AN30" s="58"/>
      <x:c r="AU30" s="101" t="str">
        <x:f t="shared" si="1"/>
      </x:c>
    </x:row>
    <x:row r="31" s="57" customFormat="1">
      <x:c r="A31" s="57">
        <x:v>32</x:v>
      </x:c>
      <x:c r="B31" s="57" t="e" cm="1">
        <x:f t="array" aca="1" ref="B31">IF(COUNTIF(INDIRECT(ADDRESS(3,1,1,1,"VCNS")&amp;":"&amp;ADDRESS(A31,18,4,1)),"*END*")&gt;0,"","VCN"&amp;"::"&amp;INDIRECT(ADDRESS(A31,3,4,1,"VCNS")))</x:f>
      </x:c>
      <x:c r="C31" s="57" t="e" cm="1">
        <x:f t="array" aca="1" ref="C31">IF(COUNTIF(INDIRECT(ADDRESS(3,1,1,1,"VCNS")&amp;":"&amp;ADDRESS(A31,1,4,1)),"*END*")&gt;0,"",INDIRECT(ADDRESS(A31,3,4,1,"VCNS")))</x:f>
      </x:c>
      <x:c r="F31" s="33" t="str">
        <x:f t="shared" si="0"/>
      </x:c>
      <x:c r="G31" s="33"/>
      <x:c r="H31" s="38">
        <x:v>30</x:v>
      </x:c>
      <x:c r="I31" s="33"/>
      <x:c r="J31" s="33"/>
      <x:c r="K31" s="58"/>
      <x:c r="L31" t="s">
        <x:v>918</x:v>
      </x:c>
      <x:c r="M31" s="58"/>
      <x:c r="N31" s="58"/>
      <x:c r="O31" s="58"/>
      <x:c r="P31" s="58" t="e" cm="1">
        <x:f t="array" aca="1" ref="P31">IF(COUNTIF(INDIRECT(ADDRESS(3,1,1,1,"DHCP")&amp;":"&amp;ADDRESS(A31,1,4,1)),"*END*")&gt;0,"",INDIRECT(ADDRESS(A31,4,4,1,"DHCP")))</x:f>
      </x:c>
      <x:c r="Q31" s="58"/>
      <x:c r="R31" s="58" t="e" cm="1">
        <x:f t="array" aca="1" ref="R31">IF(COUNTIF(INDIRECT(ADDRESS(3,1,1,1,"DRGs")&amp;":"&amp;ADDRESS(A31,1,4,1)),"*END*")&gt;0,"",INDIRECT(ADDRESS(A31,3,4,1,"DRGs")))</x:f>
      </x:c>
      <x:c r="S31" s="58"/>
      <x:c r="T31" s="58"/>
      <x:c r="U31" s="58"/>
      <x:c r="V31" s="58"/>
      <x:c r="W31" s="58"/>
      <x:c r="X31" s="58"/>
      <x:c r="Y31" s="58" t="e" cm="1">
        <x:f t="array" aca="1" ref="Y31">IF(COUNTIF(INDIRECT(ADDRESS(3,1,1,1,"DedicatedVMHosts")&amp;":"&amp;ADDRESS(A31,1,4,1)),"*END*")&gt;0,"",INDIRECT(ADDRESS(A31,3,4,1,"DedicatedVMHosts")))</x:f>
      </x:c>
      <x:c r="Z31" s="58" t="e" cm="1">
        <x:f t="array" aca="1" ref="Z31">IF(COUNTIF(INDIRECT(ADDRESS(3,1,1,1,"instances")&amp;":"&amp;ADDRESS(A31,1,4,1)),"*END*")&gt;0,"",INDIRECT(ADDRESS(A31,4,4,1,"instances")))</x:f>
      </x:c>
      <x:c r="AA31" s="58"/>
      <x:c r="AB31" s="58"/>
      <x:c r="AC31" s="58"/>
      <x:c r="AD31" s="58"/>
      <x:c r="AE31" s="58"/>
      <x:c r="AF31" s="58"/>
      <x:c r="AG31" s="58"/>
      <x:c r="AH31" s="58"/>
      <x:c r="AI31" s="58"/>
      <x:c r="AJ31" s="58" t="s">
        <x:v>919</x:v>
      </x:c>
      <x:c r="AK31" s="61"/>
      <x:c r="AL31" s="58"/>
      <x:c r="AM31" s="58"/>
      <x:c r="AN31" s="58"/>
      <x:c r="AU31" s="101" t="str">
        <x:f t="shared" si="1"/>
      </x:c>
    </x:row>
    <x:row r="32" s="57" customFormat="1">
      <x:c r="A32" s="57">
        <x:v>33</x:v>
      </x:c>
      <x:c r="B32" s="57" t="e" cm="1">
        <x:f t="array" aca="1" ref="B32">IF(COUNTIF(INDIRECT(ADDRESS(3,1,1,1,"VCNS")&amp;":"&amp;ADDRESS(A32,18,4,1)),"*END*")&gt;0,"","VCN"&amp;"::"&amp;INDIRECT(ADDRESS(A32,3,4,1,"VCNS")))</x:f>
      </x:c>
      <x:c r="C32" s="57" t="e" cm="1">
        <x:f t="array" aca="1" ref="C32">IF(COUNTIF(INDIRECT(ADDRESS(3,1,1,1,"VCNS")&amp;":"&amp;ADDRESS(A32,1,4,1)),"*END*")&gt;0,"",INDIRECT(ADDRESS(A32,3,4,1,"VCNS")))</x:f>
      </x:c>
      <x:c r="F32" s="33" t="str">
        <x:f t="shared" si="0"/>
      </x:c>
      <x:c r="G32" s="33"/>
      <x:c r="H32" s="38">
        <x:v>31</x:v>
      </x:c>
      <x:c r="I32" s="33"/>
      <x:c r="J32" s="33"/>
      <x:c r="K32" s="58"/>
      <x:c r="L32" t="s">
        <x:v>920</x:v>
      </x:c>
      <x:c r="M32" s="58"/>
      <x:c r="N32" s="58"/>
      <x:c r="O32" s="58"/>
      <x:c r="P32" s="58" t="e" cm="1">
        <x:f t="array" aca="1" ref="P32">IF(COUNTIF(INDIRECT(ADDRESS(3,1,1,1,"DHCP")&amp;":"&amp;ADDRESS(A32,1,4,1)),"*END*")&gt;0,"",INDIRECT(ADDRESS(A32,4,4,1,"DHCP")))</x:f>
      </x:c>
      <x:c r="Q32" s="58"/>
      <x:c r="R32" s="58" t="e" cm="1">
        <x:f t="array" aca="1" ref="R32">IF(COUNTIF(INDIRECT(ADDRESS(3,1,1,1,"DRGs")&amp;":"&amp;ADDRESS(A32,1,4,1)),"*END*")&gt;0,"",INDIRECT(ADDRESS(A32,3,4,1,"DRGs")))</x:f>
      </x:c>
      <x:c r="S32" s="58"/>
      <x:c r="T32" s="58"/>
      <x:c r="U32" s="58"/>
      <x:c r="V32" s="58"/>
      <x:c r="W32" s="58"/>
      <x:c r="X32" s="58"/>
      <x:c r="Y32" s="58" t="e" cm="1">
        <x:f t="array" aca="1" ref="Y32">IF(COUNTIF(INDIRECT(ADDRESS(3,1,1,1,"DedicatedVMHosts")&amp;":"&amp;ADDRESS(A32,1,4,1)),"*END*")&gt;0,"",INDIRECT(ADDRESS(A32,3,4,1,"DedicatedVMHosts")))</x:f>
      </x:c>
      <x:c r="Z32" s="58" t="e" cm="1">
        <x:f t="array" aca="1" ref="Z32">IF(COUNTIF(INDIRECT(ADDRESS(3,1,1,1,"instances")&amp;":"&amp;ADDRESS(A32,1,4,1)),"*END*")&gt;0,"",INDIRECT(ADDRESS(A32,4,4,1,"instances")))</x:f>
      </x:c>
      <x:c r="AA32" s="58"/>
      <x:c r="AB32" s="58"/>
      <x:c r="AC32" s="58"/>
      <x:c r="AD32" s="58"/>
      <x:c r="AE32" s="58"/>
      <x:c r="AF32" s="58"/>
      <x:c r="AG32" s="58"/>
      <x:c r="AH32" s="58"/>
      <x:c r="AI32" s="58"/>
      <x:c r="AJ32" s="58" t="s">
        <x:v>921</x:v>
      </x:c>
      <x:c r="AK32" s="61"/>
      <x:c r="AL32" s="58"/>
      <x:c r="AM32" s="58"/>
      <x:c r="AN32" s="58"/>
      <x:c r="AU32" s="101" t="str">
        <x:f t="shared" si="1"/>
      </x:c>
    </x:row>
    <x:row r="33" s="57" customFormat="1">
      <x:c r="A33" s="57">
        <x:v>34</x:v>
      </x:c>
      <x:c r="B33" s="57" t="e" cm="1">
        <x:f t="array" aca="1" ref="B33">IF(COUNTIF(INDIRECT(ADDRESS(3,1,1,1,"VCNS")&amp;":"&amp;ADDRESS(A33,18,4,1)),"*END*")&gt;0,"","VCN"&amp;"::"&amp;INDIRECT(ADDRESS(A33,3,4,1,"VCNS")))</x:f>
      </x:c>
      <x:c r="C33" s="57" t="e" cm="1">
        <x:f t="array" aca="1" ref="C33">IF(COUNTIF(INDIRECT(ADDRESS(3,1,1,1,"VCNS")&amp;":"&amp;ADDRESS(A33,1,4,1)),"*END*")&gt;0,"",INDIRECT(ADDRESS(A33,3,4,1,"VCNS")))</x:f>
      </x:c>
      <x:c r="F33" s="33" t="str">
        <x:f t="shared" si="0"/>
      </x:c>
      <x:c r="G33" s="33"/>
      <x:c r="H33" s="38">
        <x:v>32</x:v>
      </x:c>
      <x:c r="I33" s="33"/>
      <x:c r="J33" s="33"/>
      <x:c r="K33" s="58"/>
      <x:c r="L33" t="s">
        <x:v>922</x:v>
      </x:c>
      <x:c r="M33" s="58"/>
      <x:c r="N33" s="58"/>
      <x:c r="O33" s="58"/>
      <x:c r="P33" s="58" t="e" cm="1">
        <x:f t="array" aca="1" ref="P33">IF(COUNTIF(INDIRECT(ADDRESS(3,1,1,1,"DHCP")&amp;":"&amp;ADDRESS(A33,1,4,1)),"*END*")&gt;0,"",INDIRECT(ADDRESS(A33,4,4,1,"DHCP")))</x:f>
      </x:c>
      <x:c r="Q33" s="58"/>
      <x:c r="R33" s="58" t="e" cm="1">
        <x:f t="array" aca="1" ref="R33">IF(COUNTIF(INDIRECT(ADDRESS(3,1,1,1,"DRGs")&amp;":"&amp;ADDRESS(A33,1,4,1)),"*END*")&gt;0,"",INDIRECT(ADDRESS(A33,3,4,1,"DRGs")))</x:f>
      </x:c>
      <x:c r="S33" s="58"/>
      <x:c r="T33" s="58"/>
      <x:c r="U33" s="58"/>
      <x:c r="V33" s="58"/>
      <x:c r="W33" s="58"/>
      <x:c r="X33" s="58"/>
      <x:c r="Y33" s="58" t="e" cm="1">
        <x:f t="array" aca="1" ref="Y33">IF(COUNTIF(INDIRECT(ADDRESS(3,1,1,1,"DedicatedVMHosts")&amp;":"&amp;ADDRESS(A33,1,4,1)),"*END*")&gt;0,"",INDIRECT(ADDRESS(A33,3,4,1,"DedicatedVMHosts")))</x:f>
      </x:c>
      <x:c r="Z33" s="58" t="e" cm="1">
        <x:f t="array" aca="1" ref="Z33">IF(COUNTIF(INDIRECT(ADDRESS(3,1,1,1,"instances")&amp;":"&amp;ADDRESS(A33,1,4,1)),"*END*")&gt;0,"",INDIRECT(ADDRESS(A33,4,4,1,"instances")))</x:f>
      </x:c>
      <x:c r="AA33" s="58"/>
      <x:c r="AB33" s="58"/>
      <x:c r="AC33" s="58"/>
      <x:c r="AD33" s="58"/>
      <x:c r="AE33" s="58"/>
      <x:c r="AF33" s="58"/>
      <x:c r="AG33" s="58"/>
      <x:c r="AH33" s="58"/>
      <x:c r="AI33" s="58"/>
      <x:c r="AJ33" s="58" t="s">
        <x:v>923</x:v>
      </x:c>
      <x:c r="AK33" s="61"/>
      <x:c r="AL33" s="58"/>
      <x:c r="AM33" s="58"/>
      <x:c r="AN33" s="58"/>
      <x:c r="AU33" s="101" t="str">
        <x:f t="shared" si="1"/>
      </x:c>
    </x:row>
    <x:row r="34" s="57" customFormat="1">
      <x:c r="A34" s="57">
        <x:v>35</x:v>
      </x:c>
      <x:c r="B34" s="57" t="e" cm="1">
        <x:f t="array" aca="1" ref="B34">IF(COUNTIF(INDIRECT(ADDRESS(3,1,1,1,"VCNS")&amp;":"&amp;ADDRESS(A34,18,4,1)),"*END*")&gt;0,"","VCN"&amp;"::"&amp;INDIRECT(ADDRESS(A34,3,4,1,"VCNS")))</x:f>
      </x:c>
      <x:c r="C34" s="57" t="e" cm="1">
        <x:f t="array" aca="1" ref="C34">IF(COUNTIF(INDIRECT(ADDRESS(3,1,1,1,"VCNS")&amp;":"&amp;ADDRESS(A34,1,4,1)),"*END*")&gt;0,"",INDIRECT(ADDRESS(A34,3,4,1,"VCNS")))</x:f>
      </x:c>
      <x:c r="F34" s="33" t="str">
        <x:f t="shared" si="0"/>
      </x:c>
      <x:c r="G34" s="33"/>
      <x:c r="H34" s="38">
        <x:v>33</x:v>
      </x:c>
      <x:c r="I34" s="33"/>
      <x:c r="J34" s="33"/>
      <x:c r="K34" s="58"/>
      <x:c r="L34" t="s">
        <x:v>924</x:v>
      </x:c>
      <x:c r="M34" s="58"/>
      <x:c r="N34" s="58"/>
      <x:c r="O34" s="58"/>
      <x:c r="P34" s="58" t="e" cm="1">
        <x:f t="array" aca="1" ref="P34">IF(COUNTIF(INDIRECT(ADDRESS(3,1,1,1,"DHCP")&amp;":"&amp;ADDRESS(A34,1,4,1)),"*END*")&gt;0,"",INDIRECT(ADDRESS(A34,4,4,1,"DHCP")))</x:f>
      </x:c>
      <x:c r="Q34" s="58"/>
      <x:c r="R34" s="58" t="e" cm="1">
        <x:f t="array" aca="1" ref="R34">IF(COUNTIF(INDIRECT(ADDRESS(3,1,1,1,"DRGs")&amp;":"&amp;ADDRESS(A34,1,4,1)),"*END*")&gt;0,"",INDIRECT(ADDRESS(A34,3,4,1,"DRGs")))</x:f>
      </x:c>
      <x:c r="S34" s="58"/>
      <x:c r="T34" s="58"/>
      <x:c r="U34" s="58"/>
      <x:c r="V34" s="58"/>
      <x:c r="W34" s="58"/>
      <x:c r="X34" s="58"/>
      <x:c r="Y34" s="58" t="e" cm="1">
        <x:f t="array" aca="1" ref="Y34">IF(COUNTIF(INDIRECT(ADDRESS(3,1,1,1,"DedicatedVMHosts")&amp;":"&amp;ADDRESS(A34,1,4,1)),"*END*")&gt;0,"",INDIRECT(ADDRESS(A34,3,4,1,"DedicatedVMHosts")))</x:f>
      </x:c>
      <x:c r="Z34" s="58" t="e" cm="1">
        <x:f t="array" aca="1" ref="Z34">IF(COUNTIF(INDIRECT(ADDRESS(3,1,1,1,"instances")&amp;":"&amp;ADDRESS(A34,1,4,1)),"*END*")&gt;0,"",INDIRECT(ADDRESS(A34,4,4,1,"instances")))</x:f>
      </x:c>
      <x:c r="AA34" s="58"/>
      <x:c r="AB34" s="58"/>
      <x:c r="AC34" s="58"/>
      <x:c r="AD34" s="58"/>
      <x:c r="AE34" s="58"/>
      <x:c r="AF34" s="58"/>
      <x:c r="AG34" s="58"/>
      <x:c r="AH34" s="58"/>
      <x:c r="AI34" s="58"/>
      <x:c r="AJ34" s="58" t="s">
        <x:v>925</x:v>
      </x:c>
      <x:c r="AK34" s="61"/>
      <x:c r="AL34" s="58"/>
      <x:c r="AM34" s="58"/>
      <x:c r="AN34" s="58"/>
      <x:c r="AU34" s="101" t="str">
        <x:f t="shared" si="1"/>
      </x:c>
    </x:row>
    <x:row r="35" s="57" customFormat="1">
      <x:c r="F35" s="33"/>
      <x:c r="G35" s="33"/>
      <x:c r="H35" s="38"/>
      <x:c r="I35" s="33"/>
      <x:c r="J35" s="33"/>
      <x:c r="K35" s="58"/>
      <x:c r="L35" t="s">
        <x:v>926</x:v>
      </x:c>
      <x:c r="M35" s="58"/>
      <x:c r="N35" s="58"/>
      <x:c r="O35" s="58"/>
      <x:c r="P35" s="58"/>
      <x:c r="Q35" s="58"/>
      <x:c r="R35" s="58"/>
      <x:c r="S35" s="58"/>
      <x:c r="T35" s="58"/>
      <x:c r="U35" s="58"/>
      <x:c r="V35" s="58"/>
      <x:c r="W35" s="58"/>
      <x:c r="X35" s="58"/>
      <x:c r="Y35" s="58"/>
      <x:c r="Z35" s="58"/>
      <x:c r="AA35" s="58"/>
      <x:c r="AB35" s="58"/>
      <x:c r="AC35" s="58"/>
      <x:c r="AD35" s="58"/>
      <x:c r="AE35" s="58"/>
      <x:c r="AF35" s="58"/>
      <x:c r="AG35" s="58"/>
      <x:c r="AH35" s="58"/>
      <x:c r="AI35" s="58"/>
      <x:c r="AJ35" s="58"/>
      <x:c r="AK35" s="61"/>
      <x:c r="AL35" s="58"/>
      <x:c r="AM35" s="58"/>
      <x:c r="AN35" s="58"/>
      <x:c r="AU35" s="101"/>
    </x:row>
    <x:row r="36" s="57" customFormat="1">
      <x:c r="A36" s="57">
        <x:v>36</x:v>
      </x:c>
      <x:c r="B36" s="57" t="e" cm="1">
        <x:f t="array" aca="1" ref="B36">IF(COUNTIF(INDIRECT(ADDRESS(3,1,1,1,"VCNS")&amp;":"&amp;ADDRESS(A36,18,4,1)),"*END*")&gt;0,"","VCN"&amp;"::"&amp;INDIRECT(ADDRESS(A36,3,4,1,"VCNS")))</x:f>
      </x:c>
      <x:c r="C36" s="57" t="e" cm="1">
        <x:f t="array" aca="1" ref="C36">IF(COUNTIF(INDIRECT(ADDRESS(3,1,1,1,"VCNS")&amp;":"&amp;ADDRESS(A36,1,4,1)),"*END*")&gt;0,"",INDIRECT(ADDRESS(A36,3,4,1,"VCNS")))</x:f>
      </x:c>
      <x:c r="F36" s="33" t="str">
        <x:f t="shared" si="0"/>
      </x:c>
      <x:c r="G36" s="33"/>
      <x:c r="H36" s="38">
        <x:v>34</x:v>
      </x:c>
      <x:c r="I36" s="33"/>
      <x:c r="J36" s="33"/>
      <x:c r="K36" s="58"/>
      <x:c r="L36" t="s">
        <x:v>927</x:v>
      </x:c>
      <x:c r="M36" s="58"/>
      <x:c r="N36" s="58"/>
      <x:c r="O36" s="58"/>
      <x:c r="P36" s="58" t="e" cm="1">
        <x:f t="array" aca="1" ref="P36">IF(COUNTIF(INDIRECT(ADDRESS(3,1,1,1,"DHCP")&amp;":"&amp;ADDRESS(A36,1,4,1)),"*END*")&gt;0,"",INDIRECT(ADDRESS(A36,4,4,1,"DHCP")))</x:f>
      </x:c>
      <x:c r="Q36" s="58"/>
      <x:c r="R36" s="58" t="e" cm="1">
        <x:f t="array" aca="1" ref="R36">IF(COUNTIF(INDIRECT(ADDRESS(3,1,1,1,"DRGs")&amp;":"&amp;ADDRESS(A36,1,4,1)),"*END*")&gt;0,"",INDIRECT(ADDRESS(A36,3,4,1,"DRGs")))</x:f>
      </x:c>
      <x:c r="S36" s="58"/>
      <x:c r="T36" s="58"/>
      <x:c r="U36" s="58"/>
      <x:c r="V36" s="58"/>
      <x:c r="W36" s="58"/>
      <x:c r="X36" s="58"/>
      <x:c r="Y36" s="58" t="e" cm="1">
        <x:f t="array" aca="1" ref="Y36">IF(COUNTIF(INDIRECT(ADDRESS(3,1,1,1,"DedicatedVMHosts")&amp;":"&amp;ADDRESS(A36,1,4,1)),"*END*")&gt;0,"",INDIRECT(ADDRESS(A36,3,4,1,"DedicatedVMHosts")))</x:f>
      </x:c>
      <x:c r="Z36" s="58" t="e" cm="1">
        <x:f t="array" aca="1" ref="Z36">IF(COUNTIF(INDIRECT(ADDRESS(3,1,1,1,"instances")&amp;":"&amp;ADDRESS(A36,1,4,1)),"*END*")&gt;0,"",INDIRECT(ADDRESS(A36,4,4,1,"instances")))</x:f>
      </x:c>
      <x:c r="AA36" s="58"/>
      <x:c r="AB36" s="58"/>
      <x:c r="AC36" s="58"/>
      <x:c r="AD36" s="58"/>
      <x:c r="AE36" s="58"/>
      <x:c r="AF36" s="58"/>
      <x:c r="AG36" s="58"/>
      <x:c r="AH36" s="58"/>
      <x:c r="AI36" s="58"/>
      <x:c r="AJ36" s="58" t="s">
        <x:v>928</x:v>
      </x:c>
      <x:c r="AK36" s="61"/>
      <x:c r="AL36" s="58"/>
      <x:c r="AM36" s="58"/>
      <x:c r="AN36" s="58"/>
      <x:c r="AU36" s="101" t="str">
        <x:f t="shared" si="1"/>
      </x:c>
    </x:row>
    <x:row r="37" s="57" customFormat="1">
      <x:c r="A37" s="57">
        <x:v>37</x:v>
      </x:c>
      <x:c r="B37" s="57" t="e" cm="1">
        <x:f t="array" aca="1" ref="B37">IF(COUNTIF(INDIRECT(ADDRESS(3,1,1,1,"VCNS")&amp;":"&amp;ADDRESS(A37,18,4,1)),"*END*")&gt;0,"","VCN"&amp;"::"&amp;INDIRECT(ADDRESS(A37,3,4,1,"VCNS")))</x:f>
      </x:c>
      <x:c r="C37" s="57" t="e" cm="1">
        <x:f t="array" aca="1" ref="C37">IF(COUNTIF(INDIRECT(ADDRESS(3,1,1,1,"VCNS")&amp;":"&amp;ADDRESS(A37,1,4,1)),"*END*")&gt;0,"",INDIRECT(ADDRESS(A37,3,4,1,"VCNS")))</x:f>
      </x:c>
      <x:c r="F37" s="33" t="str">
        <x:f t="shared" si="0"/>
      </x:c>
      <x:c r="G37" s="33"/>
      <x:c r="H37" s="38">
        <x:v>35</x:v>
      </x:c>
      <x:c r="I37" s="33"/>
      <x:c r="J37" s="33"/>
      <x:c r="K37" s="58"/>
      <x:c r="L37" t="s">
        <x:v>929</x:v>
      </x:c>
      <x:c r="M37" s="58"/>
      <x:c r="N37" s="58"/>
      <x:c r="O37" s="58"/>
      <x:c r="P37" s="58" t="e" cm="1">
        <x:f t="array" aca="1" ref="P37">IF(COUNTIF(INDIRECT(ADDRESS(3,1,1,1,"DHCP")&amp;":"&amp;ADDRESS(A37,1,4,1)),"*END*")&gt;0,"",INDIRECT(ADDRESS(A37,4,4,1,"DHCP")))</x:f>
      </x:c>
      <x:c r="Q37" s="58"/>
      <x:c r="R37" s="58" t="e" cm="1">
        <x:f t="array" aca="1" ref="R37">IF(COUNTIF(INDIRECT(ADDRESS(3,1,1,1,"DRGs")&amp;":"&amp;ADDRESS(A37,1,4,1)),"*END*")&gt;0,"",INDIRECT(ADDRESS(A37,3,4,1,"DRGs")))</x:f>
      </x:c>
      <x:c r="S37" s="58"/>
      <x:c r="T37" s="58"/>
      <x:c r="U37" s="58"/>
      <x:c r="V37" s="58"/>
      <x:c r="W37" s="58"/>
      <x:c r="X37" s="58"/>
      <x:c r="Y37" s="58" t="e" cm="1">
        <x:f t="array" aca="1" ref="Y37">IF(COUNTIF(INDIRECT(ADDRESS(3,1,1,1,"DedicatedVMHosts")&amp;":"&amp;ADDRESS(A37,1,4,1)),"*END*")&gt;0,"",INDIRECT(ADDRESS(A37,3,4,1,"DedicatedVMHosts")))</x:f>
      </x:c>
      <x:c r="Z37" s="58" t="e" cm="1">
        <x:f t="array" aca="1" ref="Z37">IF(COUNTIF(INDIRECT(ADDRESS(3,1,1,1,"instances")&amp;":"&amp;ADDRESS(A37,1,4,1)),"*END*")&gt;0,"",INDIRECT(ADDRESS(A37,4,4,1,"instances")))</x:f>
      </x:c>
      <x:c r="AA37" s="58"/>
      <x:c r="AB37" s="58"/>
      <x:c r="AC37" s="58"/>
      <x:c r="AD37" s="58"/>
      <x:c r="AE37" s="58"/>
      <x:c r="AF37" s="58"/>
      <x:c r="AG37" s="58"/>
      <x:c r="AH37" s="58"/>
      <x:c r="AI37" s="58"/>
      <x:c r="AJ37" s="58" t="s">
        <x:v>930</x:v>
      </x:c>
      <x:c r="AK37" s="61"/>
      <x:c r="AL37" s="58"/>
      <x:c r="AM37" s="58"/>
      <x:c r="AN37" s="58"/>
      <x:c r="AU37" s="101" t="str">
        <x:f t="shared" si="1"/>
      </x:c>
    </x:row>
    <x:row r="38" s="57" customFormat="1">
      <x:c r="A38" s="57">
        <x:v>38</x:v>
      </x:c>
      <x:c r="B38" s="57" t="e" cm="1">
        <x:f t="array" aca="1" ref="B38">IF(COUNTIF(INDIRECT(ADDRESS(3,1,1,1,"VCNS")&amp;":"&amp;ADDRESS(A38,18,4,1)),"*END*")&gt;0,"","VCN"&amp;"::"&amp;INDIRECT(ADDRESS(A38,3,4,1,"VCNS")))</x:f>
      </x:c>
      <x:c r="C38" s="57" t="e" cm="1">
        <x:f t="array" aca="1" ref="C38">IF(COUNTIF(INDIRECT(ADDRESS(3,1,1,1,"VCNS")&amp;":"&amp;ADDRESS(A38,1,4,1)),"*END*")&gt;0,"",INDIRECT(ADDRESS(A38,3,4,1,"VCNS")))</x:f>
      </x:c>
      <x:c r="F38" s="33" t="str">
        <x:f t="shared" si="0"/>
      </x:c>
      <x:c r="G38" s="33"/>
      <x:c r="H38" s="38">
        <x:v>36</x:v>
      </x:c>
      <x:c r="I38" s="33"/>
      <x:c r="J38" s="33"/>
      <x:c r="K38" s="58"/>
      <x:c r="L38" t="s">
        <x:v>931</x:v>
      </x:c>
      <x:c r="M38" s="58"/>
      <x:c r="N38" s="58"/>
      <x:c r="O38" s="58"/>
      <x:c r="P38" s="58" t="e" cm="1">
        <x:f t="array" aca="1" ref="P38">IF(COUNTIF(INDIRECT(ADDRESS(3,1,1,1,"DHCP")&amp;":"&amp;ADDRESS(A38,1,4,1)),"*END*")&gt;0,"",INDIRECT(ADDRESS(A38,4,4,1,"DHCP")))</x:f>
      </x:c>
      <x:c r="Q38" s="58"/>
      <x:c r="R38" s="58" t="e" cm="1">
        <x:f t="array" aca="1" ref="R38">IF(COUNTIF(INDIRECT(ADDRESS(3,1,1,1,"DRGs")&amp;":"&amp;ADDRESS(A38,1,4,1)),"*END*")&gt;0,"",INDIRECT(ADDRESS(A38,3,4,1,"DRGs")))</x:f>
      </x:c>
      <x:c r="S38" s="58"/>
      <x:c r="T38" s="58"/>
      <x:c r="U38" s="58"/>
      <x:c r="V38" s="58"/>
      <x:c r="W38" s="58"/>
      <x:c r="X38" s="58"/>
      <x:c r="Y38" s="58" t="e" cm="1">
        <x:f t="array" aca="1" ref="Y38">IF(COUNTIF(INDIRECT(ADDRESS(3,1,1,1,"DedicatedVMHosts")&amp;":"&amp;ADDRESS(A38,1,4,1)),"*END*")&gt;0,"",INDIRECT(ADDRESS(A38,3,4,1,"DedicatedVMHosts")))</x:f>
      </x:c>
      <x:c r="Z38" s="58" t="e" cm="1">
        <x:f t="array" aca="1" ref="Z38">IF(COUNTIF(INDIRECT(ADDRESS(3,1,1,1,"instances")&amp;":"&amp;ADDRESS(A38,1,4,1)),"*END*")&gt;0,"",INDIRECT(ADDRESS(A38,4,4,1,"instances")))</x:f>
      </x:c>
      <x:c r="AA38" s="58"/>
      <x:c r="AB38" s="58"/>
      <x:c r="AC38" s="58"/>
      <x:c r="AD38" s="58"/>
      <x:c r="AE38" s="58"/>
      <x:c r="AF38" s="58"/>
      <x:c r="AG38" s="58"/>
      <x:c r="AH38" s="58"/>
      <x:c r="AI38" s="58"/>
      <x:c r="AJ38" s="58" t="s">
        <x:v>932</x:v>
      </x:c>
      <x:c r="AK38" s="61"/>
      <x:c r="AL38" s="58"/>
      <x:c r="AM38" s="58"/>
      <x:c r="AN38" s="58"/>
      <x:c r="AU38" s="101" t="str">
        <x:f t="shared" si="1"/>
      </x:c>
    </x:row>
    <x:row r="39" s="57" customFormat="1">
      <x:c r="A39" s="57">
        <x:v>39</x:v>
      </x:c>
      <x:c r="B39" s="57" t="e" cm="1">
        <x:f t="array" aca="1" ref="B39">IF(COUNTIF(INDIRECT(ADDRESS(3,1,1,1,"VCNS")&amp;":"&amp;ADDRESS(A39,18,4,1)),"*END*")&gt;0,"","VCN"&amp;"::"&amp;INDIRECT(ADDRESS(A39,3,4,1,"VCNS")))</x:f>
      </x:c>
      <x:c r="C39" s="57" t="e" cm="1">
        <x:f t="array" aca="1" ref="C39">IF(COUNTIF(INDIRECT(ADDRESS(3,1,1,1,"VCNS")&amp;":"&amp;ADDRESS(A39,1,4,1)),"*END*")&gt;0,"",INDIRECT(ADDRESS(A39,3,4,1,"VCNS")))</x:f>
      </x:c>
      <x:c r="F39" s="33" t="str">
        <x:f t="shared" si="0"/>
      </x:c>
      <x:c r="G39" s="33"/>
      <x:c r="H39" s="38">
        <x:v>37</x:v>
      </x:c>
      <x:c r="I39" s="33"/>
      <x:c r="J39" s="33"/>
      <x:c r="K39" s="58"/>
      <x:c r="L39" t="s">
        <x:v>933</x:v>
      </x:c>
      <x:c r="M39" s="58"/>
      <x:c r="N39" s="58"/>
      <x:c r="O39" s="58"/>
      <x:c r="P39" s="58" t="e" cm="1">
        <x:f t="array" aca="1" ref="P39">IF(COUNTIF(INDIRECT(ADDRESS(3,1,1,1,"DHCP")&amp;":"&amp;ADDRESS(A39,1,4,1)),"*END*")&gt;0,"",INDIRECT(ADDRESS(A39,4,4,1,"DHCP")))</x:f>
      </x:c>
      <x:c r="Q39" s="58"/>
      <x:c r="R39" s="58" t="e" cm="1">
        <x:f t="array" aca="1" ref="R39">IF(COUNTIF(INDIRECT(ADDRESS(3,1,1,1,"DRGs")&amp;":"&amp;ADDRESS(A39,1,4,1)),"*END*")&gt;0,"",INDIRECT(ADDRESS(A39,3,4,1,"DRGs")))</x:f>
      </x:c>
      <x:c r="S39" s="58"/>
      <x:c r="T39" s="58"/>
      <x:c r="U39" s="58"/>
      <x:c r="V39" s="58"/>
      <x:c r="W39" s="58"/>
      <x:c r="X39" s="58"/>
      <x:c r="Y39" s="58" t="e" cm="1">
        <x:f t="array" aca="1" ref="Y39">IF(COUNTIF(INDIRECT(ADDRESS(3,1,1,1,"DedicatedVMHosts")&amp;":"&amp;ADDRESS(A39,1,4,1)),"*END*")&gt;0,"",INDIRECT(ADDRESS(A39,3,4,1,"DedicatedVMHosts")))</x:f>
      </x:c>
      <x:c r="Z39" s="58" t="e" cm="1">
        <x:f t="array" aca="1" ref="Z39">IF(COUNTIF(INDIRECT(ADDRESS(3,1,1,1,"instances")&amp;":"&amp;ADDRESS(A39,1,4,1)),"*END*")&gt;0,"",INDIRECT(ADDRESS(A39,4,4,1,"instances")))</x:f>
      </x:c>
      <x:c r="AA39" s="58"/>
      <x:c r="AB39" s="58"/>
      <x:c r="AC39" s="58"/>
      <x:c r="AD39" s="58"/>
      <x:c r="AE39" s="58"/>
      <x:c r="AF39" s="58"/>
      <x:c r="AG39" s="58"/>
      <x:c r="AH39" s="58"/>
      <x:c r="AI39" s="58"/>
      <x:c r="AJ39" s="58" t="s">
        <x:v>934</x:v>
      </x:c>
      <x:c r="AK39" s="61"/>
      <x:c r="AL39" s="58"/>
      <x:c r="AM39" s="58"/>
      <x:c r="AN39" s="58"/>
      <x:c r="AU39" s="101" t="str">
        <x:f t="shared" si="1"/>
      </x:c>
    </x:row>
    <x:row r="40" s="57" customFormat="1">
      <x:c r="A40" s="57">
        <x:v>40</x:v>
      </x:c>
      <x:c r="B40" s="57" t="e" cm="1">
        <x:f t="array" aca="1" ref="B40">IF(COUNTIF(INDIRECT(ADDRESS(3,1,1,1,"VCNS")&amp;":"&amp;ADDRESS(A40,18,4,1)),"*END*")&gt;0,"","VCN"&amp;"::"&amp;INDIRECT(ADDRESS(A40,3,4,1,"VCNS")))</x:f>
      </x:c>
      <x:c r="C40" s="57" t="e" cm="1">
        <x:f t="array" aca="1" ref="C40">IF(COUNTIF(INDIRECT(ADDRESS(3,1,1,1,"VCNS")&amp;":"&amp;ADDRESS(A40,1,4,1)),"*END*")&gt;0,"",INDIRECT(ADDRESS(A40,3,4,1,"VCNS")))</x:f>
      </x:c>
      <x:c r="F40" s="33" t="str">
        <x:f t="shared" si="0"/>
      </x:c>
      <x:c r="G40" s="33"/>
      <x:c r="H40" s="38">
        <x:v>38</x:v>
      </x:c>
      <x:c r="I40" s="33"/>
      <x:c r="J40" s="33"/>
      <x:c r="K40" s="58"/>
      <x:c r="L40" t="s">
        <x:v>935</x:v>
      </x:c>
      <x:c r="M40" s="58"/>
      <x:c r="N40" s="58"/>
      <x:c r="O40" s="58"/>
      <x:c r="P40" s="58" t="e" cm="1">
        <x:f t="array" aca="1" ref="P40">IF(COUNTIF(INDIRECT(ADDRESS(3,1,1,1,"DHCP")&amp;":"&amp;ADDRESS(A40,1,4,1)),"*END*")&gt;0,"",INDIRECT(ADDRESS(A40,4,4,1,"DHCP")))</x:f>
      </x:c>
      <x:c r="Q40" s="58"/>
      <x:c r="R40" s="58" t="e" cm="1">
        <x:f t="array" aca="1" ref="R40">IF(COUNTIF(INDIRECT(ADDRESS(3,1,1,1,"DRGs")&amp;":"&amp;ADDRESS(A40,1,4,1)),"*END*")&gt;0,"",INDIRECT(ADDRESS(A40,3,4,1,"DRGs")))</x:f>
      </x:c>
      <x:c r="S40" s="58"/>
      <x:c r="T40" s="58"/>
      <x:c r="U40" s="58"/>
      <x:c r="V40" s="58"/>
      <x:c r="W40" s="58"/>
      <x:c r="X40" s="58"/>
      <x:c r="Y40" s="58" t="e" cm="1">
        <x:f t="array" aca="1" ref="Y40">IF(COUNTIF(INDIRECT(ADDRESS(3,1,1,1,"DedicatedVMHosts")&amp;":"&amp;ADDRESS(A40,1,4,1)),"*END*")&gt;0,"",INDIRECT(ADDRESS(A40,3,4,1,"DedicatedVMHosts")))</x:f>
      </x:c>
      <x:c r="Z40" s="58" t="e" cm="1">
        <x:f t="array" aca="1" ref="Z40">IF(COUNTIF(INDIRECT(ADDRESS(3,1,1,1,"instances")&amp;":"&amp;ADDRESS(A40,1,4,1)),"*END*")&gt;0,"",INDIRECT(ADDRESS(A40,4,4,1,"instances")))</x:f>
      </x:c>
      <x:c r="AA40" s="58"/>
      <x:c r="AB40" s="58"/>
      <x:c r="AC40" s="58"/>
      <x:c r="AD40" s="58"/>
      <x:c r="AE40" s="58"/>
      <x:c r="AF40" s="58"/>
      <x:c r="AG40" s="58"/>
      <x:c r="AH40" s="58"/>
      <x:c r="AI40" s="58"/>
      <x:c r="AJ40" s="58" t="s">
        <x:v>936</x:v>
      </x:c>
      <x:c r="AK40" s="61"/>
      <x:c r="AL40" s="58"/>
      <x:c r="AM40" s="58"/>
      <x:c r="AN40" s="58"/>
      <x:c r="AU40" s="101" t="str">
        <x:f t="shared" si="1"/>
      </x:c>
    </x:row>
    <x:row r="41" s="57" customFormat="1">
      <x:c r="A41" s="57">
        <x:v>41</x:v>
      </x:c>
      <x:c r="B41" s="57" t="e" cm="1">
        <x:f t="array" aca="1" ref="B41">IF(COUNTIF(INDIRECT(ADDRESS(3,1,1,1,"VCNS")&amp;":"&amp;ADDRESS(A41,18,4,1)),"*END*")&gt;0,"","VCN"&amp;"::"&amp;INDIRECT(ADDRESS(A41,3,4,1,"VCNS")))</x:f>
      </x:c>
      <x:c r="C41" s="57" t="e" cm="1">
        <x:f t="array" aca="1" ref="C41">IF(COUNTIF(INDIRECT(ADDRESS(3,1,1,1,"VCNS")&amp;":"&amp;ADDRESS(A41,1,4,1)),"*END*")&gt;0,"",INDIRECT(ADDRESS(A41,3,4,1,"VCNS")))</x:f>
      </x:c>
      <x:c r="F41" s="33" t="str">
        <x:f t="shared" si="0"/>
      </x:c>
      <x:c r="G41" s="33"/>
      <x:c r="H41" s="38">
        <x:v>39</x:v>
      </x:c>
      <x:c r="I41" s="33"/>
      <x:c r="J41" s="33"/>
      <x:c r="K41" s="58"/>
      <x:c r="L41" s="63" t="s">
        <x:v>937</x:v>
      </x:c>
      <x:c r="M41" s="58"/>
      <x:c r="N41" s="58"/>
      <x:c r="O41" s="58"/>
      <x:c r="P41" s="58" t="e" cm="1">
        <x:f t="array" aca="1" ref="P41">IF(COUNTIF(INDIRECT(ADDRESS(3,1,1,1,"DHCP")&amp;":"&amp;ADDRESS(A41,1,4,1)),"*END*")&gt;0,"",INDIRECT(ADDRESS(A41,4,4,1,"DHCP")))</x:f>
      </x:c>
      <x:c r="Q41" s="58"/>
      <x:c r="R41" s="58" t="e" cm="1">
        <x:f t="array" aca="1" ref="R41">IF(COUNTIF(INDIRECT(ADDRESS(3,1,1,1,"DRGs")&amp;":"&amp;ADDRESS(A41,1,4,1)),"*END*")&gt;0,"",INDIRECT(ADDRESS(A41,3,4,1,"DRGs")))</x:f>
      </x:c>
      <x:c r="S41" s="58"/>
      <x:c r="T41" s="58"/>
      <x:c r="U41" s="58"/>
      <x:c r="V41" s="58"/>
      <x:c r="W41" s="58"/>
      <x:c r="X41" s="58"/>
      <x:c r="Y41" s="58" t="e" cm="1">
        <x:f t="array" aca="1" ref="Y41">IF(COUNTIF(INDIRECT(ADDRESS(3,1,1,1,"DedicatedVMHosts")&amp;":"&amp;ADDRESS(A41,1,4,1)),"*END*")&gt;0,"",INDIRECT(ADDRESS(A41,3,4,1,"DedicatedVMHosts")))</x:f>
      </x:c>
      <x:c r="Z41" s="58" t="e" cm="1">
        <x:f t="array" aca="1" ref="Z41">IF(COUNTIF(INDIRECT(ADDRESS(3,1,1,1,"instances")&amp;":"&amp;ADDRESS(A41,1,4,1)),"*END*")&gt;0,"",INDIRECT(ADDRESS(A41,4,4,1,"instances")))</x:f>
      </x:c>
      <x:c r="AA41" s="58"/>
      <x:c r="AB41" s="58"/>
      <x:c r="AC41" s="58"/>
      <x:c r="AD41" s="58"/>
      <x:c r="AE41" s="58"/>
      <x:c r="AF41" s="58"/>
      <x:c r="AH41" s="58"/>
      <x:c r="AI41" s="58"/>
      <x:c r="AJ41" s="58" t="s">
        <x:v>938</x:v>
      </x:c>
      <x:c r="AK41" s="61"/>
      <x:c r="AL41" s="58"/>
      <x:c r="AM41" s="58"/>
      <x:c r="AN41" s="58"/>
      <x:c r="AU41" s="101" t="str">
        <x:f t="shared" si="1"/>
      </x:c>
    </x:row>
    <x:row r="42" s="57" customFormat="1">
      <x:c r="A42" s="57">
        <x:v>42</x:v>
      </x:c>
      <x:c r="B42" s="57" t="e" cm="1">
        <x:f t="array" aca="1" ref="B42">IF(COUNTIF(INDIRECT(ADDRESS(3,1,1,1,"VCNS")&amp;":"&amp;ADDRESS(A42,18,4,1)),"*END*")&gt;0,"","VCN"&amp;"::"&amp;INDIRECT(ADDRESS(A42,3,4,1,"VCNS")))</x:f>
      </x:c>
      <x:c r="C42" s="57" t="e" cm="1">
        <x:f t="array" aca="1" ref="C42">IF(COUNTIF(INDIRECT(ADDRESS(3,1,1,1,"VCNS")&amp;":"&amp;ADDRESS(A42,1,4,1)),"*END*")&gt;0,"",INDIRECT(ADDRESS(A42,3,4,1,"VCNS")))</x:f>
      </x:c>
      <x:c r="F42" s="33" t="str">
        <x:f t="shared" si="0"/>
      </x:c>
      <x:c r="G42" s="33"/>
      <x:c r="H42" s="38">
        <x:v>40</x:v>
      </x:c>
      <x:c r="I42" s="33"/>
      <x:c r="J42" s="33"/>
      <x:c r="L42" t="s">
        <x:v>939</x:v>
      </x:c>
      <x:c r="P42" s="58" t="e" cm="1">
        <x:f t="array" aca="1" ref="P42">IF(COUNTIF(INDIRECT(ADDRESS(3,1,1,1,"DHCP")&amp;":"&amp;ADDRESS(A42,1,4,1)),"*END*")&gt;0,"",INDIRECT(ADDRESS(A42,4,4,1,"DHCP")))</x:f>
      </x:c>
      <x:c r="R42" s="58" t="e" cm="1">
        <x:f t="array" aca="1" ref="R42">IF(COUNTIF(INDIRECT(ADDRESS(3,1,1,1,"DRGs")&amp;":"&amp;ADDRESS(A42,1,4,1)),"*END*")&gt;0,"",INDIRECT(ADDRESS(A42,3,4,1,"DRGs")))</x:f>
      </x:c>
      <x:c r="Y42" s="58" t="e" cm="1">
        <x:f t="array" aca="1" ref="Y42">IF(COUNTIF(INDIRECT(ADDRESS(3,1,1,1,"DedicatedVMHosts")&amp;":"&amp;ADDRESS(A42,1,4,1)),"*END*")&gt;0,"",INDIRECT(ADDRESS(A42,3,4,1,"DedicatedVMHosts")))</x:f>
      </x:c>
      <x:c r="Z42" s="58" t="e" cm="1">
        <x:f t="array" aca="1" ref="Z42">IF(COUNTIF(INDIRECT(ADDRESS(3,1,1,1,"instances")&amp;":"&amp;ADDRESS(A42,1,4,1)),"*END*")&gt;0,"",INDIRECT(ADDRESS(A42,4,4,1,"instances")))</x:f>
      </x:c>
      <x:c r="AK42" s="62"/>
      <x:c r="AU42" s="101" t="str">
        <x:f t="shared" si="1"/>
      </x:c>
    </x:row>
    <x:row r="43" s="57" customFormat="1">
      <x:c r="A43" s="57">
        <x:v>43</x:v>
      </x:c>
      <x:c r="B43" s="57" t="e" cm="1">
        <x:f t="array" aca="1" ref="B43">IF(COUNTIF(INDIRECT(ADDRESS(3,1,1,1,"VCNS")&amp;":"&amp;ADDRESS(A43,18,4,1)),"*END*")&gt;0,"","VCN"&amp;"::"&amp;INDIRECT(ADDRESS(A43,3,4,1,"VCNS")))</x:f>
      </x:c>
      <x:c r="C43" s="57" t="e" cm="1">
        <x:f t="array" aca="1" ref="C43">IF(COUNTIF(INDIRECT(ADDRESS(3,1,1,1,"VCNS")&amp;":"&amp;ADDRESS(A43,1,4,1)),"*END*")&gt;0,"",INDIRECT(ADDRESS(A43,3,4,1,"VCNS")))</x:f>
      </x:c>
      <x:c r="F43" s="33" t="str">
        <x:f t="shared" si="0"/>
      </x:c>
      <x:c r="G43" s="33"/>
      <x:c r="H43" s="38">
        <x:v>41</x:v>
      </x:c>
      <x:c r="I43" s="33"/>
      <x:c r="J43" s="33"/>
      <x:c r="L43" t="s">
        <x:v>914</x:v>
      </x:c>
      <x:c r="P43" s="58" t="e" cm="1">
        <x:f t="array" aca="1" ref="P43">IF(COUNTIF(INDIRECT(ADDRESS(3,1,1,1,"DHCP")&amp;":"&amp;ADDRESS(A43,1,4,1)),"*END*")&gt;0,"",INDIRECT(ADDRESS(A43,4,4,1,"DHCP")))</x:f>
      </x:c>
      <x:c r="R43" s="58" t="e" cm="1">
        <x:f t="array" aca="1" ref="R43">IF(COUNTIF(INDIRECT(ADDRESS(3,1,1,1,"DRGs")&amp;":"&amp;ADDRESS(A43,1,4,1)),"*END*")&gt;0,"",INDIRECT(ADDRESS(A43,3,4,1,"DRGs")))</x:f>
      </x:c>
      <x:c r="Y43" s="58" t="e" cm="1">
        <x:f t="array" aca="1" ref="Y43">IF(COUNTIF(INDIRECT(ADDRESS(3,1,1,1,"DedicatedVMHosts")&amp;":"&amp;ADDRESS(A43,1,4,1)),"*END*")&gt;0,"",INDIRECT(ADDRESS(A43,3,4,1,"DedicatedVMHosts")))</x:f>
      </x:c>
      <x:c r="Z43" s="58" t="e" cm="1">
        <x:f t="array" aca="1" ref="Z43">IF(COUNTIF(INDIRECT(ADDRESS(3,1,1,1,"instances")&amp;":"&amp;ADDRESS(A43,1,4,1)),"*END*")&gt;0,"",INDIRECT(ADDRESS(A43,4,4,1,"instances")))</x:f>
      </x:c>
      <x:c r="AU43" s="101" t="str">
        <x:f t="shared" si="1"/>
      </x:c>
    </x:row>
    <x:row r="44" s="57" customFormat="1">
      <x:c r="A44" s="57">
        <x:v>44</x:v>
      </x:c>
      <x:c r="B44" s="57" t="e" cm="1">
        <x:f t="array" aca="1" ref="B44">IF(COUNTIF(INDIRECT(ADDRESS(3,1,1,1,"VCNS")&amp;":"&amp;ADDRESS(A44,18,4,1)),"*END*")&gt;0,"","VCN"&amp;"::"&amp;INDIRECT(ADDRESS(A44,3,4,1,"VCNS")))</x:f>
      </x:c>
      <x:c r="C44" s="57" t="e" cm="1">
        <x:f t="array" aca="1" ref="C44">IF(COUNTIF(INDIRECT(ADDRESS(3,1,1,1,"VCNS")&amp;":"&amp;ADDRESS(A44,1,4,1)),"*END*")&gt;0,"",INDIRECT(ADDRESS(A44,3,4,1,"VCNS")))</x:f>
      </x:c>
      <x:c r="F44" s="33" t="str">
        <x:f t="shared" si="0"/>
      </x:c>
      <x:c r="G44" s="33"/>
      <x:c r="H44" s="38">
        <x:v>42</x:v>
      </x:c>
      <x:c r="I44" s="33"/>
      <x:c r="J44" s="33"/>
      <x:c r="L44" t="s">
        <x:v>940</x:v>
      </x:c>
      <x:c r="P44" s="58" t="e" cm="1">
        <x:f t="array" aca="1" ref="P44">IF(COUNTIF(INDIRECT(ADDRESS(3,1,1,1,"DHCP")&amp;":"&amp;ADDRESS(A44,1,4,1)),"*END*")&gt;0,"",INDIRECT(ADDRESS(A44,4,4,1,"DHCP")))</x:f>
      </x:c>
      <x:c r="R44" s="58" t="e" cm="1">
        <x:f t="array" aca="1" ref="R44">IF(COUNTIF(INDIRECT(ADDRESS(3,1,1,1,"DRGs")&amp;":"&amp;ADDRESS(A44,1,4,1)),"*END*")&gt;0,"",INDIRECT(ADDRESS(A44,3,4,1,"DRGs")))</x:f>
      </x:c>
      <x:c r="Y44" s="58" t="e" cm="1">
        <x:f t="array" aca="1" ref="Y44">IF(COUNTIF(INDIRECT(ADDRESS(3,1,1,1,"DedicatedVMHosts")&amp;":"&amp;ADDRESS(A44,1,4,1)),"*END*")&gt;0,"",INDIRECT(ADDRESS(A44,3,4,1,"DedicatedVMHosts")))</x:f>
      </x:c>
      <x:c r="Z44" s="58" t="e" cm="1">
        <x:f t="array" aca="1" ref="Z44">IF(COUNTIF(INDIRECT(ADDRESS(3,1,1,1,"instances")&amp;":"&amp;ADDRESS(A44,1,4,1)),"*END*")&gt;0,"",INDIRECT(ADDRESS(A44,4,4,1,"instances")))</x:f>
      </x:c>
      <x:c r="AU44" s="101" t="str">
        <x:f t="shared" si="1"/>
      </x:c>
    </x:row>
    <x:row r="45" s="57" customFormat="1">
      <x:c r="A45" s="57">
        <x:v>45</x:v>
      </x:c>
      <x:c r="B45" s="57" t="e" cm="1">
        <x:f t="array" aca="1" ref="B45">IF(COUNTIF(INDIRECT(ADDRESS(3,1,1,1,"VCNS")&amp;":"&amp;ADDRESS(A45,18,4,1)),"*END*")&gt;0,"","VCN"&amp;"::"&amp;INDIRECT(ADDRESS(A45,3,4,1,"VCNS")))</x:f>
      </x:c>
      <x:c r="C45" s="57" t="e" cm="1">
        <x:f t="array" aca="1" ref="C45">IF(COUNTIF(INDIRECT(ADDRESS(3,1,1,1,"VCNS")&amp;":"&amp;ADDRESS(A45,1,4,1)),"*END*")&gt;0,"",INDIRECT(ADDRESS(A45,3,4,1,"VCNS")))</x:f>
      </x:c>
      <x:c r="F45" s="33" t="str">
        <x:f t="shared" si="0"/>
      </x:c>
      <x:c r="G45" s="33"/>
      <x:c r="H45" s="38">
        <x:v>43</x:v>
      </x:c>
      <x:c r="I45" s="33"/>
      <x:c r="J45" s="33"/>
      <x:c r="L45" s="57" t="s">
        <x:v>941</x:v>
      </x:c>
      <x:c r="P45" s="58" t="e" cm="1">
        <x:f t="array" aca="1" ref="P45">IF(COUNTIF(INDIRECT(ADDRESS(3,1,1,1,"DHCP")&amp;":"&amp;ADDRESS(A45,1,4,1)),"*END*")&gt;0,"",INDIRECT(ADDRESS(A45,4,4,1,"DHCP")))</x:f>
      </x:c>
      <x:c r="R45" s="58" t="e" cm="1">
        <x:f t="array" aca="1" ref="R45">IF(COUNTIF(INDIRECT(ADDRESS(3,1,1,1,"DRGs")&amp;":"&amp;ADDRESS(A45,1,4,1)),"*END*")&gt;0,"",INDIRECT(ADDRESS(A45,3,4,1,"DRGs")))</x:f>
      </x:c>
      <x:c r="Y45" s="58" t="e" cm="1">
        <x:f t="array" aca="1" ref="Y45">IF(COUNTIF(INDIRECT(ADDRESS(3,1,1,1,"DedicatedVMHosts")&amp;":"&amp;ADDRESS(A45,1,4,1)),"*END*")&gt;0,"",INDIRECT(ADDRESS(A45,3,4,1,"DedicatedVMHosts")))</x:f>
      </x:c>
      <x:c r="Z45" s="58" t="e" cm="1">
        <x:f t="array" aca="1" ref="Z45">IF(COUNTIF(INDIRECT(ADDRESS(3,1,1,1,"instances")&amp;":"&amp;ADDRESS(A45,1,4,1)),"*END*")&gt;0,"",INDIRECT(ADDRESS(A45,4,4,1,"instances")))</x:f>
      </x:c>
      <x:c r="AU45" s="101" t="str">
        <x:f t="shared" si="1"/>
      </x:c>
    </x:row>
    <x:row r="46" s="57" customFormat="1">
      <x:c r="A46" s="57">
        <x:v>46</x:v>
      </x:c>
      <x:c r="B46" s="57" t="e" cm="1">
        <x:f t="array" aca="1" ref="B46">IF(COUNTIF(INDIRECT(ADDRESS(3,1,1,1,"VCNS")&amp;":"&amp;ADDRESS(A46,18,4,1)),"*END*")&gt;0,"","VCN"&amp;"::"&amp;INDIRECT(ADDRESS(A46,3,4,1,"VCNS")))</x:f>
      </x:c>
      <x:c r="C46" s="57" t="e" cm="1">
        <x:f t="array" aca="1" ref="C46">IF(COUNTIF(INDIRECT(ADDRESS(3,1,1,1,"VCNS")&amp;":"&amp;ADDRESS(A46,1,4,1)),"*END*")&gt;0,"",INDIRECT(ADDRESS(A46,3,4,1,"VCNS")))</x:f>
      </x:c>
      <x:c r="F46" s="33" t="str">
        <x:f t="shared" si="0"/>
      </x:c>
      <x:c r="G46" s="33"/>
      <x:c r="H46" s="38">
        <x:v>44</x:v>
      </x:c>
      <x:c r="I46" s="33"/>
      <x:c r="J46" s="33"/>
      <x:c r="L46" t="s">
        <x:v>942</x:v>
      </x:c>
      <x:c r="P46" s="58" t="e" cm="1">
        <x:f t="array" aca="1" ref="P46">IF(COUNTIF(INDIRECT(ADDRESS(3,1,1,1,"DHCP")&amp;":"&amp;ADDRESS(A46,1,4,1)),"*END*")&gt;0,"",INDIRECT(ADDRESS(A46,4,4,1,"DHCP")))</x:f>
      </x:c>
      <x:c r="R46" s="58" t="e" cm="1">
        <x:f t="array" aca="1" ref="R46">IF(COUNTIF(INDIRECT(ADDRESS(3,1,1,1,"DRGs")&amp;":"&amp;ADDRESS(A46,1,4,1)),"*END*")&gt;0,"",INDIRECT(ADDRESS(A46,3,4,1,"DRGs")))</x:f>
      </x:c>
      <x:c r="Y46" s="58" t="e" cm="1">
        <x:f t="array" aca="1" ref="Y46">IF(COUNTIF(INDIRECT(ADDRESS(3,1,1,1,"DedicatedVMHosts")&amp;":"&amp;ADDRESS(A46,1,4,1)),"*END*")&gt;0,"",INDIRECT(ADDRESS(A46,3,4,1,"DedicatedVMHosts")))</x:f>
      </x:c>
      <x:c r="Z46" s="58" t="e" cm="1">
        <x:f t="array" aca="1" ref="Z46">IF(COUNTIF(INDIRECT(ADDRESS(3,1,1,1,"instances")&amp;":"&amp;ADDRESS(A46,1,4,1)),"*END*")&gt;0,"",INDIRECT(ADDRESS(A46,4,4,1,"instances")))</x:f>
      </x:c>
      <x:c r="AU46" s="101" t="str">
        <x:f t="shared" si="1"/>
      </x:c>
    </x:row>
    <x:row r="47" s="57" customFormat="1">
      <x:c r="A47" s="57">
        <x:v>47</x:v>
      </x:c>
      <x:c r="B47" s="57" t="e" cm="1">
        <x:f t="array" aca="1" ref="B47">IF(COUNTIF(INDIRECT(ADDRESS(3,1,1,1,"VCNS")&amp;":"&amp;ADDRESS(A47,18,4,1)),"*END*")&gt;0,"","VCN"&amp;"::"&amp;INDIRECT(ADDRESS(A47,3,4,1,"VCNS")))</x:f>
      </x:c>
      <x:c r="C47" s="57" t="e" cm="1">
        <x:f t="array" aca="1" ref="C47">IF(COUNTIF(INDIRECT(ADDRESS(3,1,1,1,"VCNS")&amp;":"&amp;ADDRESS(A47,1,4,1)),"*END*")&gt;0,"",INDIRECT(ADDRESS(A47,3,4,1,"VCNS")))</x:f>
      </x:c>
      <x:c r="F47" s="33" t="str">
        <x:f t="shared" si="0"/>
      </x:c>
      <x:c r="G47" s="33"/>
      <x:c r="H47" s="38">
        <x:v>45</x:v>
      </x:c>
      <x:c r="I47" s="33"/>
      <x:c r="J47" s="33"/>
      <x:c r="L47" t="s">
        <x:v>943</x:v>
      </x:c>
      <x:c r="P47" s="58" t="e" cm="1">
        <x:f t="array" aca="1" ref="P47">IF(COUNTIF(INDIRECT(ADDRESS(3,1,1,1,"DHCP")&amp;":"&amp;ADDRESS(A47,1,4,1)),"*END*")&gt;0,"",INDIRECT(ADDRESS(A47,4,4,1,"DHCP")))</x:f>
      </x:c>
      <x:c r="R47" s="58" t="e" cm="1">
        <x:f t="array" aca="1" ref="R47">IF(COUNTIF(INDIRECT(ADDRESS(3,1,1,1,"DRGs")&amp;":"&amp;ADDRESS(A47,1,4,1)),"*END*")&gt;0,"",INDIRECT(ADDRESS(A47,3,4,1,"DRGs")))</x:f>
      </x:c>
      <x:c r="Y47" s="58" t="e" cm="1">
        <x:f t="array" aca="1" ref="Y47">IF(COUNTIF(INDIRECT(ADDRESS(3,1,1,1,"DedicatedVMHosts")&amp;":"&amp;ADDRESS(A47,1,4,1)),"*END*")&gt;0,"",INDIRECT(ADDRESS(A47,3,4,1,"DedicatedVMHosts")))</x:f>
      </x:c>
      <x:c r="Z47" s="58" t="e" cm="1">
        <x:f t="array" aca="1" ref="Z47">IF(COUNTIF(INDIRECT(ADDRESS(3,1,1,1,"instances")&amp;":"&amp;ADDRESS(A47,1,4,1)),"*END*")&gt;0,"",INDIRECT(ADDRESS(A47,4,4,1,"instances")))</x:f>
      </x:c>
      <x:c r="AU47" s="101" t="str">
        <x:f t="shared" si="1"/>
      </x:c>
    </x:row>
    <x:row r="48" s="57" customFormat="1">
      <x:c r="A48" s="57">
        <x:v>48</x:v>
      </x:c>
      <x:c r="B48" s="57" t="e" cm="1">
        <x:f t="array" aca="1" ref="B48">IF(COUNTIF(INDIRECT(ADDRESS(3,1,1,1,"VCNS")&amp;":"&amp;ADDRESS(A48,18,4,1)),"*END*")&gt;0,"","VCN"&amp;"::"&amp;INDIRECT(ADDRESS(A48,3,4,1,"VCNS")))</x:f>
      </x:c>
      <x:c r="C48" s="57" t="e" cm="1">
        <x:f t="array" aca="1" ref="C48">IF(COUNTIF(INDIRECT(ADDRESS(3,1,1,1,"VCNS")&amp;":"&amp;ADDRESS(A48,1,4,1)),"*END*")&gt;0,"",INDIRECT(ADDRESS(A48,3,4,1,"VCNS")))</x:f>
      </x:c>
      <x:c r="F48" s="33" t="str">
        <x:f t="shared" si="0"/>
      </x:c>
      <x:c r="G48" s="33"/>
      <x:c r="H48" s="38">
        <x:v>46</x:v>
      </x:c>
      <x:c r="I48" s="33"/>
      <x:c r="J48" s="33"/>
      <x:c r="L48" s="40" t="s">
        <x:v>944</x:v>
      </x:c>
      <x:c r="P48" s="58" t="e" cm="1">
        <x:f t="array" aca="1" ref="P48">IF(COUNTIF(INDIRECT(ADDRESS(3,1,1,1,"DHCP")&amp;":"&amp;ADDRESS(A48,1,4,1)),"*END*")&gt;0,"",INDIRECT(ADDRESS(A48,4,4,1,"DHCP")))</x:f>
      </x:c>
      <x:c r="R48" s="58" t="e" cm="1">
        <x:f t="array" aca="1" ref="R48">IF(COUNTIF(INDIRECT(ADDRESS(3,1,1,1,"DRGs")&amp;":"&amp;ADDRESS(A48,1,4,1)),"*END*")&gt;0,"",INDIRECT(ADDRESS(A48,3,4,1,"DRGs")))</x:f>
      </x:c>
      <x:c r="Y48" s="58" t="e" cm="1">
        <x:f t="array" aca="1" ref="Y48">IF(COUNTIF(INDIRECT(ADDRESS(3,1,1,1,"DedicatedVMHosts")&amp;":"&amp;ADDRESS(A48,1,4,1)),"*END*")&gt;0,"",INDIRECT(ADDRESS(A48,3,4,1,"DedicatedVMHosts")))</x:f>
      </x:c>
      <x:c r="Z48" s="58" t="e" cm="1">
        <x:f t="array" aca="1" ref="Z48">IF(COUNTIF(INDIRECT(ADDRESS(3,1,1,1,"instances")&amp;":"&amp;ADDRESS(A48,1,4,1)),"*END*")&gt;0,"",INDIRECT(ADDRESS(A48,4,4,1,"instances")))</x:f>
      </x:c>
      <x:c r="AU48" s="101" t="str">
        <x:f t="shared" si="1"/>
      </x:c>
    </x:row>
    <x:row r="49" s="57" customFormat="1">
      <x:c r="A49" s="57">
        <x:v>49</x:v>
      </x:c>
      <x:c r="B49" s="57" t="e" cm="1">
        <x:f t="array" aca="1" ref="B49">IF(COUNTIF(INDIRECT(ADDRESS(3,1,1,1,"VCNS")&amp;":"&amp;ADDRESS(A49,18,4,1)),"*END*")&gt;0,"","VCN"&amp;"::"&amp;INDIRECT(ADDRESS(A49,3,4,1,"VCNS")))</x:f>
      </x:c>
      <x:c r="C49" s="57" t="e" cm="1">
        <x:f t="array" aca="1" ref="C49">IF(COUNTIF(INDIRECT(ADDRESS(3,1,1,1,"VCNS")&amp;":"&amp;ADDRESS(A49,1,4,1)),"*END*")&gt;0,"",INDIRECT(ADDRESS(A49,3,4,1,"VCNS")))</x:f>
      </x:c>
      <x:c r="F49" s="33" t="str">
        <x:f t="shared" si="0"/>
      </x:c>
      <x:c r="G49" s="33"/>
      <x:c r="H49" s="38">
        <x:v>47</x:v>
      </x:c>
      <x:c r="I49" s="33"/>
      <x:c r="J49" s="33"/>
      <x:c r="L49" t="s">
        <x:v>945</x:v>
      </x:c>
      <x:c r="P49" s="58" t="e" cm="1">
        <x:f t="array" aca="1" ref="P49">IF(COUNTIF(INDIRECT(ADDRESS(3,1,1,1,"DHCP")&amp;":"&amp;ADDRESS(A49,1,4,1)),"*END*")&gt;0,"",INDIRECT(ADDRESS(A49,4,4,1,"DHCP")))</x:f>
      </x:c>
      <x:c r="R49" s="58" t="e" cm="1">
        <x:f t="array" aca="1" ref="R49">IF(COUNTIF(INDIRECT(ADDRESS(3,1,1,1,"DRGs")&amp;":"&amp;ADDRESS(A49,1,4,1)),"*END*")&gt;0,"",INDIRECT(ADDRESS(A49,3,4,1,"DRGs")))</x:f>
      </x:c>
      <x:c r="Y49" s="58" t="e" cm="1">
        <x:f t="array" aca="1" ref="Y49">IF(COUNTIF(INDIRECT(ADDRESS(3,1,1,1,"DedicatedVMHosts")&amp;":"&amp;ADDRESS(A49,1,4,1)),"*END*")&gt;0,"",INDIRECT(ADDRESS(A49,3,4,1,"DedicatedVMHosts")))</x:f>
      </x:c>
      <x:c r="Z49" s="58" t="e" cm="1">
        <x:f t="array" aca="1" ref="Z49">IF(COUNTIF(INDIRECT(ADDRESS(3,1,1,1,"instances")&amp;":"&amp;ADDRESS(A49,1,4,1)),"*END*")&gt;0,"",INDIRECT(ADDRESS(A49,4,4,1,"instances")))</x:f>
      </x:c>
      <x:c r="AU49" s="101" t="str">
        <x:f t="shared" si="1"/>
      </x:c>
    </x:row>
    <x:row r="50" s="57" customFormat="1">
      <x:c r="A50" s="57">
        <x:v>50</x:v>
      </x:c>
      <x:c r="B50" s="57" t="e" cm="1">
        <x:f t="array" aca="1" ref="B50">IF(COUNTIF(INDIRECT(ADDRESS(3,1,1,1,"VCNS")&amp;":"&amp;ADDRESS(A50,18,4,1)),"*END*")&gt;0,"","VCN"&amp;"::"&amp;INDIRECT(ADDRESS(A50,3,4,1,"VCNS")))</x:f>
      </x:c>
      <x:c r="C50" s="57" t="e" cm="1">
        <x:f t="array" aca="1" ref="C50">IF(COUNTIF(INDIRECT(ADDRESS(3,1,1,1,"VCNS")&amp;":"&amp;ADDRESS(A50,1,4,1)),"*END*")&gt;0,"",INDIRECT(ADDRESS(A50,3,4,1,"VCNS")))</x:f>
      </x:c>
      <x:c r="F50" s="33" t="str">
        <x:f t="shared" si="0"/>
      </x:c>
      <x:c r="G50" s="33"/>
      <x:c r="H50" s="38">
        <x:v>48</x:v>
      </x:c>
      <x:c r="I50" s="33"/>
      <x:c r="J50" s="33"/>
      <x:c r="L50" t="s">
        <x:v>946</x:v>
      </x:c>
      <x:c r="P50" s="58" t="e" cm="1">
        <x:f t="array" aca="1" ref="P50">IF(COUNTIF(INDIRECT(ADDRESS(3,1,1,1,"DHCP")&amp;":"&amp;ADDRESS(A50,1,4,1)),"*END*")&gt;0,"",INDIRECT(ADDRESS(A50,4,4,1,"DHCP")))</x:f>
      </x:c>
      <x:c r="R50" s="58" t="e" cm="1">
        <x:f t="array" aca="1" ref="R50">IF(COUNTIF(INDIRECT(ADDRESS(3,1,1,1,"DRGs")&amp;":"&amp;ADDRESS(A50,1,4,1)),"*END*")&gt;0,"",INDIRECT(ADDRESS(A50,3,4,1,"DRGs")))</x:f>
      </x:c>
      <x:c r="Y50" s="58" t="e" cm="1">
        <x:f t="array" aca="1" ref="Y50">IF(COUNTIF(INDIRECT(ADDRESS(3,1,1,1,"DedicatedVMHosts")&amp;":"&amp;ADDRESS(A50,1,4,1)),"*END*")&gt;0,"",INDIRECT(ADDRESS(A50,3,4,1,"DedicatedVMHosts")))</x:f>
      </x:c>
      <x:c r="Z50" s="58" t="e" cm="1">
        <x:f t="array" aca="1" ref="Z50">IF(COUNTIF(INDIRECT(ADDRESS(3,1,1,1,"instances")&amp;":"&amp;ADDRESS(A50,1,4,1)),"*END*")&gt;0,"",INDIRECT(ADDRESS(A50,4,4,1,"instances")))</x:f>
      </x:c>
      <x:c r="AU50" s="101" t="str">
        <x:f t="shared" si="1"/>
      </x:c>
    </x:row>
    <x:row r="51" s="57" customFormat="1">
      <x:c r="F51" s="33" t="str">
        <x:f t="shared" si="0"/>
      </x:c>
      <x:c r="G51" s="33"/>
      <x:c r="H51" s="38">
        <x:v>49</x:v>
      </x:c>
      <x:c r="I51" s="33"/>
      <x:c r="J51" s="33"/>
      <x:c r="L51" t="s">
        <x:v>456</x:v>
      </x:c>
      <x:c r="AG51" s="63"/>
      <x:c r="AU51" s="101" t="str">
        <x:f t="shared" si="1"/>
      </x:c>
    </x:row>
    <x:row r="52">
      <x:c r="F52" s="33" t="str">
        <x:f t="shared" si="0"/>
      </x:c>
      <x:c r="G52" s="33"/>
      <x:c r="H52" s="38">
        <x:v>50</x:v>
      </x:c>
      <x:c r="I52" s="33"/>
      <x:c r="J52" s="33"/>
      <x:c r="L52" s="40" t="s">
        <x:v>947</x:v>
      </x:c>
      <x:c r="AU52" s="101" t="str">
        <x:f t="shared" si="1"/>
      </x:c>
      <x:c r="AV52" s="57"/>
    </x:row>
    <x:row r="53">
      <x:c r="F53" s="33" t="str">
        <x:f t="shared" si="0"/>
      </x:c>
      <x:c r="G53" s="33"/>
      <x:c r="H53" s="38">
        <x:v>51</x:v>
      </x:c>
      <x:c r="I53" s="33"/>
      <x:c r="J53" s="33"/>
      <x:c r="L53" t="s">
        <x:v>948</x:v>
      </x:c>
      <x:c r="AU53" s="101" t="str">
        <x:f t="shared" si="1"/>
      </x:c>
      <x:c r="AV53" s="57"/>
    </x:row>
    <x:row r="54">
      <x:c r="F54" s="33" t="str">
        <x:f t="shared" si="0"/>
      </x:c>
      <x:c r="G54" s="33"/>
      <x:c r="H54" s="38">
        <x:v>52</x:v>
      </x:c>
      <x:c r="I54" s="33"/>
      <x:c r="J54" s="33"/>
      <x:c r="L54" t="s">
        <x:v>949</x:v>
      </x:c>
      <x:c r="AU54" s="101" t="str">
        <x:f t="shared" si="1"/>
      </x:c>
      <x:c r="AV54" s="57"/>
    </x:row>
    <x:row r="55">
      <x:c r="F55" s="33" t="str">
        <x:f t="shared" si="0"/>
      </x:c>
      <x:c r="G55" s="33"/>
      <x:c r="H55" s="38">
        <x:v>53</x:v>
      </x:c>
      <x:c r="I55" s="33"/>
      <x:c r="J55" s="33"/>
      <x:c r="L55" s="63" t="s">
        <x:v>455</x:v>
      </x:c>
      <x:c r="AU55" s="101" t="str">
        <x:f t="shared" si="1"/>
      </x:c>
      <x:c r="AV55" s="57"/>
    </x:row>
    <x:row r="56">
      <x:c r="F56" s="33" t="str">
        <x:f t="shared" si="0"/>
      </x:c>
      <x:c r="G56" s="33"/>
      <x:c r="H56" s="38">
        <x:v>54</x:v>
      </x:c>
      <x:c r="I56" s="33"/>
      <x:c r="J56" s="33"/>
      <x:c r="AU56" s="101" t="str">
        <x:f t="shared" si="1"/>
      </x:c>
      <x:c r="AV56" s="57"/>
    </x:row>
    <x:row r="57">
      <x:c r="F57" s="33" t="str">
        <x:f t="shared" si="0"/>
      </x:c>
      <x:c r="G57" s="33"/>
      <x:c r="H57" s="38">
        <x:v>55</x:v>
      </x:c>
      <x:c r="I57" s="33"/>
      <x:c r="J57" s="33"/>
      <x:c r="AU57" s="101" t="str">
        <x:f t="shared" si="1"/>
      </x:c>
      <x:c r="AV57" s="57"/>
    </x:row>
    <x:row r="58">
      <x:c r="F58" s="33" t="str">
        <x:f t="shared" si="0"/>
      </x:c>
      <x:c r="G58" s="33"/>
      <x:c r="H58" s="38">
        <x:v>56</x:v>
      </x:c>
      <x:c r="I58" s="33"/>
      <x:c r="J58" s="33"/>
      <x:c r="AU58" s="101" t="str">
        <x:f t="shared" si="1"/>
      </x:c>
      <x:c r="AV58" s="57"/>
    </x:row>
    <x:row r="59">
      <x:c r="F59" s="33" t="str">
        <x:f t="shared" si="0"/>
      </x:c>
      <x:c r="G59" s="33"/>
      <x:c r="H59" s="38">
        <x:v>57</x:v>
      </x:c>
      <x:c r="I59" s="33"/>
      <x:c r="J59" s="33"/>
      <x:c r="AU59" s="101" t="str">
        <x:f t="shared" si="1"/>
      </x:c>
      <x:c r="AV59" s="57"/>
    </x:row>
    <x:row r="60">
      <x:c r="F60" s="33" t="str">
        <x:f t="shared" si="0"/>
      </x:c>
      <x:c r="G60" s="33"/>
      <x:c r="H60" s="38">
        <x:v>58</x:v>
      </x:c>
      <x:c r="I60" s="33"/>
      <x:c r="J60" s="33"/>
      <x:c r="AU60" s="101" t="str">
        <x:f t="shared" si="1"/>
      </x:c>
      <x:c r="AV60" s="57"/>
    </x:row>
    <x:row r="61">
      <x:c r="F61" s="33" t="str">
        <x:f t="shared" si="0"/>
      </x:c>
      <x:c r="G61" s="33"/>
      <x:c r="H61" s="38">
        <x:v>59</x:v>
      </x:c>
      <x:c r="I61" s="33"/>
      <x:c r="J61" s="33"/>
      <x:c r="AU61" s="101" t="str">
        <x:f t="shared" si="1"/>
      </x:c>
      <x:c r="AV61" s="57"/>
    </x:row>
    <x:row r="62">
      <x:c r="F62" s="33" t="str">
        <x:f t="shared" si="0"/>
      </x:c>
      <x:c r="G62" s="33"/>
      <x:c r="H62" s="38">
        <x:v>60</x:v>
      </x:c>
      <x:c r="I62" s="33"/>
      <x:c r="J62" s="33"/>
      <x:c r="AU62" s="101" t="str">
        <x:f t="shared" si="1"/>
      </x:c>
      <x:c r="AV62" s="57"/>
    </x:row>
    <x:row r="63">
      <x:c r="F63" s="33" t="str">
        <x:f t="shared" si="0"/>
      </x:c>
      <x:c r="G63" s="33"/>
      <x:c r="H63" s="38">
        <x:v>61</x:v>
      </x:c>
      <x:c r="I63" s="33"/>
      <x:c r="J63" s="33"/>
      <x:c r="AU63" s="101" t="str">
        <x:f t="shared" si="1"/>
      </x:c>
      <x:c r="AV63" s="57"/>
    </x:row>
    <x:row r="64">
      <x:c r="F64" s="33" t="str">
        <x:f t="shared" si="0"/>
      </x:c>
      <x:c r="G64" s="33"/>
      <x:c r="H64" s="38">
        <x:v>62</x:v>
      </x:c>
      <x:c r="I64" s="33"/>
      <x:c r="J64" s="33"/>
      <x:c r="AU64" s="101" t="str">
        <x:f t="shared" si="1"/>
      </x:c>
      <x:c r="AV64" s="57"/>
    </x:row>
    <x:row r="65">
      <x:c r="F65" s="33" t="str">
        <x:f t="shared" si="0"/>
      </x:c>
      <x:c r="G65" s="33"/>
      <x:c r="H65" s="38">
        <x:v>63</x:v>
      </x:c>
      <x:c r="I65" s="33"/>
      <x:c r="J65" s="33"/>
      <x:c r="AU65" s="101" t="str">
        <x:f t="shared" si="1"/>
      </x:c>
      <x:c r="AV65" s="57"/>
    </x:row>
    <x:row r="66">
      <x:c r="F66" s="33" t="str">
        <x:f t="shared" si="0"/>
      </x:c>
      <x:c r="G66" s="33"/>
      <x:c r="H66" s="38">
        <x:v>64</x:v>
      </x:c>
      <x:c r="I66" s="33"/>
      <x:c r="J66" s="33"/>
      <x:c r="AU66" s="101" t="str">
        <x:f t="shared" si="1"/>
      </x:c>
      <x:c r="AV66" s="57"/>
    </x:row>
    <x:row r="67">
      <x:c r="F67" s="33" t="str">
        <x:f t="shared" si="0"/>
      </x:c>
      <x:c r="G67" s="33"/>
      <x:c r="H67" s="38">
        <x:v>65</x:v>
      </x:c>
      <x:c r="I67" s="33"/>
      <x:c r="J67" s="33"/>
      <x:c r="AU67" s="101" t="str">
        <x:f t="shared" si="1"/>
      </x:c>
      <x:c r="AV67" s="57"/>
    </x:row>
    <x:row r="68">
      <x:c r="F68" s="33" t="str">
        <x:f t="shared" ref="F68:F131" si="2">_xlfn.IFNA(IF($H68+1&gt;$G$2,"",INDEX(INDIRECT("SubnetsVLANs!$D$"&amp;$H68+2&amp;":$D$"&amp;$G$2),MATCH("vlan*",INDIRECT("SubnetsVLANs!$E$"&amp;$H68+2&amp;":$E$"&amp;$G$2),0))),"")</x:f>
      </x:c>
      <x:c r="G68" s="33"/>
      <x:c r="H68" s="38">
        <x:v>66</x:v>
      </x:c>
      <x:c r="I68" s="33"/>
      <x:c r="J68" s="33"/>
      <x:c r="AU68" s="101" t="str">
        <x:f t="shared" ref="AU68:AU131" si="3">_xlfn.IFNA(IF($H68+1&gt;$G$2,"",INDEX(INDIRECT("SubnetsVLANs!$D$"&amp;$H68+2&amp;":$D$"&amp;$G$2),MATCH("Subnet*",INDIRECT("SubnetsVLANs!$E$"&amp;$H68+2&amp;":$E$"&amp;$G$2),0))),"")</x:f>
      </x:c>
      <x:c r="AV68" s="57"/>
    </x:row>
    <x:row r="69">
      <x:c r="F69" s="33" t="str">
        <x:f t="shared" si="2"/>
      </x:c>
      <x:c r="G69" s="33"/>
      <x:c r="H69" s="38">
        <x:v>67</x:v>
      </x:c>
      <x:c r="I69" s="33"/>
      <x:c r="J69" s="33"/>
      <x:c r="AU69" s="101" t="str">
        <x:f t="shared" si="3"/>
      </x:c>
      <x:c r="AV69" s="57"/>
    </x:row>
    <x:row r="70">
      <x:c r="F70" s="33" t="str">
        <x:f t="shared" si="2"/>
      </x:c>
      <x:c r="G70" s="33"/>
      <x:c r="H70" s="38">
        <x:v>68</x:v>
      </x:c>
      <x:c r="I70" s="33"/>
      <x:c r="J70" s="33"/>
      <x:c r="AU70" s="101" t="str">
        <x:f t="shared" si="3"/>
      </x:c>
      <x:c r="AV70" s="57"/>
    </x:row>
    <x:row r="71">
      <x:c r="F71" s="33" t="str">
        <x:f t="shared" si="2"/>
      </x:c>
      <x:c r="G71" s="33"/>
      <x:c r="H71" s="38">
        <x:v>69</x:v>
      </x:c>
      <x:c r="I71" s="33"/>
      <x:c r="J71" s="33"/>
      <x:c r="AU71" s="101" t="str">
        <x:f t="shared" si="3"/>
      </x:c>
      <x:c r="AV71" s="57"/>
    </x:row>
    <x:row r="72">
      <x:c r="F72" s="33" t="str">
        <x:f t="shared" si="2"/>
      </x:c>
      <x:c r="G72" s="33"/>
      <x:c r="H72" s="38">
        <x:v>70</x:v>
      </x:c>
      <x:c r="I72" s="33"/>
      <x:c r="J72" s="33"/>
      <x:c r="AU72" s="101" t="str">
        <x:f t="shared" si="3"/>
      </x:c>
      <x:c r="AV72" s="57"/>
    </x:row>
    <x:row r="73">
      <x:c r="F73" s="33" t="str">
        <x:f t="shared" si="2"/>
      </x:c>
      <x:c r="G73" s="33"/>
      <x:c r="H73" s="38">
        <x:v>71</x:v>
      </x:c>
      <x:c r="I73" s="33"/>
      <x:c r="J73" s="33"/>
      <x:c r="AU73" s="101" t="str">
        <x:f t="shared" si="3"/>
      </x:c>
      <x:c r="AV73" s="57"/>
    </x:row>
    <x:row r="74">
      <x:c r="F74" s="33" t="str">
        <x:f t="shared" si="2"/>
      </x:c>
      <x:c r="G74" s="33"/>
      <x:c r="H74" s="38">
        <x:v>72</x:v>
      </x:c>
      <x:c r="I74" s="33"/>
      <x:c r="J74" s="33"/>
      <x:c r="AU74" s="101" t="str">
        <x:f t="shared" si="3"/>
      </x:c>
      <x:c r="AV74" s="57"/>
    </x:row>
    <x:row r="75">
      <x:c r="F75" s="33" t="str">
        <x:f t="shared" si="2"/>
      </x:c>
      <x:c r="G75" s="33"/>
      <x:c r="H75" s="38">
        <x:v>73</x:v>
      </x:c>
      <x:c r="I75" s="33"/>
      <x:c r="J75" s="33"/>
      <x:c r="AU75" s="101" t="str">
        <x:f t="shared" si="3"/>
      </x:c>
      <x:c r="AV75" s="57"/>
    </x:row>
    <x:row r="76">
      <x:c r="F76" s="33" t="str">
        <x:f t="shared" si="2"/>
      </x:c>
      <x:c r="G76" s="33"/>
      <x:c r="H76" s="38">
        <x:v>74</x:v>
      </x:c>
      <x:c r="I76" s="33"/>
      <x:c r="J76" s="33"/>
      <x:c r="AU76" s="101" t="str">
        <x:f t="shared" si="3"/>
      </x:c>
      <x:c r="AV76" s="57"/>
    </x:row>
    <x:row r="77">
      <x:c r="F77" s="33" t="str">
        <x:f t="shared" si="2"/>
      </x:c>
      <x:c r="G77" s="33"/>
      <x:c r="H77" s="38">
        <x:v>75</x:v>
      </x:c>
      <x:c r="I77" s="33"/>
      <x:c r="J77" s="33"/>
      <x:c r="AU77" s="101" t="str">
        <x:f t="shared" si="3"/>
      </x:c>
      <x:c r="AV77" s="57"/>
    </x:row>
    <x:row r="78">
      <x:c r="F78" s="33" t="str">
        <x:f t="shared" si="2"/>
      </x:c>
      <x:c r="G78" s="33"/>
      <x:c r="H78" s="38">
        <x:v>76</x:v>
      </x:c>
      <x:c r="I78" s="33"/>
      <x:c r="J78" s="33"/>
      <x:c r="AU78" s="101" t="str">
        <x:f t="shared" si="3"/>
      </x:c>
      <x:c r="AV78" s="57"/>
    </x:row>
    <x:row r="79">
      <x:c r="F79" s="33" t="str">
        <x:f t="shared" si="2"/>
      </x:c>
      <x:c r="G79" s="33"/>
      <x:c r="H79" s="38">
        <x:v>77</x:v>
      </x:c>
      <x:c r="I79" s="33"/>
      <x:c r="J79" s="33"/>
      <x:c r="AU79" s="101" t="str">
        <x:f t="shared" si="3"/>
      </x:c>
      <x:c r="AV79" s="57"/>
    </x:row>
    <x:row r="80">
      <x:c r="F80" s="33" t="str">
        <x:f t="shared" si="2"/>
      </x:c>
      <x:c r="G80" s="33"/>
      <x:c r="H80" s="38">
        <x:v>78</x:v>
      </x:c>
      <x:c r="I80" s="33"/>
      <x:c r="J80" s="33"/>
      <x:c r="AU80" s="101" t="str">
        <x:f t="shared" si="3"/>
      </x:c>
      <x:c r="AV80" s="57"/>
    </x:row>
    <x:row r="81">
      <x:c r="F81" s="33" t="str">
        <x:f t="shared" si="2"/>
      </x:c>
      <x:c r="G81" s="33"/>
      <x:c r="H81" s="38">
        <x:v>79</x:v>
      </x:c>
      <x:c r="I81" s="33"/>
      <x:c r="J81" s="33"/>
      <x:c r="AU81" s="101" t="str">
        <x:f t="shared" si="3"/>
      </x:c>
      <x:c r="AV81" s="57"/>
    </x:row>
    <x:row r="82">
      <x:c r="F82" s="33" t="str">
        <x:f t="shared" si="2"/>
      </x:c>
      <x:c r="G82" s="33"/>
      <x:c r="H82" s="38">
        <x:v>80</x:v>
      </x:c>
      <x:c r="I82" s="33"/>
      <x:c r="J82" s="33"/>
      <x:c r="AU82" s="101" t="str">
        <x:f t="shared" si="3"/>
      </x:c>
      <x:c r="AV82" s="57"/>
    </x:row>
    <x:row r="83">
      <x:c r="F83" s="33" t="str">
        <x:f t="shared" si="2"/>
      </x:c>
      <x:c r="G83" s="33"/>
      <x:c r="H83" s="38">
        <x:v>81</x:v>
      </x:c>
      <x:c r="I83" s="33"/>
      <x:c r="J83" s="33"/>
      <x:c r="AU83" s="101" t="str">
        <x:f t="shared" si="3"/>
      </x:c>
      <x:c r="AV83" s="57"/>
    </x:row>
    <x:row r="84">
      <x:c r="F84" s="33" t="str">
        <x:f t="shared" si="2"/>
      </x:c>
      <x:c r="G84" s="33"/>
      <x:c r="H84" s="38">
        <x:v>82</x:v>
      </x:c>
      <x:c r="I84" s="33"/>
      <x:c r="J84" s="33"/>
      <x:c r="AU84" s="101" t="str">
        <x:f t="shared" si="3"/>
      </x:c>
      <x:c r="AV84" s="57"/>
    </x:row>
    <x:row r="85">
      <x:c r="F85" s="33" t="str">
        <x:f t="shared" si="2"/>
      </x:c>
      <x:c r="G85" s="33"/>
      <x:c r="H85" s="38">
        <x:v>83</x:v>
      </x:c>
      <x:c r="I85" s="33"/>
      <x:c r="J85" s="33"/>
      <x:c r="AU85" s="101" t="str">
        <x:f t="shared" si="3"/>
      </x:c>
      <x:c r="AV85" s="57"/>
    </x:row>
    <x:row r="86">
      <x:c r="F86" s="33" t="str">
        <x:f t="shared" si="2"/>
      </x:c>
      <x:c r="G86" s="33"/>
      <x:c r="H86" s="38">
        <x:v>84</x:v>
      </x:c>
      <x:c r="I86" s="33"/>
      <x:c r="J86" s="33"/>
      <x:c r="AU86" s="101" t="str">
        <x:f t="shared" si="3"/>
      </x:c>
      <x:c r="AV86" s="57"/>
    </x:row>
    <x:row r="87">
      <x:c r="F87" s="33" t="str">
        <x:f t="shared" si="2"/>
      </x:c>
      <x:c r="G87" s="33"/>
      <x:c r="H87" s="38">
        <x:v>85</x:v>
      </x:c>
      <x:c r="I87" s="33"/>
      <x:c r="J87" s="33"/>
      <x:c r="AU87" s="101" t="str">
        <x:f t="shared" si="3"/>
      </x:c>
      <x:c r="AV87" s="57"/>
    </x:row>
    <x:row r="88">
      <x:c r="F88" s="33" t="str">
        <x:f t="shared" si="2"/>
      </x:c>
      <x:c r="G88" s="33"/>
      <x:c r="H88" s="38">
        <x:v>86</x:v>
      </x:c>
      <x:c r="I88" s="33"/>
      <x:c r="J88" s="33"/>
      <x:c r="AU88" s="101" t="str">
        <x:f t="shared" si="3"/>
      </x:c>
      <x:c r="AV88" s="57"/>
    </x:row>
    <x:row r="89">
      <x:c r="F89" s="33" t="str">
        <x:f t="shared" si="2"/>
      </x:c>
      <x:c r="G89" s="33"/>
      <x:c r="H89" s="38">
        <x:v>87</x:v>
      </x:c>
      <x:c r="I89" s="33"/>
      <x:c r="J89" s="33"/>
      <x:c r="AU89" s="101" t="str">
        <x:f t="shared" si="3"/>
      </x:c>
      <x:c r="AV89" s="57"/>
    </x:row>
    <x:row r="90">
      <x:c r="F90" s="33" t="str">
        <x:f t="shared" si="2"/>
      </x:c>
      <x:c r="G90" s="33"/>
      <x:c r="H90" s="38">
        <x:v>88</x:v>
      </x:c>
      <x:c r="I90" s="33"/>
      <x:c r="J90" s="33"/>
      <x:c r="AU90" s="101" t="str">
        <x:f t="shared" si="3"/>
      </x:c>
      <x:c r="AV90" s="57"/>
    </x:row>
    <x:row r="91">
      <x:c r="F91" s="33" t="str">
        <x:f t="shared" si="2"/>
      </x:c>
      <x:c r="G91" s="33"/>
      <x:c r="H91" s="38">
        <x:v>89</x:v>
      </x:c>
      <x:c r="I91" s="33"/>
      <x:c r="J91" s="33"/>
      <x:c r="AU91" s="101" t="str">
        <x:f t="shared" si="3"/>
      </x:c>
      <x:c r="AV91" s="57"/>
    </x:row>
    <x:row r="92">
      <x:c r="F92" s="33" t="str">
        <x:f t="shared" si="2"/>
      </x:c>
      <x:c r="G92" s="33"/>
      <x:c r="H92" s="38">
        <x:v>90</x:v>
      </x:c>
      <x:c r="I92" s="33"/>
      <x:c r="J92" s="33"/>
      <x:c r="AU92" s="101" t="str">
        <x:f t="shared" si="3"/>
      </x:c>
      <x:c r="AV92" s="57"/>
    </x:row>
    <x:row r="93">
      <x:c r="F93" s="33" t="str">
        <x:f t="shared" si="2"/>
      </x:c>
      <x:c r="G93" s="33"/>
      <x:c r="H93" s="38">
        <x:v>91</x:v>
      </x:c>
      <x:c r="I93" s="33"/>
      <x:c r="J93" s="33"/>
      <x:c r="AU93" s="101" t="str">
        <x:f t="shared" si="3"/>
      </x:c>
      <x:c r="AV93" s="57"/>
    </x:row>
    <x:row r="94">
      <x:c r="F94" s="33" t="str">
        <x:f t="shared" si="2"/>
      </x:c>
      <x:c r="G94" s="33"/>
      <x:c r="H94" s="38">
        <x:v>92</x:v>
      </x:c>
      <x:c r="I94" s="33"/>
      <x:c r="J94" s="33"/>
      <x:c r="AU94" s="101" t="str">
        <x:f t="shared" si="3"/>
      </x:c>
      <x:c r="AV94" s="57"/>
    </x:row>
    <x:row r="95">
      <x:c r="F95" s="33" t="str">
        <x:f t="shared" si="2"/>
      </x:c>
      <x:c r="G95" s="33"/>
      <x:c r="H95" s="38">
        <x:v>93</x:v>
      </x:c>
      <x:c r="I95" s="33"/>
      <x:c r="J95" s="33"/>
      <x:c r="AU95" s="101" t="str">
        <x:f t="shared" si="3"/>
      </x:c>
      <x:c r="AV95" s="57"/>
    </x:row>
    <x:row r="96">
      <x:c r="F96" s="33" t="str">
        <x:f t="shared" si="2"/>
      </x:c>
      <x:c r="G96" s="33"/>
      <x:c r="H96" s="38">
        <x:v>94</x:v>
      </x:c>
      <x:c r="I96" s="33"/>
      <x:c r="J96" s="33"/>
      <x:c r="AU96" s="101" t="str">
        <x:f t="shared" si="3"/>
      </x:c>
      <x:c r="AV96" s="57"/>
    </x:row>
    <x:row r="97">
      <x:c r="F97" s="33" t="str">
        <x:f t="shared" si="2"/>
      </x:c>
      <x:c r="G97" s="33"/>
      <x:c r="H97" s="38">
        <x:v>95</x:v>
      </x:c>
      <x:c r="I97" s="33"/>
      <x:c r="J97" s="33"/>
      <x:c r="AU97" s="101" t="str">
        <x:f t="shared" si="3"/>
      </x:c>
      <x:c r="AV97" s="57"/>
    </x:row>
    <x:row r="98">
      <x:c r="F98" s="33" t="str">
        <x:f t="shared" si="2"/>
      </x:c>
      <x:c r="G98" s="33"/>
      <x:c r="H98" s="38">
        <x:v>96</x:v>
      </x:c>
      <x:c r="I98" s="33"/>
      <x:c r="J98" s="33"/>
      <x:c r="AU98" s="101" t="str">
        <x:f t="shared" si="3"/>
      </x:c>
      <x:c r="AV98" s="57"/>
    </x:row>
    <x:row r="99">
      <x:c r="F99" s="33" t="str">
        <x:f t="shared" si="2"/>
      </x:c>
      <x:c r="G99" s="33"/>
      <x:c r="H99" s="38">
        <x:v>97</x:v>
      </x:c>
      <x:c r="I99" s="33"/>
      <x:c r="J99" s="33"/>
      <x:c r="AU99" s="101" t="str">
        <x:f t="shared" si="3"/>
      </x:c>
      <x:c r="AV99" s="57"/>
    </x:row>
    <x:row r="100">
      <x:c r="F100" s="33" t="str">
        <x:f t="shared" si="2"/>
      </x:c>
      <x:c r="G100" s="33"/>
      <x:c r="H100" s="38">
        <x:v>98</x:v>
      </x:c>
      <x:c r="I100" s="33"/>
      <x:c r="J100" s="33"/>
      <x:c r="AU100" s="101" t="str">
        <x:f t="shared" si="3"/>
      </x:c>
      <x:c r="AV100" s="57"/>
    </x:row>
    <x:row r="101">
      <x:c r="F101" s="33" t="str">
        <x:f t="shared" si="2"/>
      </x:c>
      <x:c r="G101" s="33"/>
      <x:c r="H101" s="38">
        <x:v>99</x:v>
      </x:c>
      <x:c r="I101" s="33"/>
      <x:c r="J101" s="33"/>
      <x:c r="AU101" s="101" t="str">
        <x:f t="shared" si="3"/>
      </x:c>
      <x:c r="AV101" s="57"/>
    </x:row>
    <x:row r="102">
      <x:c r="F102" s="33" t="str">
        <x:f t="shared" si="2"/>
      </x:c>
      <x:c r="G102" s="33"/>
      <x:c r="H102" s="38">
        <x:v>100</x:v>
      </x:c>
      <x:c r="I102" s="33"/>
      <x:c r="J102" s="33"/>
      <x:c r="AU102" s="101" t="str">
        <x:f t="shared" si="3"/>
      </x:c>
      <x:c r="AV102" s="57"/>
    </x:row>
    <x:row r="103">
      <x:c r="F103" s="33" t="str">
        <x:f t="shared" si="2"/>
      </x:c>
      <x:c r="G103" s="33"/>
      <x:c r="H103" s="38">
        <x:v>101</x:v>
      </x:c>
      <x:c r="I103" s="33"/>
      <x:c r="J103" s="33"/>
      <x:c r="AU103" s="101" t="str">
        <x:f t="shared" si="3"/>
      </x:c>
      <x:c r="AV103" s="57"/>
    </x:row>
    <x:row r="104">
      <x:c r="F104" s="33" t="str">
        <x:f t="shared" si="2"/>
      </x:c>
      <x:c r="G104" s="33"/>
      <x:c r="H104" s="38">
        <x:v>102</x:v>
      </x:c>
      <x:c r="I104" s="33"/>
      <x:c r="J104" s="33"/>
      <x:c r="AU104" s="101" t="str">
        <x:f t="shared" si="3"/>
      </x:c>
      <x:c r="AV104" s="57"/>
    </x:row>
    <x:row r="105">
      <x:c r="F105" s="33" t="str">
        <x:f t="shared" si="2"/>
      </x:c>
      <x:c r="G105" s="33"/>
      <x:c r="H105" s="38">
        <x:v>103</x:v>
      </x:c>
      <x:c r="I105" s="33"/>
      <x:c r="J105" s="33"/>
      <x:c r="AU105" s="101" t="str">
        <x:f t="shared" si="3"/>
      </x:c>
      <x:c r="AV105" s="57"/>
    </x:row>
    <x:row r="106">
      <x:c r="F106" s="33" t="str">
        <x:f t="shared" si="2"/>
      </x:c>
      <x:c r="G106" s="33"/>
      <x:c r="H106" s="38">
        <x:v>104</x:v>
      </x:c>
      <x:c r="I106" s="33"/>
      <x:c r="J106" s="33"/>
      <x:c r="AU106" s="101" t="str">
        <x:f t="shared" si="3"/>
      </x:c>
      <x:c r="AV106" s="57"/>
    </x:row>
    <x:row r="107">
      <x:c r="F107" s="33" t="str">
        <x:f t="shared" si="2"/>
      </x:c>
      <x:c r="G107" s="33"/>
      <x:c r="H107" s="38">
        <x:v>105</x:v>
      </x:c>
      <x:c r="I107" s="33"/>
      <x:c r="J107" s="33"/>
      <x:c r="AU107" s="101" t="str">
        <x:f t="shared" si="3"/>
      </x:c>
      <x:c r="AV107" s="57"/>
    </x:row>
    <x:row r="108">
      <x:c r="F108" s="33" t="str">
        <x:f t="shared" si="2"/>
      </x:c>
      <x:c r="G108" s="33"/>
      <x:c r="H108" s="38">
        <x:v>106</x:v>
      </x:c>
      <x:c r="I108" s="33"/>
      <x:c r="J108" s="33"/>
      <x:c r="AU108" s="101" t="str">
        <x:f t="shared" si="3"/>
      </x:c>
      <x:c r="AV108" s="57"/>
    </x:row>
    <x:row r="109">
      <x:c r="F109" s="33" t="str">
        <x:f t="shared" si="2"/>
      </x:c>
      <x:c r="G109" s="33"/>
      <x:c r="H109" s="38">
        <x:v>107</x:v>
      </x:c>
      <x:c r="I109" s="33"/>
      <x:c r="J109" s="33"/>
      <x:c r="AU109" s="101" t="str">
        <x:f t="shared" si="3"/>
      </x:c>
      <x:c r="AV109" s="57"/>
    </x:row>
    <x:row r="110">
      <x:c r="F110" s="33" t="str">
        <x:f t="shared" si="2"/>
      </x:c>
      <x:c r="G110" s="33"/>
      <x:c r="H110" s="38">
        <x:v>108</x:v>
      </x:c>
      <x:c r="I110" s="33"/>
      <x:c r="J110" s="33"/>
      <x:c r="AU110" s="101" t="str">
        <x:f t="shared" si="3"/>
      </x:c>
      <x:c r="AV110" s="57"/>
    </x:row>
    <x:row r="111">
      <x:c r="F111" s="33" t="str">
        <x:f t="shared" si="2"/>
      </x:c>
      <x:c r="G111" s="33"/>
      <x:c r="H111" s="38">
        <x:v>109</x:v>
      </x:c>
      <x:c r="I111" s="33"/>
      <x:c r="J111" s="33"/>
      <x:c r="AU111" s="101" t="str">
        <x:f t="shared" si="3"/>
      </x:c>
      <x:c r="AV111" s="57"/>
    </x:row>
    <x:row r="112">
      <x:c r="F112" s="33" t="str">
        <x:f t="shared" si="2"/>
      </x:c>
      <x:c r="G112" s="33"/>
      <x:c r="H112" s="38">
        <x:v>110</x:v>
      </x:c>
      <x:c r="I112" s="33"/>
      <x:c r="J112" s="33"/>
      <x:c r="AU112" s="101" t="str">
        <x:f t="shared" si="3"/>
      </x:c>
      <x:c r="AV112" s="57"/>
    </x:row>
    <x:row r="113">
      <x:c r="F113" s="33" t="str">
        <x:f t="shared" si="2"/>
      </x:c>
      <x:c r="G113" s="33"/>
      <x:c r="H113" s="38">
        <x:v>111</x:v>
      </x:c>
      <x:c r="I113" s="33"/>
      <x:c r="J113" s="33"/>
      <x:c r="AU113" s="101" t="str">
        <x:f t="shared" si="3"/>
      </x:c>
      <x:c r="AV113" s="57"/>
    </x:row>
    <x:row r="114">
      <x:c r="F114" s="33" t="str">
        <x:f t="shared" si="2"/>
      </x:c>
      <x:c r="G114" s="33"/>
      <x:c r="H114" s="38">
        <x:v>112</x:v>
      </x:c>
      <x:c r="I114" s="33"/>
      <x:c r="J114" s="33"/>
      <x:c r="AU114" s="101" t="str">
        <x:f t="shared" si="3"/>
      </x:c>
      <x:c r="AV114" s="57"/>
    </x:row>
    <x:row r="115">
      <x:c r="F115" s="33" t="str">
        <x:f t="shared" si="2"/>
      </x:c>
      <x:c r="G115" s="33"/>
      <x:c r="H115" s="38">
        <x:v>113</x:v>
      </x:c>
      <x:c r="I115" s="33"/>
      <x:c r="J115" s="33"/>
      <x:c r="AU115" s="101" t="str">
        <x:f t="shared" si="3"/>
      </x:c>
      <x:c r="AV115" s="57"/>
    </x:row>
    <x:row r="116">
      <x:c r="F116" s="33" t="str">
        <x:f t="shared" si="2"/>
      </x:c>
      <x:c r="G116" s="33"/>
      <x:c r="H116" s="38">
        <x:v>114</x:v>
      </x:c>
      <x:c r="I116" s="33"/>
      <x:c r="J116" s="33"/>
      <x:c r="AU116" s="101" t="str">
        <x:f t="shared" si="3"/>
      </x:c>
      <x:c r="AV116" s="57"/>
    </x:row>
    <x:row r="117">
      <x:c r="F117" s="33" t="str">
        <x:f t="shared" si="2"/>
      </x:c>
      <x:c r="G117" s="33"/>
      <x:c r="H117" s="38">
        <x:v>115</x:v>
      </x:c>
      <x:c r="I117" s="33"/>
      <x:c r="J117" s="33"/>
      <x:c r="AU117" s="101" t="str">
        <x:f t="shared" si="3"/>
      </x:c>
      <x:c r="AV117" s="57"/>
    </x:row>
    <x:row r="118">
      <x:c r="F118" s="33" t="str">
        <x:f t="shared" si="2"/>
      </x:c>
      <x:c r="G118" s="33"/>
      <x:c r="H118" s="38">
        <x:v>116</x:v>
      </x:c>
      <x:c r="I118" s="33"/>
      <x:c r="J118" s="33"/>
      <x:c r="AU118" s="101" t="str">
        <x:f t="shared" si="3"/>
      </x:c>
      <x:c r="AV118" s="57"/>
    </x:row>
    <x:row r="119">
      <x:c r="F119" s="33" t="str">
        <x:f t="shared" si="2"/>
      </x:c>
      <x:c r="G119" s="33"/>
      <x:c r="H119" s="38">
        <x:v>117</x:v>
      </x:c>
      <x:c r="I119" s="33"/>
      <x:c r="J119" s="33"/>
      <x:c r="AU119" s="101" t="str">
        <x:f t="shared" si="3"/>
      </x:c>
      <x:c r="AV119" s="57"/>
    </x:row>
    <x:row r="120">
      <x:c r="F120" s="33" t="str">
        <x:f t="shared" si="2"/>
      </x:c>
      <x:c r="G120" s="33"/>
      <x:c r="H120" s="38">
        <x:v>118</x:v>
      </x:c>
      <x:c r="I120" s="33"/>
      <x:c r="J120" s="33"/>
      <x:c r="AU120" s="101" t="str">
        <x:f t="shared" si="3"/>
      </x:c>
      <x:c r="AV120" s="57"/>
    </x:row>
    <x:row r="121">
      <x:c r="F121" s="33" t="str">
        <x:f t="shared" si="2"/>
      </x:c>
      <x:c r="G121" s="33"/>
      <x:c r="H121" s="38">
        <x:v>119</x:v>
      </x:c>
      <x:c r="I121" s="33"/>
      <x:c r="J121" s="33"/>
      <x:c r="AU121" s="101" t="str">
        <x:f t="shared" si="3"/>
      </x:c>
      <x:c r="AV121" s="57"/>
    </x:row>
    <x:row r="122">
      <x:c r="F122" s="33" t="str">
        <x:f t="shared" si="2"/>
      </x:c>
      <x:c r="G122" s="33"/>
      <x:c r="H122" s="38">
        <x:v>120</x:v>
      </x:c>
      <x:c r="I122" s="33"/>
      <x:c r="J122" s="33"/>
      <x:c r="AU122" s="101" t="str">
        <x:f t="shared" si="3"/>
      </x:c>
      <x:c r="AV122" s="57"/>
    </x:row>
    <x:row r="123">
      <x:c r="F123" s="33" t="str">
        <x:f t="shared" si="2"/>
      </x:c>
      <x:c r="G123" s="33"/>
      <x:c r="H123" s="38">
        <x:v>121</x:v>
      </x:c>
      <x:c r="I123" s="33"/>
      <x:c r="J123" s="33"/>
      <x:c r="AU123" s="101" t="str">
        <x:f t="shared" si="3"/>
      </x:c>
      <x:c r="AV123" s="57"/>
    </x:row>
    <x:row r="124">
      <x:c r="F124" s="33" t="str">
        <x:f t="shared" si="2"/>
      </x:c>
      <x:c r="G124" s="33"/>
      <x:c r="H124" s="38">
        <x:v>122</x:v>
      </x:c>
      <x:c r="I124" s="33"/>
      <x:c r="J124" s="33"/>
      <x:c r="AU124" s="101" t="str">
        <x:f t="shared" si="3"/>
      </x:c>
      <x:c r="AV124" s="57"/>
    </x:row>
    <x:row r="125">
      <x:c r="F125" s="33" t="str">
        <x:f t="shared" si="2"/>
      </x:c>
      <x:c r="G125" s="33"/>
      <x:c r="H125" s="38">
        <x:v>123</x:v>
      </x:c>
      <x:c r="I125" s="33"/>
      <x:c r="J125" s="33"/>
      <x:c r="AU125" s="101" t="str">
        <x:f t="shared" si="3"/>
      </x:c>
      <x:c r="AV125" s="57"/>
    </x:row>
    <x:row r="126">
      <x:c r="F126" s="33" t="str">
        <x:f t="shared" si="2"/>
      </x:c>
      <x:c r="G126" s="33"/>
      <x:c r="H126" s="38">
        <x:v>124</x:v>
      </x:c>
      <x:c r="I126" s="33"/>
      <x:c r="J126" s="33"/>
      <x:c r="AU126" s="101" t="str">
        <x:f t="shared" si="3"/>
      </x:c>
      <x:c r="AV126" s="57"/>
    </x:row>
    <x:row r="127">
      <x:c r="F127" s="33" t="str">
        <x:f t="shared" si="2"/>
      </x:c>
      <x:c r="G127" s="33"/>
      <x:c r="H127" s="38">
        <x:v>125</x:v>
      </x:c>
      <x:c r="I127" s="33"/>
      <x:c r="J127" s="33"/>
      <x:c r="AU127" s="101" t="str">
        <x:f t="shared" si="3"/>
      </x:c>
      <x:c r="AV127" s="57"/>
    </x:row>
    <x:row r="128">
      <x:c r="F128" s="33" t="str">
        <x:f t="shared" si="2"/>
      </x:c>
      <x:c r="G128" s="33"/>
      <x:c r="H128" s="38">
        <x:v>126</x:v>
      </x:c>
      <x:c r="I128" s="33"/>
      <x:c r="J128" s="33"/>
      <x:c r="AU128" s="101" t="str">
        <x:f t="shared" si="3"/>
      </x:c>
      <x:c r="AV128" s="57"/>
    </x:row>
    <x:row r="129">
      <x:c r="F129" s="33" t="str">
        <x:f t="shared" si="2"/>
      </x:c>
      <x:c r="G129" s="33"/>
      <x:c r="H129" s="38">
        <x:v>127</x:v>
      </x:c>
      <x:c r="I129" s="33"/>
      <x:c r="J129" s="33"/>
      <x:c r="AU129" s="101" t="str">
        <x:f t="shared" si="3"/>
      </x:c>
      <x:c r="AV129" s="57"/>
    </x:row>
    <x:row r="130">
      <x:c r="F130" s="33" t="str">
        <x:f t="shared" si="2"/>
      </x:c>
      <x:c r="G130" s="33"/>
      <x:c r="H130" s="38">
        <x:v>128</x:v>
      </x:c>
      <x:c r="I130" s="33"/>
      <x:c r="J130" s="33"/>
      <x:c r="AU130" s="101" t="str">
        <x:f t="shared" si="3"/>
      </x:c>
      <x:c r="AV130" s="57"/>
    </x:row>
    <x:row r="131">
      <x:c r="F131" s="33" t="str">
        <x:f t="shared" si="2"/>
      </x:c>
      <x:c r="G131" s="33"/>
      <x:c r="H131" s="38">
        <x:v>129</x:v>
      </x:c>
      <x:c r="I131" s="33"/>
      <x:c r="J131" s="33"/>
      <x:c r="AU131" s="101" t="str">
        <x:f t="shared" si="3"/>
      </x:c>
      <x:c r="AV131" s="57"/>
    </x:row>
    <x:row r="132">
      <x:c r="F132" s="33" t="str">
        <x:f t="shared" ref="F132:F195" si="4">_xlfn.IFNA(IF($H132+1&gt;$G$2,"",INDEX(INDIRECT("SubnetsVLANs!$D$"&amp;$H132+2&amp;":$D$"&amp;$G$2),MATCH("vlan*",INDIRECT("SubnetsVLANs!$E$"&amp;$H132+2&amp;":$E$"&amp;$G$2),0))),"")</x:f>
      </x:c>
      <x:c r="G132" s="33"/>
      <x:c r="H132" s="38">
        <x:v>130</x:v>
      </x:c>
      <x:c r="I132" s="33"/>
      <x:c r="J132" s="33"/>
      <x:c r="AU132" s="101" t="str">
        <x:f t="shared" ref="AU132:AU195" si="5">_xlfn.IFNA(IF($H132+1&gt;$G$2,"",INDEX(INDIRECT("SubnetsVLANs!$D$"&amp;$H132+2&amp;":$D$"&amp;$G$2),MATCH("Subnet*",INDIRECT("SubnetsVLANs!$E$"&amp;$H132+2&amp;":$E$"&amp;$G$2),0))),"")</x:f>
      </x:c>
      <x:c r="AV132" s="57"/>
    </x:row>
    <x:row r="133">
      <x:c r="F133" s="33" t="str">
        <x:f t="shared" si="4"/>
      </x:c>
      <x:c r="G133" s="33"/>
      <x:c r="H133" s="38">
        <x:v>131</x:v>
      </x:c>
      <x:c r="I133" s="33"/>
      <x:c r="J133" s="33"/>
      <x:c r="AU133" s="101" t="str">
        <x:f t="shared" si="5"/>
      </x:c>
      <x:c r="AV133" s="57"/>
    </x:row>
    <x:row r="134">
      <x:c r="F134" s="33" t="str">
        <x:f t="shared" si="4"/>
      </x:c>
      <x:c r="G134" s="33"/>
      <x:c r="H134" s="38">
        <x:v>132</x:v>
      </x:c>
      <x:c r="I134" s="33"/>
      <x:c r="J134" s="33"/>
      <x:c r="AU134" s="101" t="str">
        <x:f t="shared" si="5"/>
      </x:c>
      <x:c r="AV134" s="57"/>
    </x:row>
    <x:row r="135">
      <x:c r="F135" s="33" t="str">
        <x:f t="shared" si="4"/>
      </x:c>
      <x:c r="G135" s="33"/>
      <x:c r="H135" s="38">
        <x:v>133</x:v>
      </x:c>
      <x:c r="I135" s="33"/>
      <x:c r="J135" s="33"/>
      <x:c r="AU135" s="101" t="str">
        <x:f t="shared" si="5"/>
      </x:c>
      <x:c r="AV135" s="57"/>
    </x:row>
    <x:row r="136">
      <x:c r="F136" s="33" t="str">
        <x:f t="shared" si="4"/>
      </x:c>
      <x:c r="G136" s="33"/>
      <x:c r="H136" s="38">
        <x:v>134</x:v>
      </x:c>
      <x:c r="I136" s="33"/>
      <x:c r="J136" s="33"/>
      <x:c r="AU136" s="101" t="str">
        <x:f t="shared" si="5"/>
      </x:c>
      <x:c r="AV136" s="57"/>
    </x:row>
    <x:row r="137">
      <x:c r="F137" s="33" t="str">
        <x:f t="shared" si="4"/>
      </x:c>
      <x:c r="G137" s="33"/>
      <x:c r="H137" s="38">
        <x:v>135</x:v>
      </x:c>
      <x:c r="I137" s="33"/>
      <x:c r="J137" s="33"/>
      <x:c r="AU137" s="101" t="str">
        <x:f t="shared" si="5"/>
      </x:c>
      <x:c r="AV137" s="57"/>
    </x:row>
    <x:row r="138">
      <x:c r="F138" s="33" t="str">
        <x:f t="shared" si="4"/>
      </x:c>
      <x:c r="G138" s="33"/>
      <x:c r="H138" s="38">
        <x:v>136</x:v>
      </x:c>
      <x:c r="I138" s="33"/>
      <x:c r="J138" s="33"/>
      <x:c r="AU138" s="101" t="str">
        <x:f t="shared" si="5"/>
      </x:c>
      <x:c r="AV138" s="57"/>
    </x:row>
    <x:row r="139">
      <x:c r="F139" s="33" t="str">
        <x:f t="shared" si="4"/>
      </x:c>
      <x:c r="G139" s="33"/>
      <x:c r="H139" s="38">
        <x:v>137</x:v>
      </x:c>
      <x:c r="I139" s="33"/>
      <x:c r="J139" s="33"/>
      <x:c r="AU139" s="101" t="str">
        <x:f t="shared" si="5"/>
      </x:c>
      <x:c r="AV139" s="57"/>
    </x:row>
    <x:row r="140">
      <x:c r="F140" s="33" t="str">
        <x:f t="shared" si="4"/>
      </x:c>
      <x:c r="G140" s="33"/>
      <x:c r="H140" s="38">
        <x:v>138</x:v>
      </x:c>
      <x:c r="I140" s="33"/>
      <x:c r="J140" s="33"/>
      <x:c r="AU140" s="101" t="str">
        <x:f t="shared" si="5"/>
      </x:c>
      <x:c r="AV140" s="57"/>
    </x:row>
    <x:row r="141">
      <x:c r="F141" s="33" t="str">
        <x:f t="shared" si="4"/>
      </x:c>
      <x:c r="G141" s="33"/>
      <x:c r="H141" s="38">
        <x:v>139</x:v>
      </x:c>
      <x:c r="I141" s="33"/>
      <x:c r="J141" s="33"/>
      <x:c r="AU141" s="101" t="str">
        <x:f t="shared" si="5"/>
      </x:c>
      <x:c r="AV141" s="57"/>
    </x:row>
    <x:row r="142">
      <x:c r="F142" s="33" t="str">
        <x:f t="shared" si="4"/>
      </x:c>
      <x:c r="G142" s="33"/>
      <x:c r="H142" s="38">
        <x:v>140</x:v>
      </x:c>
      <x:c r="I142" s="33"/>
      <x:c r="J142" s="33"/>
      <x:c r="AU142" s="101" t="str">
        <x:f t="shared" si="5"/>
      </x:c>
      <x:c r="AV142" s="57"/>
    </x:row>
    <x:row r="143">
      <x:c r="F143" s="33" t="str">
        <x:f t="shared" si="4"/>
      </x:c>
      <x:c r="G143" s="33"/>
      <x:c r="H143" s="38">
        <x:v>141</x:v>
      </x:c>
      <x:c r="I143" s="33"/>
      <x:c r="J143" s="33"/>
      <x:c r="AU143" s="101" t="str">
        <x:f t="shared" si="5"/>
      </x:c>
      <x:c r="AV143" s="57"/>
    </x:row>
    <x:row r="144">
      <x:c r="F144" s="33" t="str">
        <x:f t="shared" si="4"/>
      </x:c>
      <x:c r="G144" s="33"/>
      <x:c r="H144" s="38">
        <x:v>142</x:v>
      </x:c>
      <x:c r="I144" s="33"/>
      <x:c r="J144" s="33"/>
      <x:c r="AU144" s="101" t="str">
        <x:f t="shared" si="5"/>
      </x:c>
      <x:c r="AV144" s="57"/>
    </x:row>
    <x:row r="145">
      <x:c r="F145" s="33" t="str">
        <x:f t="shared" si="4"/>
      </x:c>
      <x:c r="G145" s="33"/>
      <x:c r="H145" s="38">
        <x:v>143</x:v>
      </x:c>
      <x:c r="I145" s="33"/>
      <x:c r="J145" s="33"/>
      <x:c r="AU145" s="101" t="str">
        <x:f t="shared" si="5"/>
      </x:c>
      <x:c r="AV145" s="57"/>
    </x:row>
    <x:row r="146">
      <x:c r="F146" s="33" t="str">
        <x:f t="shared" si="4"/>
      </x:c>
      <x:c r="G146" s="33"/>
      <x:c r="H146" s="38">
        <x:v>144</x:v>
      </x:c>
      <x:c r="I146" s="33"/>
      <x:c r="J146" s="33"/>
      <x:c r="AU146" s="101" t="str">
        <x:f t="shared" si="5"/>
      </x:c>
      <x:c r="AV146" s="57"/>
    </x:row>
    <x:row r="147">
      <x:c r="F147" s="33" t="str">
        <x:f t="shared" si="4"/>
      </x:c>
      <x:c r="G147" s="33"/>
      <x:c r="H147" s="38">
        <x:v>145</x:v>
      </x:c>
      <x:c r="I147" s="33"/>
      <x:c r="J147" s="33"/>
      <x:c r="AU147" s="101" t="str">
        <x:f t="shared" si="5"/>
      </x:c>
      <x:c r="AV147" s="57"/>
    </x:row>
    <x:row r="148">
      <x:c r="F148" s="33" t="str">
        <x:f t="shared" si="4"/>
      </x:c>
      <x:c r="G148" s="33"/>
      <x:c r="H148" s="38">
        <x:v>146</x:v>
      </x:c>
      <x:c r="I148" s="33"/>
      <x:c r="J148" s="33"/>
      <x:c r="AU148" s="101" t="str">
        <x:f t="shared" si="5"/>
      </x:c>
      <x:c r="AV148" s="57"/>
    </x:row>
    <x:row r="149">
      <x:c r="F149" s="33" t="str">
        <x:f t="shared" si="4"/>
      </x:c>
      <x:c r="G149" s="33"/>
      <x:c r="H149" s="38">
        <x:v>147</x:v>
      </x:c>
      <x:c r="I149" s="33"/>
      <x:c r="J149" s="33"/>
      <x:c r="AU149" s="101" t="str">
        <x:f t="shared" si="5"/>
      </x:c>
      <x:c r="AV149" s="57"/>
    </x:row>
    <x:row r="150">
      <x:c r="F150" s="33" t="str">
        <x:f t="shared" si="4"/>
      </x:c>
      <x:c r="G150" s="33"/>
      <x:c r="H150" s="38">
        <x:v>148</x:v>
      </x:c>
      <x:c r="I150" s="33"/>
      <x:c r="J150" s="33"/>
      <x:c r="AU150" s="101" t="str">
        <x:f t="shared" si="5"/>
      </x:c>
      <x:c r="AV150" s="57"/>
    </x:row>
    <x:row r="151">
      <x:c r="F151" s="33" t="str">
        <x:f t="shared" si="4"/>
      </x:c>
      <x:c r="G151" s="33"/>
      <x:c r="H151" s="38">
        <x:v>149</x:v>
      </x:c>
      <x:c r="I151" s="33"/>
      <x:c r="J151" s="33"/>
      <x:c r="AU151" s="101" t="str">
        <x:f t="shared" si="5"/>
      </x:c>
      <x:c r="AV151" s="57"/>
    </x:row>
    <x:row r="152">
      <x:c r="F152" s="33" t="str">
        <x:f t="shared" si="4"/>
      </x:c>
      <x:c r="G152" s="33"/>
      <x:c r="H152" s="38">
        <x:v>150</x:v>
      </x:c>
      <x:c r="I152" s="33"/>
      <x:c r="J152" s="33"/>
      <x:c r="AU152" s="101" t="str">
        <x:f t="shared" si="5"/>
      </x:c>
      <x:c r="AV152" s="57"/>
    </x:row>
    <x:row r="153">
      <x:c r="F153" s="33" t="str">
        <x:f t="shared" si="4"/>
      </x:c>
      <x:c r="G153" s="33"/>
      <x:c r="H153" s="38">
        <x:v>151</x:v>
      </x:c>
      <x:c r="I153" s="33"/>
      <x:c r="J153" s="33"/>
      <x:c r="AU153" s="101" t="str">
        <x:f t="shared" si="5"/>
      </x:c>
      <x:c r="AV153" s="57"/>
    </x:row>
    <x:row r="154">
      <x:c r="F154" s="33" t="str">
        <x:f t="shared" si="4"/>
      </x:c>
      <x:c r="G154" s="33"/>
      <x:c r="H154" s="38">
        <x:v>152</x:v>
      </x:c>
      <x:c r="I154" s="33"/>
      <x:c r="J154" s="33"/>
      <x:c r="AU154" s="101" t="str">
        <x:f t="shared" si="5"/>
      </x:c>
      <x:c r="AV154" s="57"/>
    </x:row>
    <x:row r="155">
      <x:c r="F155" s="33" t="str">
        <x:f t="shared" si="4"/>
      </x:c>
      <x:c r="G155" s="33"/>
      <x:c r="H155" s="38">
        <x:v>153</x:v>
      </x:c>
      <x:c r="I155" s="33"/>
      <x:c r="J155" s="33"/>
      <x:c r="AU155" s="101" t="str">
        <x:f t="shared" si="5"/>
      </x:c>
      <x:c r="AV155" s="57"/>
    </x:row>
    <x:row r="156">
      <x:c r="F156" s="33" t="str">
        <x:f t="shared" si="4"/>
      </x:c>
      <x:c r="G156" s="33"/>
      <x:c r="H156" s="38">
        <x:v>154</x:v>
      </x:c>
      <x:c r="I156" s="33"/>
      <x:c r="J156" s="33"/>
      <x:c r="AU156" s="101" t="str">
        <x:f t="shared" si="5"/>
      </x:c>
      <x:c r="AV156" s="57"/>
    </x:row>
    <x:row r="157">
      <x:c r="F157" s="33" t="str">
        <x:f t="shared" si="4"/>
      </x:c>
      <x:c r="G157" s="33"/>
      <x:c r="H157" s="38">
        <x:v>155</x:v>
      </x:c>
      <x:c r="I157" s="33"/>
      <x:c r="J157" s="33"/>
      <x:c r="AU157" s="101" t="str">
        <x:f t="shared" si="5"/>
      </x:c>
      <x:c r="AV157" s="57"/>
    </x:row>
    <x:row r="158">
      <x:c r="F158" s="33" t="str">
        <x:f t="shared" si="4"/>
      </x:c>
      <x:c r="G158" s="33"/>
      <x:c r="H158" s="38">
        <x:v>156</x:v>
      </x:c>
      <x:c r="I158" s="33"/>
      <x:c r="J158" s="33"/>
      <x:c r="AU158" s="101" t="str">
        <x:f t="shared" si="5"/>
      </x:c>
      <x:c r="AV158" s="57"/>
    </x:row>
    <x:row r="159">
      <x:c r="F159" s="33" t="str">
        <x:f t="shared" si="4"/>
      </x:c>
      <x:c r="G159" s="33"/>
      <x:c r="H159" s="38">
        <x:v>157</x:v>
      </x:c>
      <x:c r="I159" s="33"/>
      <x:c r="J159" s="33"/>
      <x:c r="AU159" s="101" t="str">
        <x:f t="shared" si="5"/>
      </x:c>
      <x:c r="AV159" s="57"/>
    </x:row>
    <x:row r="160">
      <x:c r="F160" s="33" t="str">
        <x:f t="shared" si="4"/>
      </x:c>
      <x:c r="G160" s="33"/>
      <x:c r="H160" s="38">
        <x:v>158</x:v>
      </x:c>
      <x:c r="I160" s="33"/>
      <x:c r="J160" s="33"/>
      <x:c r="AU160" s="101" t="str">
        <x:f t="shared" si="5"/>
      </x:c>
      <x:c r="AV160" s="57"/>
    </x:row>
    <x:row r="161">
      <x:c r="F161" s="33" t="str">
        <x:f t="shared" si="4"/>
      </x:c>
      <x:c r="G161" s="33"/>
      <x:c r="H161" s="38">
        <x:v>159</x:v>
      </x:c>
      <x:c r="I161" s="33"/>
      <x:c r="J161" s="33"/>
      <x:c r="AU161" s="101" t="str">
        <x:f t="shared" si="5"/>
      </x:c>
      <x:c r="AV161" s="57"/>
    </x:row>
    <x:row r="162">
      <x:c r="F162" s="33" t="str">
        <x:f t="shared" si="4"/>
      </x:c>
      <x:c r="G162" s="33"/>
      <x:c r="H162" s="38">
        <x:v>160</x:v>
      </x:c>
      <x:c r="I162" s="33"/>
      <x:c r="J162" s="33"/>
      <x:c r="AU162" s="101" t="str">
        <x:f t="shared" si="5"/>
      </x:c>
      <x:c r="AV162" s="57"/>
    </x:row>
    <x:row r="163">
      <x:c r="F163" s="33" t="str">
        <x:f t="shared" si="4"/>
      </x:c>
      <x:c r="G163" s="33"/>
      <x:c r="H163" s="38">
        <x:v>161</x:v>
      </x:c>
      <x:c r="I163" s="33"/>
      <x:c r="J163" s="33"/>
      <x:c r="AU163" s="101" t="str">
        <x:f t="shared" si="5"/>
      </x:c>
      <x:c r="AV163" s="57"/>
    </x:row>
    <x:row r="164">
      <x:c r="F164" s="33" t="str">
        <x:f t="shared" si="4"/>
      </x:c>
      <x:c r="G164" s="33"/>
      <x:c r="H164" s="38">
        <x:v>162</x:v>
      </x:c>
      <x:c r="I164" s="33"/>
      <x:c r="J164" s="33"/>
      <x:c r="AU164" s="101" t="str">
        <x:f t="shared" si="5"/>
      </x:c>
      <x:c r="AV164" s="57"/>
    </x:row>
    <x:row r="165">
      <x:c r="F165" s="33" t="str">
        <x:f t="shared" si="4"/>
      </x:c>
      <x:c r="G165" s="33"/>
      <x:c r="H165" s="38">
        <x:v>163</x:v>
      </x:c>
      <x:c r="I165" s="33"/>
      <x:c r="J165" s="33"/>
      <x:c r="AU165" s="101" t="str">
        <x:f t="shared" si="5"/>
      </x:c>
      <x:c r="AV165" s="57"/>
    </x:row>
    <x:row r="166">
      <x:c r="F166" s="33" t="str">
        <x:f t="shared" si="4"/>
      </x:c>
      <x:c r="G166" s="33"/>
      <x:c r="H166" s="38">
        <x:v>164</x:v>
      </x:c>
      <x:c r="I166" s="33"/>
      <x:c r="J166" s="33"/>
      <x:c r="AU166" s="101" t="str">
        <x:f t="shared" si="5"/>
      </x:c>
      <x:c r="AV166" s="57"/>
    </x:row>
    <x:row r="167">
      <x:c r="F167" s="33" t="str">
        <x:f t="shared" si="4"/>
      </x:c>
      <x:c r="G167" s="33"/>
      <x:c r="H167" s="38">
        <x:v>165</x:v>
      </x:c>
      <x:c r="I167" s="33"/>
      <x:c r="J167" s="33"/>
      <x:c r="AU167" s="101" t="str">
        <x:f t="shared" si="5"/>
      </x:c>
      <x:c r="AV167" s="57"/>
    </x:row>
    <x:row r="168">
      <x:c r="F168" s="33" t="str">
        <x:f t="shared" si="4"/>
      </x:c>
      <x:c r="G168" s="33"/>
      <x:c r="H168" s="38">
        <x:v>166</x:v>
      </x:c>
      <x:c r="I168" s="33"/>
      <x:c r="J168" s="33"/>
      <x:c r="AU168" s="101" t="str">
        <x:f t="shared" si="5"/>
      </x:c>
      <x:c r="AV168" s="57"/>
    </x:row>
    <x:row r="169">
      <x:c r="F169" s="33" t="str">
        <x:f t="shared" si="4"/>
      </x:c>
      <x:c r="G169" s="33"/>
      <x:c r="H169" s="38">
        <x:v>167</x:v>
      </x:c>
      <x:c r="I169" s="33"/>
      <x:c r="J169" s="33"/>
      <x:c r="AU169" s="101" t="str">
        <x:f t="shared" si="5"/>
      </x:c>
      <x:c r="AV169" s="57"/>
    </x:row>
    <x:row r="170">
      <x:c r="F170" s="33" t="str">
        <x:f t="shared" si="4"/>
      </x:c>
      <x:c r="G170" s="33"/>
      <x:c r="H170" s="38">
        <x:v>168</x:v>
      </x:c>
      <x:c r="I170" s="33"/>
      <x:c r="J170" s="33"/>
      <x:c r="AU170" s="101" t="str">
        <x:f t="shared" si="5"/>
      </x:c>
      <x:c r="AV170" s="57"/>
    </x:row>
    <x:row r="171">
      <x:c r="F171" s="33" t="str">
        <x:f t="shared" si="4"/>
      </x:c>
      <x:c r="G171" s="33"/>
      <x:c r="H171" s="38">
        <x:v>169</x:v>
      </x:c>
      <x:c r="I171" s="33"/>
      <x:c r="J171" s="33"/>
      <x:c r="AU171" s="101" t="str">
        <x:f t="shared" si="5"/>
      </x:c>
      <x:c r="AV171" s="57"/>
    </x:row>
    <x:row r="172">
      <x:c r="F172" s="33" t="str">
        <x:f t="shared" si="4"/>
      </x:c>
      <x:c r="G172" s="33"/>
      <x:c r="H172" s="38">
        <x:v>170</x:v>
      </x:c>
      <x:c r="I172" s="33"/>
      <x:c r="J172" s="33"/>
      <x:c r="AU172" s="101" t="str">
        <x:f t="shared" si="5"/>
      </x:c>
      <x:c r="AV172" s="57"/>
    </x:row>
    <x:row r="173">
      <x:c r="F173" s="33" t="str">
        <x:f t="shared" si="4"/>
      </x:c>
      <x:c r="G173" s="33"/>
      <x:c r="H173" s="38">
        <x:v>171</x:v>
      </x:c>
      <x:c r="I173" s="33"/>
      <x:c r="J173" s="33"/>
      <x:c r="AU173" s="101" t="str">
        <x:f t="shared" si="5"/>
      </x:c>
      <x:c r="AV173" s="57"/>
    </x:row>
    <x:row r="174">
      <x:c r="F174" s="33" t="str">
        <x:f t="shared" si="4"/>
      </x:c>
      <x:c r="G174" s="33"/>
      <x:c r="H174" s="38">
        <x:v>172</x:v>
      </x:c>
      <x:c r="I174" s="33"/>
      <x:c r="J174" s="33"/>
      <x:c r="AU174" s="101" t="str">
        <x:f t="shared" si="5"/>
      </x:c>
      <x:c r="AV174" s="57"/>
    </x:row>
    <x:row r="175">
      <x:c r="F175" s="33" t="str">
        <x:f t="shared" si="4"/>
      </x:c>
      <x:c r="G175" s="33"/>
      <x:c r="H175" s="38">
        <x:v>173</x:v>
      </x:c>
      <x:c r="I175" s="33"/>
      <x:c r="J175" s="33"/>
      <x:c r="AU175" s="101" t="str">
        <x:f t="shared" si="5"/>
      </x:c>
      <x:c r="AV175" s="57"/>
    </x:row>
    <x:row r="176">
      <x:c r="F176" s="33" t="str">
        <x:f t="shared" si="4"/>
      </x:c>
      <x:c r="G176" s="33"/>
      <x:c r="H176" s="38">
        <x:v>174</x:v>
      </x:c>
      <x:c r="I176" s="33"/>
      <x:c r="J176" s="33"/>
      <x:c r="AU176" s="101" t="str">
        <x:f t="shared" si="5"/>
      </x:c>
      <x:c r="AV176" s="57"/>
    </x:row>
    <x:row r="177">
      <x:c r="F177" s="33" t="str">
        <x:f t="shared" si="4"/>
      </x:c>
      <x:c r="G177" s="33"/>
      <x:c r="H177" s="38">
        <x:v>175</x:v>
      </x:c>
      <x:c r="I177" s="33"/>
      <x:c r="J177" s="33"/>
      <x:c r="AU177" s="101" t="str">
        <x:f t="shared" si="5"/>
      </x:c>
      <x:c r="AV177" s="57"/>
    </x:row>
    <x:row r="178">
      <x:c r="F178" s="33" t="str">
        <x:f t="shared" si="4"/>
      </x:c>
      <x:c r="G178" s="33"/>
      <x:c r="H178" s="38">
        <x:v>176</x:v>
      </x:c>
      <x:c r="I178" s="33"/>
      <x:c r="J178" s="33"/>
      <x:c r="AU178" s="101" t="str">
        <x:f t="shared" si="5"/>
      </x:c>
      <x:c r="AV178" s="57"/>
    </x:row>
    <x:row r="179">
      <x:c r="F179" s="33" t="str">
        <x:f t="shared" si="4"/>
      </x:c>
      <x:c r="G179" s="33"/>
      <x:c r="H179" s="38">
        <x:v>177</x:v>
      </x:c>
      <x:c r="I179" s="33"/>
      <x:c r="J179" s="33"/>
      <x:c r="AU179" s="101" t="str">
        <x:f t="shared" si="5"/>
      </x:c>
      <x:c r="AV179" s="57"/>
    </x:row>
    <x:row r="180">
      <x:c r="F180" s="33" t="str">
        <x:f t="shared" si="4"/>
      </x:c>
      <x:c r="G180" s="33"/>
      <x:c r="H180" s="38">
        <x:v>178</x:v>
      </x:c>
      <x:c r="I180" s="33"/>
      <x:c r="J180" s="33"/>
      <x:c r="AU180" s="101" t="str">
        <x:f t="shared" si="5"/>
      </x:c>
      <x:c r="AV180" s="57"/>
    </x:row>
    <x:row r="181">
      <x:c r="F181" s="33" t="str">
        <x:f t="shared" si="4"/>
      </x:c>
      <x:c r="G181" s="33"/>
      <x:c r="H181" s="38">
        <x:v>179</x:v>
      </x:c>
      <x:c r="I181" s="33"/>
      <x:c r="J181" s="33"/>
      <x:c r="AU181" s="101" t="str">
        <x:f t="shared" si="5"/>
      </x:c>
      <x:c r="AV181" s="57"/>
    </x:row>
    <x:row r="182">
      <x:c r="F182" s="33" t="str">
        <x:f t="shared" si="4"/>
      </x:c>
      <x:c r="G182" s="33"/>
      <x:c r="H182" s="38">
        <x:v>180</x:v>
      </x:c>
      <x:c r="I182" s="33"/>
      <x:c r="J182" s="33"/>
      <x:c r="AU182" s="101" t="str">
        <x:f t="shared" si="5"/>
      </x:c>
      <x:c r="AV182" s="57"/>
    </x:row>
    <x:row r="183">
      <x:c r="F183" s="33" t="str">
        <x:f t="shared" si="4"/>
      </x:c>
      <x:c r="G183" s="33"/>
      <x:c r="H183" s="38">
        <x:v>181</x:v>
      </x:c>
      <x:c r="I183" s="33"/>
      <x:c r="J183" s="33"/>
      <x:c r="AU183" s="101" t="str">
        <x:f t="shared" si="5"/>
      </x:c>
      <x:c r="AV183" s="57"/>
    </x:row>
    <x:row r="184">
      <x:c r="F184" s="33" t="str">
        <x:f t="shared" si="4"/>
      </x:c>
      <x:c r="G184" s="33"/>
      <x:c r="H184" s="38">
        <x:v>182</x:v>
      </x:c>
      <x:c r="I184" s="33"/>
      <x:c r="J184" s="33"/>
      <x:c r="AU184" s="101" t="str">
        <x:f t="shared" si="5"/>
      </x:c>
      <x:c r="AV184" s="57"/>
    </x:row>
    <x:row r="185">
      <x:c r="F185" s="33" t="str">
        <x:f t="shared" si="4"/>
      </x:c>
      <x:c r="G185" s="33"/>
      <x:c r="H185" s="38">
        <x:v>183</x:v>
      </x:c>
      <x:c r="I185" s="33"/>
      <x:c r="J185" s="33"/>
      <x:c r="AU185" s="101" t="str">
        <x:f t="shared" si="5"/>
      </x:c>
      <x:c r="AV185" s="57"/>
    </x:row>
    <x:row r="186">
      <x:c r="F186" s="33" t="str">
        <x:f t="shared" si="4"/>
      </x:c>
      <x:c r="G186" s="33"/>
      <x:c r="H186" s="38">
        <x:v>184</x:v>
      </x:c>
      <x:c r="I186" s="33"/>
      <x:c r="J186" s="33"/>
      <x:c r="AU186" s="101" t="str">
        <x:f t="shared" si="5"/>
      </x:c>
      <x:c r="AV186" s="57"/>
    </x:row>
    <x:row r="187">
      <x:c r="F187" s="33" t="str">
        <x:f t="shared" si="4"/>
      </x:c>
      <x:c r="G187" s="33"/>
      <x:c r="H187" s="38">
        <x:v>185</x:v>
      </x:c>
      <x:c r="I187" s="33"/>
      <x:c r="J187" s="33"/>
      <x:c r="AU187" s="101" t="str">
        <x:f t="shared" si="5"/>
      </x:c>
      <x:c r="AV187" s="57"/>
    </x:row>
    <x:row r="188">
      <x:c r="F188" s="33" t="str">
        <x:f t="shared" si="4"/>
      </x:c>
      <x:c r="G188" s="33"/>
      <x:c r="H188" s="38">
        <x:v>186</x:v>
      </x:c>
      <x:c r="I188" s="33"/>
      <x:c r="J188" s="33"/>
      <x:c r="AU188" s="101" t="str">
        <x:f t="shared" si="5"/>
      </x:c>
      <x:c r="AV188" s="57"/>
    </x:row>
    <x:row r="189">
      <x:c r="F189" s="33" t="str">
        <x:f t="shared" si="4"/>
      </x:c>
      <x:c r="G189" s="33"/>
      <x:c r="H189" s="38">
        <x:v>187</x:v>
      </x:c>
      <x:c r="I189" s="33"/>
      <x:c r="J189" s="33"/>
      <x:c r="AU189" s="101" t="str">
        <x:f t="shared" si="5"/>
      </x:c>
      <x:c r="AV189" s="57"/>
    </x:row>
    <x:row r="190">
      <x:c r="F190" s="33" t="str">
        <x:f t="shared" si="4"/>
      </x:c>
      <x:c r="G190" s="33"/>
      <x:c r="H190" s="38">
        <x:v>188</x:v>
      </x:c>
      <x:c r="I190" s="33"/>
      <x:c r="J190" s="33"/>
      <x:c r="AU190" s="101" t="str">
        <x:f t="shared" si="5"/>
      </x:c>
      <x:c r="AV190" s="57"/>
    </x:row>
    <x:row r="191">
      <x:c r="F191" s="33" t="str">
        <x:f t="shared" si="4"/>
      </x:c>
      <x:c r="G191" s="33"/>
      <x:c r="H191" s="38">
        <x:v>189</x:v>
      </x:c>
      <x:c r="I191" s="33"/>
      <x:c r="J191" s="33"/>
      <x:c r="AU191" s="101" t="str">
        <x:f t="shared" si="5"/>
      </x:c>
      <x:c r="AV191" s="57"/>
    </x:row>
    <x:row r="192">
      <x:c r="F192" s="33" t="str">
        <x:f t="shared" si="4"/>
      </x:c>
      <x:c r="G192" s="33"/>
      <x:c r="H192" s="38">
        <x:v>190</x:v>
      </x:c>
      <x:c r="I192" s="33"/>
      <x:c r="J192" s="33"/>
      <x:c r="AU192" s="101" t="str">
        <x:f t="shared" si="5"/>
      </x:c>
      <x:c r="AV192" s="57"/>
    </x:row>
    <x:row r="193">
      <x:c r="F193" s="33" t="str">
        <x:f t="shared" si="4"/>
      </x:c>
      <x:c r="G193" s="33"/>
      <x:c r="H193" s="38">
        <x:v>191</x:v>
      </x:c>
      <x:c r="I193" s="33"/>
      <x:c r="J193" s="33"/>
      <x:c r="AU193" s="101" t="str">
        <x:f t="shared" si="5"/>
      </x:c>
      <x:c r="AV193" s="57"/>
    </x:row>
    <x:row r="194">
      <x:c r="F194" s="33" t="str">
        <x:f t="shared" si="4"/>
      </x:c>
      <x:c r="G194" s="33"/>
      <x:c r="H194" s="38">
        <x:v>192</x:v>
      </x:c>
      <x:c r="I194" s="33"/>
      <x:c r="J194" s="33"/>
      <x:c r="AU194" s="101" t="str">
        <x:f t="shared" si="5"/>
      </x:c>
      <x:c r="AV194" s="57"/>
    </x:row>
    <x:row r="195">
      <x:c r="F195" s="33" t="str">
        <x:f t="shared" si="4"/>
      </x:c>
      <x:c r="G195" s="33"/>
      <x:c r="H195" s="38">
        <x:v>193</x:v>
      </x:c>
      <x:c r="I195" s="33"/>
      <x:c r="J195" s="33"/>
      <x:c r="AU195" s="101" t="str">
        <x:f t="shared" si="5"/>
      </x:c>
      <x:c r="AV195" s="57"/>
    </x:row>
    <x:row r="196">
      <x:c r="F196" s="33" t="str">
        <x:f t="shared" ref="F196:F202" si="6">_xlfn.IFNA(IF($H196+1&gt;$G$2,"",INDEX(INDIRECT("SubnetsVLANs!$D$"&amp;$H196+2&amp;":$D$"&amp;$G$2),MATCH("vlan*",INDIRECT("SubnetsVLANs!$E$"&amp;$H196+2&amp;":$E$"&amp;$G$2),0))),"")</x:f>
      </x:c>
      <x:c r="G196" s="33"/>
      <x:c r="H196" s="38">
        <x:v>194</x:v>
      </x:c>
      <x:c r="I196" s="33"/>
      <x:c r="J196" s="33"/>
      <x:c r="AU196" s="101" t="str">
        <x:f t="shared" ref="AU196:AU201" si="7">_xlfn.IFNA(IF($H196+1&gt;$G$2,"",INDEX(INDIRECT("SubnetsVLANs!$D$"&amp;$H196+2&amp;":$D$"&amp;$G$2),MATCH("Subnet*",INDIRECT("SubnetsVLANs!$E$"&amp;$H196+2&amp;":$E$"&amp;$G$2),0))),"")</x:f>
      </x:c>
      <x:c r="AV196" s="57"/>
    </x:row>
    <x:row r="197">
      <x:c r="F197" s="33" t="str">
        <x:f t="shared" si="6"/>
      </x:c>
      <x:c r="G197" s="33"/>
      <x:c r="H197" s="38">
        <x:v>195</x:v>
      </x:c>
      <x:c r="I197" s="33"/>
      <x:c r="J197" s="33"/>
      <x:c r="AU197" s="101" t="str">
        <x:f t="shared" si="7"/>
      </x:c>
      <x:c r="AV197" s="57"/>
    </x:row>
    <x:row r="198">
      <x:c r="F198" s="33" t="str">
        <x:f t="shared" si="6"/>
      </x:c>
      <x:c r="G198" s="33"/>
      <x:c r="H198" s="38">
        <x:v>196</x:v>
      </x:c>
      <x:c r="I198" s="33"/>
      <x:c r="J198" s="33"/>
      <x:c r="AU198" s="101" t="str">
        <x:f t="shared" si="7"/>
      </x:c>
      <x:c r="AV198" s="57"/>
    </x:row>
    <x:row r="199">
      <x:c r="F199" s="33" t="str">
        <x:f t="shared" si="6"/>
      </x:c>
      <x:c r="G199" s="33"/>
      <x:c r="H199" s="38">
        <x:v>197</x:v>
      </x:c>
      <x:c r="I199" s="33"/>
      <x:c r="J199" s="33"/>
      <x:c r="AU199" s="101" t="str">
        <x:f t="shared" si="7"/>
      </x:c>
      <x:c r="AV199" s="57"/>
    </x:row>
    <x:row r="200">
      <x:c r="F200" s="33" t="str">
        <x:f t="shared" si="6"/>
      </x:c>
      <x:c r="G200" s="33"/>
      <x:c r="H200" s="38">
        <x:v>198</x:v>
      </x:c>
      <x:c r="I200" s="33"/>
      <x:c r="J200" s="33"/>
      <x:c r="AU200" s="101" t="str">
        <x:f t="shared" si="7"/>
      </x:c>
      <x:c r="AV200" s="57"/>
    </x:row>
    <x:row r="201">
      <x:c r="F201" s="33" t="str">
        <x:f t="shared" si="6"/>
      </x:c>
      <x:c r="G201" s="33"/>
      <x:c r="H201" s="38">
        <x:v>199</x:v>
      </x:c>
      <x:c r="I201" s="33"/>
      <x:c r="J201" s="33"/>
      <x:c r="AU201" s="101" t="str">
        <x:f t="shared" si="7"/>
      </x:c>
      <x:c r="AV201" s="57"/>
    </x:row>
    <x:row r="202">
      <x:c r="F202" s="33" t="str">
        <x:f t="shared" si="6"/>
      </x:c>
      <x:c r="G202" s="33"/>
      <x:c r="H202" s="38">
        <x:v>200</x:v>
      </x:c>
      <x:c r="I202" s="33"/>
      <x:c r="J202" s="33"/>
    </x:row>
  </x:sheetData>
  <x:pageMargins left="0.7" right="0.7" top="0.75" bottom="0.75" header="0.3" footer="0.3"/>
</x:worksheet>
</file>

<file path=xl/worksheets/sheet49.xml><?xml version="1.0" encoding="utf-8"?>
<x:worksheet xmlns:x="http://schemas.openxmlformats.org/spreadsheetml/2006/main">
  <x:sheetFormatPr baseColWidth="10" defaultColWidth="8.83203125" defaultRowHeight="28.75"/>
  <x:cols>
    <x:col min="1" max="1" width="35.5" customWidth="1"/>
    <x:col min="2" max="2" width="35.1640625" customWidth="1"/>
    <x:col min="3" max="3" width="19.1640625" style="1" customWidth="1"/>
    <x:col min="4" max="4" width="26.83203125" customWidth="1"/>
    <x:col min="5" max="5" width="17.6640625" customWidth="1"/>
    <x:col min="6" max="6" width="17.83203125" customWidth="1"/>
  </x:cols>
  <x:sheetData>
    <x:row r="1" ht="28.75" customHeight="1">
      <x:c r="A1" s="12" t="s">
        <x:v>781</x:v>
      </x:c>
      <x:c r="B1" s="98" t="s">
        <x:v>782</x:v>
      </x:c>
      <x:c r="C1" s="99" t="s">
        <x:v>783</x:v>
      </x:c>
      <x:c r="D1" s="21" t="s">
        <x:v>784</x:v>
      </x:c>
      <x:c r="E1" s="99" t="s">
        <x:v>785</x:v>
      </x:c>
      <x:c r="F1" s="20" t="s">
        <x:v>786</x:v>
      </x:c>
    </x:row>
    <x:row r="2" ht="28.75" customHeight="1">
      <x:c r="A2" s="13" t="s">
        <x:v>812</x:v>
      </x:c>
      <x:c r="B2" s="25" t="s">
        <x:v>813</x:v>
      </x:c>
      <x:c r="C2" s="22" t="s">
        <x:v>814</x:v>
      </x:c>
      <x:c r="D2" s="23" t="s">
        <x:v>815</x:v>
      </x:c>
      <x:c r="E2" s="19">
        <x:v>301</x:v>
      </x:c>
      <x:c r="F2" s="19">
        <x:v>8</x:v>
      </x:c>
    </x:row>
    <x:row r="3" ht="28.75" customHeight="1">
      <x:c r="A3" s="13" t="s">
        <x:v>835</x:v>
      </x:c>
      <x:c r="B3" s="25" t="s">
        <x:v>836</x:v>
      </x:c>
      <x:c r="C3" s="17" t="s">
        <x:v>837</x:v>
      </x:c>
      <x:c r="D3" t="s">
        <x:v>838</x:v>
      </x:c>
      <x:c r="E3" s="25">
        <x:v>302</x:v>
      </x:c>
      <x:c r="F3" s="25">
        <x:v>16</x:v>
      </x:c>
    </x:row>
    <x:row r="4" ht="28.75" customHeight="1">
      <x:c r="A4" s="13" t="s">
        <x:v>851</x:v>
      </x:c>
      <x:c r="B4" s="25" t="s">
        <x:v>852</x:v>
      </x:c>
      <x:c r="C4" s="17" t="s">
        <x:v>853</x:v>
      </x:c>
      <x:c r="D4" t="s">
        <x:v>854</x:v>
      </x:c>
      <x:c r="E4" s="25">
        <x:v>303</x:v>
      </x:c>
      <x:c r="F4" s="25">
        <x:v>32</x:v>
      </x:c>
    </x:row>
    <x:row r="5" ht="28.75" customHeight="1">
      <x:c r="A5" s="13" t="s">
        <x:v>859</x:v>
      </x:c>
      <x:c r="B5" s="25" t="s">
        <x:v>860</x:v>
      </x:c>
      <x:c r="C5" s="17" t="s">
        <x:v>861</x:v>
      </x:c>
      <x:c r="D5" s="41"/>
      <x:c r="E5" s="25">
        <x:v>307</x:v>
      </x:c>
      <x:c r="F5" s="25">
        <x:v>64</x:v>
      </x:c>
    </x:row>
    <x:row r="6" ht="28.75" customHeight="1">
      <x:c r="A6" s="13" t="s">
        <x:v>863</x:v>
      </x:c>
      <x:c r="B6" s="25" t="s">
        <x:v>864</x:v>
      </x:c>
      <x:c r="C6" s="18"/>
      <x:c r="E6" s="25">
        <x:v>308</x:v>
      </x:c>
      <x:c r="F6" s="8"/>
    </x:row>
    <x:row r="7" ht="28.75" customHeight="1">
      <x:c r="A7" s="13" t="s">
        <x:v>866</x:v>
      </x:c>
      <x:c r="B7" s="25" t="s">
        <x:v>867</x:v>
      </x:c>
      <x:c r="E7" s="8"/>
    </x:row>
    <x:row r="8" ht="28.75" customHeight="1">
      <x:c r="A8" s="13" t="s">
        <x:v>869</x:v>
      </x:c>
      <x:c r="B8" s="25" t="s">
        <x:v>870</x:v>
      </x:c>
    </x:row>
    <x:row r="9" ht="28.75" customHeight="1">
      <x:c r="A9" s="13" t="s">
        <x:v>872</x:v>
      </x:c>
      <x:c r="B9" s="25" t="s">
        <x:v>873</x:v>
      </x:c>
    </x:row>
    <x:row r="10" ht="28.75" customHeight="1">
      <x:c r="A10" s="13" t="s">
        <x:v>875</x:v>
      </x:c>
      <x:c r="B10" s="25" t="s">
        <x:v>876</x:v>
      </x:c>
    </x:row>
    <x:row r="11" ht="28.75" customHeight="1">
      <x:c r="A11" s="13" t="s">
        <x:v>878</x:v>
      </x:c>
      <x:c r="B11" s="25" t="s">
        <x:v>879</x:v>
      </x:c>
    </x:row>
    <x:row r="12" ht="28.75" customHeight="1">
      <x:c r="A12" s="14"/>
      <x:c r="B12" s="25" t="s">
        <x:v>881</x:v>
      </x:c>
    </x:row>
    <x:row r="13" ht="28.75" customHeight="1">
      <x:c r="B13" s="25" t="s">
        <x:v>883</x:v>
      </x:c>
    </x:row>
    <x:row r="14" ht="28.75" customHeight="1">
      <x:c r="B14" s="25" t="s">
        <x:v>885</x:v>
      </x:c>
    </x:row>
    <x:row r="15" ht="28.75" customHeight="1">
      <x:c r="B15" s="25" t="s">
        <x:v>887</x:v>
      </x:c>
    </x:row>
    <x:row r="16" ht="28.75" customHeight="1">
      <x:c r="B16" s="25" t="s">
        <x:v>889</x:v>
      </x:c>
    </x:row>
    <x:row r="17" ht="28.75" customHeight="1">
      <x:c r="B17" s="25" t="s">
        <x:v>891</x:v>
      </x:c>
    </x:row>
    <x:row r="18" ht="28.75" customHeight="1">
      <x:c r="B18" s="25" t="s">
        <x:v>893</x:v>
      </x:c>
    </x:row>
    <x:row r="19" ht="28.75" customHeight="1">
      <x:c r="B19" s="25" t="s">
        <x:v>895</x:v>
      </x:c>
    </x:row>
    <x:row r="20" ht="28.75" customHeight="1">
      <x:c r="B20" s="25" t="s">
        <x:v>897</x:v>
      </x:c>
    </x:row>
    <x:row r="21" ht="28.75" customHeight="1">
      <x:c r="B21" s="25" t="s">
        <x:v>899</x:v>
      </x:c>
    </x:row>
    <x:row r="22" ht="28.75" customHeight="1">
      <x:c r="B22" s="25" t="s">
        <x:v>901</x:v>
      </x:c>
    </x:row>
    <x:row r="23" ht="28.75" customHeight="1">
      <x:c r="B23" s="25" t="s">
        <x:v>903</x:v>
      </x:c>
    </x:row>
    <x:row r="24" ht="28.75" customHeight="1">
      <x:c r="B24" s="25" t="s">
        <x:v>905</x:v>
      </x:c>
    </x:row>
    <x:row r="25" ht="28.75" customHeight="1">
      <x:c r="B25" s="25" t="s">
        <x:v>907</x:v>
      </x:c>
    </x:row>
    <x:row r="26" ht="28.75" customHeight="1">
      <x:c r="B26" s="25" t="s">
        <x:v>909</x:v>
      </x:c>
    </x:row>
    <x:row r="27" ht="28.75" customHeight="1">
      <x:c r="B27" s="25" t="s">
        <x:v>911</x:v>
      </x:c>
    </x:row>
    <x:row r="28" ht="28.75" customHeight="1">
      <x:c r="B28" s="25" t="s">
        <x:v>913</x:v>
      </x:c>
    </x:row>
    <x:row r="29" ht="28.75" customHeight="1">
      <x:c r="B29" s="25" t="s">
        <x:v>915</x:v>
      </x:c>
    </x:row>
    <x:row r="30" ht="28.75" customHeight="1">
      <x:c r="B30" s="25" t="s">
        <x:v>917</x:v>
      </x:c>
    </x:row>
    <x:row r="31" ht="28.75" customHeight="1">
      <x:c r="B31" s="25" t="s">
        <x:v>919</x:v>
      </x:c>
    </x:row>
    <x:row r="32" ht="28.75" customHeight="1">
      <x:c r="B32" s="25" t="s">
        <x:v>921</x:v>
      </x:c>
    </x:row>
    <x:row r="33" ht="28.75" customHeight="1">
      <x:c r="B33" s="25" t="s">
        <x:v>923</x:v>
      </x:c>
    </x:row>
    <x:row r="34" ht="28.75" customHeight="1">
      <x:c r="B34" s="25" t="s">
        <x:v>925</x:v>
      </x:c>
    </x:row>
    <x:row r="35" ht="28.75" customHeight="1">
      <x:c r="B35" s="25" t="s">
        <x:v>928</x:v>
      </x:c>
    </x:row>
    <x:row r="36" ht="28.75" customHeight="1">
      <x:c r="B36" s="25" t="s">
        <x:v>930</x:v>
      </x:c>
    </x:row>
    <x:row r="37" ht="28.75" customHeight="1">
      <x:c r="B37" s="25" t="s">
        <x:v>932</x:v>
      </x:c>
    </x:row>
    <x:row r="38" ht="28.75" customHeight="1">
      <x:c r="B38" s="25" t="s">
        <x:v>934</x:v>
      </x:c>
    </x:row>
    <x:row r="39" ht="28.75" customHeight="1">
      <x:c r="B39" s="25" t="s">
        <x:v>936</x:v>
      </x:c>
    </x:row>
    <x:row r="40" ht="28.75" customHeight="1">
      <x:c r="B40" s="25" t="s">
        <x:v>938</x:v>
      </x:c>
    </x:row>
    <x:row r="41" ht="28.75" customHeight="1">
      <x:c r="B41" s="8"/>
    </x:row>
  </x:sheetData>
  <x:pageMargins left="0.7" right="0.7" top="0.75" bottom="0.75" header="0.3" footer="0.3"/>
</x:worksheet>
</file>

<file path=xl/worksheets/sheet50.xml><?xml version="1.0" encoding="utf-8"?>
<x:worksheet xmlns:x="http://schemas.openxmlformats.org/spreadsheetml/2006/main">
  <x:sheetFormatPr baseColWidth="10" defaultColWidth="8.6640625" defaultRowHeight="15"/>
  <x:cols>
    <x:col min="1" max="1" width="10.1640625" style="63" customWidth="1"/>
    <x:col min="2" max="2" width="24" style="63" customWidth="1"/>
    <x:col min="3" max="4" width="20.1640625" style="33" customWidth="1"/>
  </x:cols>
  <x:sheetData>
    <x:row r="1" ht="32">
      <x:c r="A1" s="55" t="s">
        <x:v>749</x:v>
      </x:c>
      <x:c r="B1" s="55" t="s">
        <x:v>950</x:v>
      </x:c>
      <x:c r="C1" s="55" t="s">
        <x:v>755</x:v>
      </x:c>
      <x:c r="D1" s="55" t="s">
        <x:v>951</x:v>
      </x:c>
    </x:row>
    <x:row r="2">
      <x:c r="A2" s="57"/>
      <x:c r="B2" s="57" t="s">
        <x:v>952</x:v>
      </x:c>
      <x:c r="C2" s="33" t="n">
        <x:f>MATCH("&lt;END&gt;",Compartments!$A$2:$A$999,0)</x:f>
        <x:v>24</x:v>
      </x:c>
      <x:c r="D2" s="33" t="e" cm="1">
        <x:f t="array" ref="D2">_xlfn.UNIQUE(INDIRECT("B2:B"&amp;$C$2),FALSE,FALSE)</x:f>
      </x:c>
    </x:row>
    <x:row r="3">
      <x:c r="A3" s="57">
        <x:v>3</x:v>
      </x:c>
      <x:c r="B3" s="57" t="e" cm="1">
        <x:f t="array" aca="1" ref="B3">IF(COUNTIF(INDIRECT(ADDRESS(3,1,1,1,"Compartments")&amp;":"&amp;ADDRESS(A3,4,4,1)),"*END*")&gt;0,"",IF(OR(INDIRECT(ADDRESS(A3,4,4,1,"Compartments"))="root",INDIRECT(ADDRESS(A3,4,4,1,"Compartments"))=""),INDIRECT(ADDRESS(A3,2,4,1,"Compartments")),INDIRECT(ADDRESS(A3,4,4,1,"Compartments"))&amp;"::"&amp;INDIRECT(ADDRESS(A3,2,4,1,"Compartments"))))</x:f>
      </x:c>
      <x:c r="C3" s="33" t="n">
        <x:f>COUNTIF($D$2:$D$100,"*")</x:f>
        <x:v>99</x:v>
      </x:c>
      <x:c r="D3" s="33" t="str">
        <x:v>AppDev</x:v>
      </x:c>
    </x:row>
    <x:row r="4">
      <x:c r="A4" s="57">
        <x:v>4</x:v>
      </x:c>
      <x:c r="B4" s="57" t="e" cm="1">
        <x:f t="array" aca="1" ref="B4">IF(COUNTIF(INDIRECT(ADDRESS(3,1,1,1,"Compartments")&amp;":"&amp;ADDRESS(A4,4,4,1)),"*END*")&gt;0,"",IF(OR(INDIRECT(ADDRESS(A4,4,4,1,"Compartments"))="root",INDIRECT(ADDRESS(A4,4,4,1,"Compartments"))=""),INDIRECT(ADDRESS(A4,2,4,1,"Compartments")),INDIRECT(ADDRESS(A4,4,4,1,"Compartments"))&amp;"::"&amp;INDIRECT(ADDRESS(A4,2,4,1,"Compartments"))))</x:f>
      </x:c>
      <x:c r="D4" s="33" t="str">
        <x:v>Database</x:v>
      </x:c>
    </x:row>
    <x:row r="5">
      <x:c r="A5" s="57">
        <x:v>5</x:v>
      </x:c>
      <x:c r="B5" s="57" t="e" cm="1">
        <x:f t="array" aca="1" ref="B5">IF(COUNTIF(INDIRECT(ADDRESS(3,1,1,1,"Compartments")&amp;":"&amp;ADDRESS(A5,4,4,1)),"*END*")&gt;0,"",IF(OR(INDIRECT(ADDRESS(A5,4,4,1,"Compartments"))="root",INDIRECT(ADDRESS(A5,4,4,1,"Compartments"))=""),INDIRECT(ADDRESS(A5,2,4,1,"Compartments")),INDIRECT(ADDRESS(A5,4,4,1,"Compartments"))&amp;"::"&amp;INDIRECT(ADDRESS(A5,2,4,1,"Compartments"))))</x:f>
      </x:c>
      <x:c r="D5" s="33" t="str">
        <x:v>Network</x:v>
      </x:c>
    </x:row>
    <x:row r="6">
      <x:c r="A6" s="57">
        <x:v>6</x:v>
      </x:c>
      <x:c r="B6" s="57" t="e" cm="1">
        <x:f t="array" aca="1" ref="B6">IF(COUNTIF(INDIRECT(ADDRESS(3,1,1,1,"Compartments")&amp;":"&amp;ADDRESS(A6,4,4,1)),"*END*")&gt;0,"",IF(OR(INDIRECT(ADDRESS(A6,4,4,1,"Compartments"))="root",INDIRECT(ADDRESS(A6,4,4,1,"Compartments"))=""),INDIRECT(ADDRESS(A6,2,4,1,"Compartments")),INDIRECT(ADDRESS(A6,4,4,1,"Compartments"))&amp;"::"&amp;INDIRECT(ADDRESS(A6,2,4,1,"Compartments"))))</x:f>
      </x:c>
      <x:c r="D6" s="33" t="str">
        <x:v>Security</x:v>
      </x:c>
    </x:row>
    <x:row r="7">
      <x:c r="A7" s="57">
        <x:v>7</x:v>
      </x:c>
      <x:c r="B7" s="57" t="e" cm="1">
        <x:f t="array" aca="1" ref="B7">IF(COUNTIF(INDIRECT(ADDRESS(3,1,1,1,"Compartments")&amp;":"&amp;ADDRESS(A7,4,4,1)),"*END*")&gt;0,"",IF(OR(INDIRECT(ADDRESS(A7,4,4,1,"Compartments"))="root",INDIRECT(ADDRESS(A7,4,4,1,"Compartments"))=""),INDIRECT(ADDRESS(A7,2,4,1,"Compartments")),INDIRECT(ADDRESS(A7,4,4,1,"Compartments"))&amp;"::"&amp;INDIRECT(ADDRESS(A7,2,4,1,"Compartments"))))</x:f>
      </x:c>
    </x:row>
    <x:row r="8">
      <x:c r="A8" s="57">
        <x:v>8</x:v>
      </x:c>
      <x:c r="B8" s="57" t="e" cm="1">
        <x:f t="array" aca="1" ref="B8">IF(COUNTIF(INDIRECT(ADDRESS(3,1,1,1,"Compartments")&amp;":"&amp;ADDRESS(A8,4,4,1)),"*END*")&gt;0,"",IF(OR(INDIRECT(ADDRESS(A8,4,4,1,"Compartments"))="root",INDIRECT(ADDRESS(A8,4,4,1,"Compartments"))=""),INDIRECT(ADDRESS(A8,2,4,1,"Compartments")),INDIRECT(ADDRESS(A8,4,4,1,"Compartments"))&amp;"::"&amp;INDIRECT(ADDRESS(A8,2,4,1,"Compartments"))))</x:f>
      </x:c>
    </x:row>
    <x:row r="9">
      <x:c r="A9" s="57">
        <x:v>9</x:v>
      </x:c>
      <x:c r="B9" s="57" t="e" cm="1">
        <x:f t="array" aca="1" ref="B9">IF(COUNTIF(INDIRECT(ADDRESS(3,1,1,1,"Compartments")&amp;":"&amp;ADDRESS(A9,4,4,1)),"*END*")&gt;0,"",IF(OR(INDIRECT(ADDRESS(A9,4,4,1,"Compartments"))="root",INDIRECT(ADDRESS(A9,4,4,1,"Compartments"))=""),INDIRECT(ADDRESS(A9,2,4,1,"Compartments")),INDIRECT(ADDRESS(A9,4,4,1,"Compartments"))&amp;"::"&amp;INDIRECT(ADDRESS(A9,2,4,1,"Compartments"))))</x:f>
      </x:c>
    </x:row>
    <x:row r="10">
      <x:c r="A10" s="57">
        <x:v>10</x:v>
      </x:c>
      <x:c r="B10" s="57" t="e" cm="1">
        <x:f t="array" aca="1" ref="B10">IF(COUNTIF(INDIRECT(ADDRESS(3,1,1,1,"Compartments")&amp;":"&amp;ADDRESS(A10,4,4,1)),"*END*")&gt;0,"",IF(OR(INDIRECT(ADDRESS(A10,4,4,1,"Compartments"))="root",INDIRECT(ADDRESS(A10,4,4,1,"Compartments"))=""),INDIRECT(ADDRESS(A10,2,4,1,"Compartments")),INDIRECT(ADDRESS(A10,4,4,1,"Compartments"))&amp;"::"&amp;INDIRECT(ADDRESS(A10,2,4,1,"Compartments"))))</x:f>
      </x:c>
    </x:row>
    <x:row r="11">
      <x:c r="A11" s="57">
        <x:v>11</x:v>
      </x:c>
      <x:c r="B11" s="57" t="e" cm="1">
        <x:f t="array" aca="1" ref="B11">IF(COUNTIF(INDIRECT(ADDRESS(3,1,1,1,"Compartments")&amp;":"&amp;ADDRESS(A11,4,4,1)),"*END*")&gt;0,"",IF(OR(INDIRECT(ADDRESS(A11,4,4,1,"Compartments"))="root",INDIRECT(ADDRESS(A11,4,4,1,"Compartments"))=""),INDIRECT(ADDRESS(A11,2,4,1,"Compartments")),INDIRECT(ADDRESS(A11,4,4,1,"Compartments"))&amp;"::"&amp;INDIRECT(ADDRESS(A11,2,4,1,"Compartments"))))</x:f>
      </x:c>
    </x:row>
    <x:row r="12">
      <x:c r="A12" s="57">
        <x:v>12</x:v>
      </x:c>
      <x:c r="B12" s="57" t="e" cm="1">
        <x:f t="array" aca="1" ref="B12">IF(COUNTIF(INDIRECT(ADDRESS(3,1,1,1,"Compartments")&amp;":"&amp;ADDRESS(A12,4,4,1)),"*END*")&gt;0,"",IF(OR(INDIRECT(ADDRESS(A12,4,4,1,"Compartments"))="root",INDIRECT(ADDRESS(A12,4,4,1,"Compartments"))=""),INDIRECT(ADDRESS(A12,2,4,1,"Compartments")),INDIRECT(ADDRESS(A12,4,4,1,"Compartments"))&amp;"::"&amp;INDIRECT(ADDRESS(A12,2,4,1,"Compartments"))))</x:f>
      </x:c>
    </x:row>
    <x:row r="13">
      <x:c r="A13" s="57">
        <x:v>13</x:v>
      </x:c>
      <x:c r="B13" s="57" t="e" cm="1">
        <x:f t="array" aca="1" ref="B13">IF(COUNTIF(INDIRECT(ADDRESS(3,1,1,1,"Compartments")&amp;":"&amp;ADDRESS(A13,4,4,1)),"*END*")&gt;0,"",IF(OR(INDIRECT(ADDRESS(A13,4,4,1,"Compartments"))="root",INDIRECT(ADDRESS(A13,4,4,1,"Compartments"))=""),INDIRECT(ADDRESS(A13,2,4,1,"Compartments")),INDIRECT(ADDRESS(A13,4,4,1,"Compartments"))&amp;"::"&amp;INDIRECT(ADDRESS(A13,2,4,1,"Compartments"))))</x:f>
      </x:c>
    </x:row>
    <x:row r="14">
      <x:c r="A14" s="57">
        <x:v>14</x:v>
      </x:c>
      <x:c r="B14" s="57" t="e" cm="1">
        <x:f t="array" aca="1" ref="B14">IF(COUNTIF(INDIRECT(ADDRESS(3,1,1,1,"Compartments")&amp;":"&amp;ADDRESS(A14,4,4,1)),"*END*")&gt;0,"",IF(OR(INDIRECT(ADDRESS(A14,4,4,1,"Compartments"))="root",INDIRECT(ADDRESS(A14,4,4,1,"Compartments"))=""),INDIRECT(ADDRESS(A14,2,4,1,"Compartments")),INDIRECT(ADDRESS(A14,4,4,1,"Compartments"))&amp;"::"&amp;INDIRECT(ADDRESS(A14,2,4,1,"Compartments"))))</x:f>
      </x:c>
    </x:row>
    <x:row r="15">
      <x:c r="A15" s="57">
        <x:v>15</x:v>
      </x:c>
      <x:c r="B15" s="57" t="e" cm="1">
        <x:f t="array" aca="1" ref="B15">IF(COUNTIF(INDIRECT(ADDRESS(3,1,1,1,"Compartments")&amp;":"&amp;ADDRESS(A15,4,4,1)),"*END*")&gt;0,"",IF(OR(INDIRECT(ADDRESS(A15,4,4,1,"Compartments"))="root",INDIRECT(ADDRESS(A15,4,4,1,"Compartments"))=""),INDIRECT(ADDRESS(A15,2,4,1,"Compartments")),INDIRECT(ADDRESS(A15,4,4,1,"Compartments"))&amp;"::"&amp;INDIRECT(ADDRESS(A15,2,4,1,"Compartments"))))</x:f>
      </x:c>
    </x:row>
    <x:row r="16">
      <x:c r="A16" s="57">
        <x:v>16</x:v>
      </x:c>
      <x:c r="B16" s="57" t="e" cm="1">
        <x:f t="array" aca="1" ref="B16">IF(COUNTIF(INDIRECT(ADDRESS(3,1,1,1,"Compartments")&amp;":"&amp;ADDRESS(A16,4,4,1)),"*END*")&gt;0,"",IF(OR(INDIRECT(ADDRESS(A16,4,4,1,"Compartments"))="root",INDIRECT(ADDRESS(A16,4,4,1,"Compartments"))=""),INDIRECT(ADDRESS(A16,2,4,1,"Compartments")),INDIRECT(ADDRESS(A16,4,4,1,"Compartments"))&amp;"::"&amp;INDIRECT(ADDRESS(A16,2,4,1,"Compartments"))))</x:f>
      </x:c>
    </x:row>
    <x:row r="17">
      <x:c r="A17" s="57">
        <x:v>17</x:v>
      </x:c>
      <x:c r="B17" s="57" t="e" cm="1">
        <x:f t="array" aca="1" ref="B17">IF(COUNTIF(INDIRECT(ADDRESS(3,1,1,1,"Compartments")&amp;":"&amp;ADDRESS(A17,4,4,1)),"*END*")&gt;0,"",IF(OR(INDIRECT(ADDRESS(A17,4,4,1,"Compartments"))="root",INDIRECT(ADDRESS(A17,4,4,1,"Compartments"))=""),INDIRECT(ADDRESS(A17,2,4,1,"Compartments")),INDIRECT(ADDRESS(A17,4,4,1,"Compartments"))&amp;"::"&amp;INDIRECT(ADDRESS(A17,2,4,1,"Compartments"))))</x:f>
      </x:c>
    </x:row>
    <x:row r="18">
      <x:c r="A18" s="57">
        <x:v>18</x:v>
      </x:c>
      <x:c r="B18" s="57" t="e" cm="1">
        <x:f t="array" aca="1" ref="B18">IF(COUNTIF(INDIRECT(ADDRESS(3,1,1,1,"Compartments")&amp;":"&amp;ADDRESS(A18,4,4,1)),"*END*")&gt;0,"",IF(OR(INDIRECT(ADDRESS(A18,4,4,1,"Compartments"))="root",INDIRECT(ADDRESS(A18,4,4,1,"Compartments"))=""),INDIRECT(ADDRESS(A18,2,4,1,"Compartments")),INDIRECT(ADDRESS(A18,4,4,1,"Compartments"))&amp;"::"&amp;INDIRECT(ADDRESS(A18,2,4,1,"Compartments"))))</x:f>
      </x:c>
    </x:row>
    <x:row r="19">
      <x:c r="A19" s="57">
        <x:v>19</x:v>
      </x:c>
      <x:c r="B19" s="57" t="e" cm="1">
        <x:f t="array" aca="1" ref="B19">IF(COUNTIF(INDIRECT(ADDRESS(3,1,1,1,"Compartments")&amp;":"&amp;ADDRESS(A19,4,4,1)),"*END*")&gt;0,"",IF(OR(INDIRECT(ADDRESS(A19,4,4,1,"Compartments"))="root",INDIRECT(ADDRESS(A19,4,4,1,"Compartments"))=""),INDIRECT(ADDRESS(A19,2,4,1,"Compartments")),INDIRECT(ADDRESS(A19,4,4,1,"Compartments"))&amp;"::"&amp;INDIRECT(ADDRESS(A19,2,4,1,"Compartments"))))</x:f>
      </x:c>
    </x:row>
    <x:row r="20">
      <x:c r="A20" s="57">
        <x:v>20</x:v>
      </x:c>
      <x:c r="B20" s="57" t="e" cm="1">
        <x:f t="array" aca="1" ref="B20">IF(COUNTIF(INDIRECT(ADDRESS(3,1,1,1,"Compartments")&amp;":"&amp;ADDRESS(A20,4,4,1)),"*END*")&gt;0,"",IF(OR(INDIRECT(ADDRESS(A20,4,4,1,"Compartments"))="root",INDIRECT(ADDRESS(A20,4,4,1,"Compartments"))=""),INDIRECT(ADDRESS(A20,2,4,1,"Compartments")),INDIRECT(ADDRESS(A20,4,4,1,"Compartments"))&amp;"::"&amp;INDIRECT(ADDRESS(A20,2,4,1,"Compartments"))))</x:f>
      </x:c>
    </x:row>
    <x:row r="21">
      <x:c r="A21" s="57">
        <x:v>21</x:v>
      </x:c>
      <x:c r="B21" s="57" t="e" cm="1">
        <x:f t="array" aca="1" ref="B21">IF(COUNTIF(INDIRECT(ADDRESS(3,1,1,1,"Compartments")&amp;":"&amp;ADDRESS(A21,4,4,1)),"*END*")&gt;0,"",IF(OR(INDIRECT(ADDRESS(A21,4,4,1,"Compartments"))="root",INDIRECT(ADDRESS(A21,4,4,1,"Compartments"))=""),INDIRECT(ADDRESS(A21,2,4,1,"Compartments")),INDIRECT(ADDRESS(A21,4,4,1,"Compartments"))&amp;"::"&amp;INDIRECT(ADDRESS(A21,2,4,1,"Compartments"))))</x:f>
      </x:c>
    </x:row>
    <x:row r="22">
      <x:c r="A22" s="57">
        <x:v>22</x:v>
      </x:c>
      <x:c r="B22" s="57" t="e" cm="1">
        <x:f t="array" aca="1" ref="B22">IF(COUNTIF(INDIRECT(ADDRESS(3,1,1,1,"Compartments")&amp;":"&amp;ADDRESS(A22,4,4,1)),"*END*")&gt;0,"",IF(OR(INDIRECT(ADDRESS(A22,4,4,1,"Compartments"))="root",INDIRECT(ADDRESS(A22,4,4,1,"Compartments"))=""),INDIRECT(ADDRESS(A22,2,4,1,"Compartments")),INDIRECT(ADDRESS(A22,4,4,1,"Compartments"))&amp;"::"&amp;INDIRECT(ADDRESS(A22,2,4,1,"Compartments"))))</x:f>
      </x:c>
    </x:row>
    <x:row r="23">
      <x:c r="A23" s="57">
        <x:v>23</x:v>
      </x:c>
      <x:c r="B23" s="57" t="e" cm="1">
        <x:f t="array" aca="1" ref="B23">IF(COUNTIF(INDIRECT(ADDRESS(3,1,1,1,"Compartments")&amp;":"&amp;ADDRESS(A23,4,4,1)),"*END*")&gt;0,"",IF(OR(INDIRECT(ADDRESS(A23,4,4,1,"Compartments"))="root",INDIRECT(ADDRESS(A23,4,4,1,"Compartments"))=""),INDIRECT(ADDRESS(A23,2,4,1,"Compartments")),INDIRECT(ADDRESS(A23,4,4,1,"Compartments"))&amp;"::"&amp;INDIRECT(ADDRESS(A23,2,4,1,"Compartments"))))</x:f>
      </x:c>
    </x:row>
    <x:row r="24">
      <x:c r="A24" s="57">
        <x:v>24</x:v>
      </x:c>
      <x:c r="B24" s="57" t="e" cm="1">
        <x:f t="array" aca="1" ref="B24">IF(COUNTIF(INDIRECT(ADDRESS(3,1,1,1,"Compartments")&amp;":"&amp;ADDRESS(A24,4,4,1)),"*END*")&gt;0,"",IF(OR(INDIRECT(ADDRESS(A24,4,4,1,"Compartments"))="root",INDIRECT(ADDRESS(A24,4,4,1,"Compartments"))=""),INDIRECT(ADDRESS(A24,2,4,1,"Compartments")),INDIRECT(ADDRESS(A24,4,4,1,"Compartments"))&amp;"::"&amp;INDIRECT(ADDRESS(A24,2,4,1,"Compartments"))))</x:f>
      </x:c>
    </x:row>
    <x:row r="25">
      <x:c r="A25" s="57">
        <x:v>25</x:v>
      </x:c>
      <x:c r="B25" s="57" t="e" cm="1">
        <x:f t="array" aca="1" ref="B25">IF(COUNTIF(INDIRECT(ADDRESS(3,1,1,1,"Compartments")&amp;":"&amp;ADDRESS(A25,4,4,1)),"*END*")&gt;0,"",IF(OR(INDIRECT(ADDRESS(A25,4,4,1,"Compartments"))="root",INDIRECT(ADDRESS(A25,4,4,1,"Compartments"))=""),INDIRECT(ADDRESS(A25,2,4,1,"Compartments")),INDIRECT(ADDRESS(A25,4,4,1,"Compartments"))&amp;"::"&amp;INDIRECT(ADDRESS(A25,2,4,1,"Compartments"))))</x:f>
      </x:c>
    </x:row>
    <x:row r="26">
      <x:c r="A26" s="57">
        <x:v>26</x:v>
      </x:c>
      <x:c r="B26" s="57" t="e" cm="1">
        <x:f t="array" aca="1" ref="B26">IF(COUNTIF(INDIRECT(ADDRESS(3,1,1,1,"Compartments")&amp;":"&amp;ADDRESS(A26,4,4,1)),"*END*")&gt;0,"",IF(OR(INDIRECT(ADDRESS(A26,4,4,1,"Compartments"))="root",INDIRECT(ADDRESS(A26,4,4,1,"Compartments"))=""),INDIRECT(ADDRESS(A26,2,4,1,"Compartments")),INDIRECT(ADDRESS(A26,4,4,1,"Compartments"))&amp;"::"&amp;INDIRECT(ADDRESS(A26,2,4,1,"Compartments"))))</x:f>
      </x:c>
    </x:row>
    <x:row r="27">
      <x:c r="A27" s="57">
        <x:v>27</x:v>
      </x:c>
      <x:c r="B27" s="57" t="e" cm="1">
        <x:f t="array" aca="1" ref="B27">IF(COUNTIF(INDIRECT(ADDRESS(3,1,1,1,"Compartments")&amp;":"&amp;ADDRESS(A27,4,4,1)),"*END*")&gt;0,"",IF(OR(INDIRECT(ADDRESS(A27,4,4,1,"Compartments"))="root",INDIRECT(ADDRESS(A27,4,4,1,"Compartments"))=""),INDIRECT(ADDRESS(A27,2,4,1,"Compartments")),INDIRECT(ADDRESS(A27,4,4,1,"Compartments"))&amp;"::"&amp;INDIRECT(ADDRESS(A27,2,4,1,"Compartments"))))</x:f>
      </x:c>
    </x:row>
    <x:row r="28">
      <x:c r="A28" s="57">
        <x:v>28</x:v>
      </x:c>
      <x:c r="B28" s="57" t="e" cm="1">
        <x:f t="array" aca="1" ref="B28">IF(COUNTIF(INDIRECT(ADDRESS(3,1,1,1,"Compartments")&amp;":"&amp;ADDRESS(A28,4,4,1)),"*END*")&gt;0,"",IF(OR(INDIRECT(ADDRESS(A28,4,4,1,"Compartments"))="root",INDIRECT(ADDRESS(A28,4,4,1,"Compartments"))=""),INDIRECT(ADDRESS(A28,2,4,1,"Compartments")),INDIRECT(ADDRESS(A28,4,4,1,"Compartments"))&amp;"::"&amp;INDIRECT(ADDRESS(A28,2,4,1,"Compartments"))))</x:f>
      </x:c>
    </x:row>
    <x:row r="29">
      <x:c r="A29" s="57">
        <x:v>29</x:v>
      </x:c>
      <x:c r="B29" s="57" t="e" cm="1">
        <x:f t="array" aca="1" ref="B29">IF(COUNTIF(INDIRECT(ADDRESS(3,1,1,1,"Compartments")&amp;":"&amp;ADDRESS(A29,4,4,1)),"*END*")&gt;0,"",IF(OR(INDIRECT(ADDRESS(A29,4,4,1,"Compartments"))="root",INDIRECT(ADDRESS(A29,4,4,1,"Compartments"))=""),INDIRECT(ADDRESS(A29,2,4,1,"Compartments")),INDIRECT(ADDRESS(A29,4,4,1,"Compartments"))&amp;"::"&amp;INDIRECT(ADDRESS(A29,2,4,1,"Compartments"))))</x:f>
      </x:c>
    </x:row>
    <x:row r="30">
      <x:c r="A30" s="57">
        <x:v>30</x:v>
      </x:c>
      <x:c r="B30" s="57" t="e" cm="1">
        <x:f t="array" aca="1" ref="B30">IF(COUNTIF(INDIRECT(ADDRESS(3,1,1,1,"Compartments")&amp;":"&amp;ADDRESS(A30,4,4,1)),"*END*")&gt;0,"",IF(OR(INDIRECT(ADDRESS(A30,4,4,1,"Compartments"))="root",INDIRECT(ADDRESS(A30,4,4,1,"Compartments"))=""),INDIRECT(ADDRESS(A30,2,4,1,"Compartments")),INDIRECT(ADDRESS(A30,4,4,1,"Compartments"))&amp;"::"&amp;INDIRECT(ADDRESS(A30,2,4,1,"Compartments"))))</x:f>
      </x:c>
    </x:row>
    <x:row r="31">
      <x:c r="A31" s="57">
        <x:v>31</x:v>
      </x:c>
      <x:c r="B31" s="57" t="e" cm="1">
        <x:f t="array" aca="1" ref="B31">IF(COUNTIF(INDIRECT(ADDRESS(3,1,1,1,"Compartments")&amp;":"&amp;ADDRESS(A31,4,4,1)),"*END*")&gt;0,"",IF(OR(INDIRECT(ADDRESS(A31,4,4,1,"Compartments"))="root",INDIRECT(ADDRESS(A31,4,4,1,"Compartments"))=""),INDIRECT(ADDRESS(A31,2,4,1,"Compartments")),INDIRECT(ADDRESS(A31,4,4,1,"Compartments"))&amp;"::"&amp;INDIRECT(ADDRESS(A31,2,4,1,"Compartments"))))</x:f>
      </x:c>
    </x:row>
    <x:row r="32">
      <x:c r="A32" s="57">
        <x:v>32</x:v>
      </x:c>
      <x:c r="B32" s="57" t="e" cm="1">
        <x:f t="array" aca="1" ref="B32">IF(COUNTIF(INDIRECT(ADDRESS(3,1,1,1,"Compartments")&amp;":"&amp;ADDRESS(A32,4,4,1)),"*END*")&gt;0,"",IF(OR(INDIRECT(ADDRESS(A32,4,4,1,"Compartments"))="root",INDIRECT(ADDRESS(A32,4,4,1,"Compartments"))=""),INDIRECT(ADDRESS(A32,2,4,1,"Compartments")),INDIRECT(ADDRESS(A32,4,4,1,"Compartments"))&amp;"::"&amp;INDIRECT(ADDRESS(A32,2,4,1,"Compartments"))))</x:f>
      </x:c>
    </x:row>
    <x:row r="33">
      <x:c r="A33" s="57">
        <x:v>33</x:v>
      </x:c>
      <x:c r="B33" s="57" t="e" cm="1">
        <x:f t="array" aca="1" ref="B33">IF(COUNTIF(INDIRECT(ADDRESS(3,1,1,1,"Compartments")&amp;":"&amp;ADDRESS(A33,4,4,1)),"*END*")&gt;0,"",IF(OR(INDIRECT(ADDRESS(A33,4,4,1,"Compartments"))="root",INDIRECT(ADDRESS(A33,4,4,1,"Compartments"))=""),INDIRECT(ADDRESS(A33,2,4,1,"Compartments")),INDIRECT(ADDRESS(A33,4,4,1,"Compartments"))&amp;"::"&amp;INDIRECT(ADDRESS(A33,2,4,1,"Compartments"))))</x:f>
      </x:c>
    </x:row>
    <x:row r="34">
      <x:c r="A34" s="57">
        <x:v>34</x:v>
      </x:c>
      <x:c r="B34" s="57" t="e" cm="1">
        <x:f t="array" aca="1" ref="B34">IF(COUNTIF(INDIRECT(ADDRESS(3,1,1,1,"Compartments")&amp;":"&amp;ADDRESS(A34,4,4,1)),"*END*")&gt;0,"",IF(OR(INDIRECT(ADDRESS(A34,4,4,1,"Compartments"))="root",INDIRECT(ADDRESS(A34,4,4,1,"Compartments"))=""),INDIRECT(ADDRESS(A34,2,4,1,"Compartments")),INDIRECT(ADDRESS(A34,4,4,1,"Compartments"))&amp;"::"&amp;INDIRECT(ADDRESS(A34,2,4,1,"Compartments"))))</x:f>
      </x:c>
    </x:row>
    <x:row r="35">
      <x:c r="A35" s="57">
        <x:v>35</x:v>
      </x:c>
      <x:c r="B35" s="57" t="e" cm="1">
        <x:f t="array" aca="1" ref="B35">IF(COUNTIF(INDIRECT(ADDRESS(3,1,1,1,"Compartments")&amp;":"&amp;ADDRESS(A35,4,4,1)),"*END*")&gt;0,"",IF(OR(INDIRECT(ADDRESS(A35,4,4,1,"Compartments"))="root",INDIRECT(ADDRESS(A35,4,4,1,"Compartments"))=""),INDIRECT(ADDRESS(A35,2,4,1,"Compartments")),INDIRECT(ADDRESS(A35,4,4,1,"Compartments"))&amp;"::"&amp;INDIRECT(ADDRESS(A35,2,4,1,"Compartments"))))</x:f>
      </x:c>
    </x:row>
    <x:row r="36">
      <x:c r="A36" s="57">
        <x:v>36</x:v>
      </x:c>
      <x:c r="B36" s="57" t="e" cm="1">
        <x:f t="array" aca="1" ref="B36">IF(COUNTIF(INDIRECT(ADDRESS(3,1,1,1,"Compartments")&amp;":"&amp;ADDRESS(A36,4,4,1)),"*END*")&gt;0,"",IF(OR(INDIRECT(ADDRESS(A36,4,4,1,"Compartments"))="root",INDIRECT(ADDRESS(A36,4,4,1,"Compartments"))=""),INDIRECT(ADDRESS(A36,2,4,1,"Compartments")),INDIRECT(ADDRESS(A36,4,4,1,"Compartments"))&amp;"::"&amp;INDIRECT(ADDRESS(A36,2,4,1,"Compartments"))))</x:f>
      </x:c>
    </x:row>
    <x:row r="37">
      <x:c r="A37" s="57">
        <x:v>37</x:v>
      </x:c>
      <x:c r="B37" s="57" t="e" cm="1">
        <x:f t="array" aca="1" ref="B37">IF(COUNTIF(INDIRECT(ADDRESS(3,1,1,1,"Compartments")&amp;":"&amp;ADDRESS(A37,4,4,1)),"*END*")&gt;0,"",IF(OR(INDIRECT(ADDRESS(A37,4,4,1,"Compartments"))="root",INDIRECT(ADDRESS(A37,4,4,1,"Compartments"))=""),INDIRECT(ADDRESS(A37,2,4,1,"Compartments")),INDIRECT(ADDRESS(A37,4,4,1,"Compartments"))&amp;"::"&amp;INDIRECT(ADDRESS(A37,2,4,1,"Compartments"))))</x:f>
      </x:c>
    </x:row>
    <x:row r="38">
      <x:c r="A38" s="57">
        <x:v>38</x:v>
      </x:c>
      <x:c r="B38" s="57" t="e" cm="1">
        <x:f t="array" aca="1" ref="B38">IF(COUNTIF(INDIRECT(ADDRESS(3,1,1,1,"Compartments")&amp;":"&amp;ADDRESS(A38,4,4,1)),"*END*")&gt;0,"",IF(OR(INDIRECT(ADDRESS(A38,4,4,1,"Compartments"))="root",INDIRECT(ADDRESS(A38,4,4,1,"Compartments"))=""),INDIRECT(ADDRESS(A38,2,4,1,"Compartments")),INDIRECT(ADDRESS(A38,4,4,1,"Compartments"))&amp;"::"&amp;INDIRECT(ADDRESS(A38,2,4,1,"Compartments"))))</x:f>
      </x:c>
    </x:row>
    <x:row r="39">
      <x:c r="A39" s="57">
        <x:v>39</x:v>
      </x:c>
      <x:c r="B39" s="57" t="e" cm="1">
        <x:f t="array" aca="1" ref="B39">IF(COUNTIF(INDIRECT(ADDRESS(3,1,1,1,"Compartments")&amp;":"&amp;ADDRESS(A39,4,4,1)),"*END*")&gt;0,"",IF(OR(INDIRECT(ADDRESS(A39,4,4,1,"Compartments"))="root",INDIRECT(ADDRESS(A39,4,4,1,"Compartments"))=""),INDIRECT(ADDRESS(A39,2,4,1,"Compartments")),INDIRECT(ADDRESS(A39,4,4,1,"Compartments"))&amp;"::"&amp;INDIRECT(ADDRESS(A39,2,4,1,"Compartments"))))</x:f>
      </x:c>
    </x:row>
    <x:row r="40">
      <x:c r="A40" s="57">
        <x:v>40</x:v>
      </x:c>
      <x:c r="B40" s="57" t="e" cm="1">
        <x:f t="array" aca="1" ref="B40">IF(COUNTIF(INDIRECT(ADDRESS(3,1,1,1,"Compartments")&amp;":"&amp;ADDRESS(A40,4,4,1)),"*END*")&gt;0,"",IF(OR(INDIRECT(ADDRESS(A40,4,4,1,"Compartments"))="root",INDIRECT(ADDRESS(A40,4,4,1,"Compartments"))=""),INDIRECT(ADDRESS(A40,2,4,1,"Compartments")),INDIRECT(ADDRESS(A40,4,4,1,"Compartments"))&amp;"::"&amp;INDIRECT(ADDRESS(A40,2,4,1,"Compartments"))))</x:f>
      </x:c>
    </x:row>
    <x:row r="41">
      <x:c r="A41" s="57">
        <x:v>41</x:v>
      </x:c>
      <x:c r="B41" s="57" t="e" cm="1">
        <x:f t="array" aca="1" ref="B41">IF(COUNTIF(INDIRECT(ADDRESS(3,1,1,1,"Compartments")&amp;":"&amp;ADDRESS(A41,4,4,1)),"*END*")&gt;0,"",IF(OR(INDIRECT(ADDRESS(A41,4,4,1,"Compartments"))="root",INDIRECT(ADDRESS(A41,4,4,1,"Compartments"))=""),INDIRECT(ADDRESS(A41,2,4,1,"Compartments")),INDIRECT(ADDRESS(A41,4,4,1,"Compartments"))&amp;"::"&amp;INDIRECT(ADDRESS(A41,2,4,1,"Compartments"))))</x:f>
      </x:c>
    </x:row>
    <x:row r="42">
      <x:c r="A42" s="57">
        <x:v>42</x:v>
      </x:c>
      <x:c r="B42" s="57" t="e" cm="1">
        <x:f t="array" aca="1" ref="B42">IF(COUNTIF(INDIRECT(ADDRESS(3,1,1,1,"Compartments")&amp;":"&amp;ADDRESS(A42,4,4,1)),"*END*")&gt;0,"",IF(OR(INDIRECT(ADDRESS(A42,4,4,1,"Compartments"))="root",INDIRECT(ADDRESS(A42,4,4,1,"Compartments"))=""),INDIRECT(ADDRESS(A42,2,4,1,"Compartments")),INDIRECT(ADDRESS(A42,4,4,1,"Compartments"))&amp;"::"&amp;INDIRECT(ADDRESS(A42,2,4,1,"Compartments"))))</x:f>
      </x:c>
    </x:row>
    <x:row r="43">
      <x:c r="A43" s="57">
        <x:v>43</x:v>
      </x:c>
      <x:c r="B43" s="57" t="e" cm="1">
        <x:f t="array" aca="1" ref="B43">IF(COUNTIF(INDIRECT(ADDRESS(3,1,1,1,"Compartments")&amp;":"&amp;ADDRESS(A43,4,4,1)),"*END*")&gt;0,"",IF(OR(INDIRECT(ADDRESS(A43,4,4,1,"Compartments"))="root",INDIRECT(ADDRESS(A43,4,4,1,"Compartments"))=""),INDIRECT(ADDRESS(A43,2,4,1,"Compartments")),INDIRECT(ADDRESS(A43,4,4,1,"Compartments"))&amp;"::"&amp;INDIRECT(ADDRESS(A43,2,4,1,"Compartments"))))</x:f>
      </x:c>
    </x:row>
    <x:row r="44">
      <x:c r="A44" s="57">
        <x:v>44</x:v>
      </x:c>
      <x:c r="B44" s="57" t="e" cm="1">
        <x:f t="array" aca="1" ref="B44">IF(COUNTIF(INDIRECT(ADDRESS(3,1,1,1,"Compartments")&amp;":"&amp;ADDRESS(A44,4,4,1)),"*END*")&gt;0,"",IF(OR(INDIRECT(ADDRESS(A44,4,4,1,"Compartments"))="root",INDIRECT(ADDRESS(A44,4,4,1,"Compartments"))=""),INDIRECT(ADDRESS(A44,2,4,1,"Compartments")),INDIRECT(ADDRESS(A44,4,4,1,"Compartments"))&amp;"::"&amp;INDIRECT(ADDRESS(A44,2,4,1,"Compartments"))))</x:f>
      </x:c>
    </x:row>
    <x:row r="45">
      <x:c r="A45" s="57">
        <x:v>45</x:v>
      </x:c>
      <x:c r="B45" s="57" t="e" cm="1">
        <x:f t="array" aca="1" ref="B45">IF(COUNTIF(INDIRECT(ADDRESS(3,1,1,1,"Compartments")&amp;":"&amp;ADDRESS(A45,4,4,1)),"*END*")&gt;0,"",IF(OR(INDIRECT(ADDRESS(A45,4,4,1,"Compartments"))="root",INDIRECT(ADDRESS(A45,4,4,1,"Compartments"))=""),INDIRECT(ADDRESS(A45,2,4,1,"Compartments")),INDIRECT(ADDRESS(A45,4,4,1,"Compartments"))&amp;"::"&amp;INDIRECT(ADDRESS(A45,2,4,1,"Compartments"))))</x:f>
      </x:c>
    </x:row>
    <x:row r="46">
      <x:c r="A46" s="57">
        <x:v>46</x:v>
      </x:c>
      <x:c r="B46" s="57" t="e" cm="1">
        <x:f t="array" aca="1" ref="B46">IF(COUNTIF(INDIRECT(ADDRESS(3,1,1,1,"Compartments")&amp;":"&amp;ADDRESS(A46,4,4,1)),"*END*")&gt;0,"",IF(OR(INDIRECT(ADDRESS(A46,4,4,1,"Compartments"))="root",INDIRECT(ADDRESS(A46,4,4,1,"Compartments"))=""),INDIRECT(ADDRESS(A46,2,4,1,"Compartments")),INDIRECT(ADDRESS(A46,4,4,1,"Compartments"))&amp;"::"&amp;INDIRECT(ADDRESS(A46,2,4,1,"Compartments"))))</x:f>
      </x:c>
    </x:row>
    <x:row r="47">
      <x:c r="A47" s="57">
        <x:v>47</x:v>
      </x:c>
      <x:c r="B47" s="57" t="e" cm="1">
        <x:f t="array" aca="1" ref="B47">IF(COUNTIF(INDIRECT(ADDRESS(3,1,1,1,"Compartments")&amp;":"&amp;ADDRESS(A47,4,4,1)),"*END*")&gt;0,"",IF(OR(INDIRECT(ADDRESS(A47,4,4,1,"Compartments"))="root",INDIRECT(ADDRESS(A47,4,4,1,"Compartments"))=""),INDIRECT(ADDRESS(A47,2,4,1,"Compartments")),INDIRECT(ADDRESS(A47,4,4,1,"Compartments"))&amp;"::"&amp;INDIRECT(ADDRESS(A47,2,4,1,"Compartments"))))</x:f>
      </x:c>
    </x:row>
    <x:row r="48">
      <x:c r="A48" s="57">
        <x:v>48</x:v>
      </x:c>
      <x:c r="B48" s="57" t="e" cm="1">
        <x:f t="array" aca="1" ref="B48">IF(COUNTIF(INDIRECT(ADDRESS(3,1,1,1,"Compartments")&amp;":"&amp;ADDRESS(A48,4,4,1)),"*END*")&gt;0,"",IF(OR(INDIRECT(ADDRESS(A48,4,4,1,"Compartments"))="root",INDIRECT(ADDRESS(A48,4,4,1,"Compartments"))=""),INDIRECT(ADDRESS(A48,2,4,1,"Compartments")),INDIRECT(ADDRESS(A48,4,4,1,"Compartments"))&amp;"::"&amp;INDIRECT(ADDRESS(A48,2,4,1,"Compartments"))))</x:f>
      </x:c>
    </x:row>
    <x:row r="49">
      <x:c r="A49" s="57">
        <x:v>49</x:v>
      </x:c>
      <x:c r="B49" s="57" t="e" cm="1">
        <x:f t="array" aca="1" ref="B49">IF(COUNTIF(INDIRECT(ADDRESS(3,1,1,1,"Compartments")&amp;":"&amp;ADDRESS(A49,4,4,1)),"*END*")&gt;0,"",IF(OR(INDIRECT(ADDRESS(A49,4,4,1,"Compartments"))="root",INDIRECT(ADDRESS(A49,4,4,1,"Compartments"))=""),INDIRECT(ADDRESS(A49,2,4,1,"Compartments")),INDIRECT(ADDRESS(A49,4,4,1,"Compartments"))&amp;"::"&amp;INDIRECT(ADDRESS(A49,2,4,1,"Compartments"))))</x:f>
      </x:c>
    </x:row>
    <x:row r="50">
      <x:c r="A50" s="57">
        <x:v>50</x:v>
      </x:c>
      <x:c r="B50" s="57" t="e" cm="1">
        <x:f t="array" aca="1" ref="B50">IF(COUNTIF(INDIRECT(ADDRESS(3,1,1,1,"Compartments")&amp;":"&amp;ADDRESS(A50,4,4,1)),"*END*")&gt;0,"",IF(OR(INDIRECT(ADDRESS(A50,4,4,1,"Compartments"))="root",INDIRECT(ADDRESS(A50,4,4,1,"Compartments"))=""),INDIRECT(ADDRESS(A50,2,4,1,"Compartments")),INDIRECT(ADDRESS(A50,4,4,1,"Compartments"))&amp;"::"&amp;INDIRECT(ADDRESS(A50,2,4,1,"Compartments"))))</x:f>
      </x:c>
    </x:row>
    <x:row r="51">
      <x:c r="A51" s="57"/>
      <x:c r="B51" s="57"/>
    </x:row>
  </x:sheetData>
  <x:pageMargins left="0.7" right="0.7" top="0.75" bottom="0.75" header="0.3" footer="0.3"/>
</x:worksheet>
</file>

<file path=xl/worksheets/sheet51.xml><?xml version="1.0" encoding="utf-8"?>
<x:worksheet xmlns:x="http://schemas.openxmlformats.org/spreadsheetml/2006/main">
  <x:sheetFormatPr defaultRowHeight="15"/>
  <x:cols>
    <x:col min="1" max="1" width="28" hidden="0" customWidth="1"/>
    <x:col min="2" max="2" width="32" hidden="0" customWidth="1"/>
    <x:col min="3" max="3" width="16" hidden="0" customWidth="1"/>
    <x:col min="4" max="4" width="32" hidden="0" customWidth="1"/>
    <x:col min="5" max="5" width="44" hidden="0" customWidth="1"/>
    <x:col min="6" max="6" width="14" hidden="0" customWidth="1"/>
  </x:cols>
  <x:sheetData>
    <x:row r="1">
      <x:c r="A1" s="547" t="str">
        <x:v>OCI SCCA CD3 Governance Gold Master</x:v>
      </x:c>
      <x:c r="B1" s="547"/>
      <x:c r="C1" s="547"/>
      <x:c r="D1" s="547"/>
      <x:c r="E1" s="547"/>
      <x:c r="F1" s="547"/>
    </x:row>
    <x:row r="2">
      <x:c r="A2" s="361"/>
      <x:c r="B2" s="361"/>
      <x:c r="C2" s="361"/>
      <x:c r="D2" s="361"/>
      <x:c r="E2" s="361"/>
      <x:c r="F2" s="361"/>
    </x:row>
    <x:row r="3">
      <x:c r="A3" s="546" t="str">
        <x:v>Input</x:v>
      </x:c>
      <x:c r="B3" s="546" t="str">
        <x:v>Current Value</x:v>
      </x:c>
      <x:c r="C3" s="546" t="str">
        <x:v>Replace?</x:v>
      </x:c>
      <x:c r="D3" s="546" t="str">
        <x:v>Used By</x:v>
      </x:c>
      <x:c r="E3" s="546" t="str">
        <x:v>Risk if Wrong</x:v>
      </x:c>
      <x:c r="F3" s="546" t="str">
        <x:v>Status</x:v>
      </x:c>
    </x:row>
    <x:row r="4">
      <x:c r="A4" s="361" t="str">
        <x:v>Home Region</x:v>
      </x:c>
      <x:c r="B4" s="361" t="str">
        <x:v>Ashburn</x:v>
      </x:c>
      <x:c r="C4" s="361" t="str">
        <x:v>Yes if different</x:v>
      </x:c>
      <x:c r="D4" s="361" t="str">
        <x:v>All governance sheets</x:v>
      </x:c>
      <x:c r="E4" s="361" t="str">
        <x:v>Resources processed in wrong home region</x:v>
      </x:c>
      <x:c r="F4" s="361" t="str">
        <x:v>REVIEW</x:v>
      </x:c>
    </x:row>
    <x:row r="5">
      <x:c r="A5" s="361" t="str">
        <x:v>Identity Domain</x:v>
      </x:c>
      <x:c r="B5" s="361" t="str">
        <x:v>Default</x:v>
      </x:c>
      <x:c r="C5" s="361" t="str">
        <x:v>No</x:v>
      </x:c>
      <x:c r="D5" s="361" t="str">
        <x:v>Groups and policy subjects</x:v>
      </x:c>
      <x:c r="E5" s="361" t="str">
        <x:v>Custom-domain syntax would differ</x:v>
      </x:c>
      <x:c r="F5" s="361" t="str">
        <x:v>READY</x:v>
      </x:c>
    </x:row>
    <x:row r="6">
      <x:c r="A6" s="361" t="str">
        <x:v>ORM Compartment OCID</x:v>
      </x:c>
      <x:c r="B6" s="361" t="str">
        <x:v>&lt;REPLACE_ORM_COMPARTMENT_OCID&gt;</x:v>
      </x:c>
      <x:c r="C6" s="361" t="str">
        <x:v>Yes</x:v>
      </x:c>
      <x:c r="D6" s="361" t="str">
        <x:v>CD3-ORM-Dynamic-Group</x:v>
      </x:c>
      <x:c r="E6" s="361" t="str">
        <x:v>Automation group will not match stack</x:v>
      </x:c>
      <x:c r="F6" s="361" t="str">
        <x:v>BLOCKED</x:v>
      </x:c>
    </x:row>
    <x:row r="7">
      <x:c r="A7" s="361" t="str">
        <x:v>FinOps Email</x:v>
      </x:c>
      <x:c r="B7" s="361" t="str">
        <x:v>&lt;REPLACE_FINOPS_EMAIL&gt;</x:v>
      </x:c>
      <x:c r="C7" s="361" t="str">
        <x:v>Yes</x:v>
      </x:c>
      <x:c r="D7" s="361" t="str">
        <x:v>Budgets</x:v>
      </x:c>
      <x:c r="E7" s="361" t="str">
        <x:v>Budget creation or notification failure</x:v>
      </x:c>
      <x:c r="F7" s="361" t="str">
        <x:v>BLOCKED</x:v>
      </x:c>
    </x:row>
    <x:row r="8">
      <x:c r="A8" s="361" t="str">
        <x:v>SOC Email</x:v>
      </x:c>
      <x:c r="B8" s="361" t="str">
        <x:v>&lt;REPLACE_SOC_EMAIL&gt;</x:v>
      </x:c>
      <x:c r="C8" s="361" t="str">
        <x:v>Yes</x:v>
      </x:c>
      <x:c r="D8" s="361" t="str">
        <x:v>VDSS budget</x:v>
      </x:c>
      <x:c r="E8" s="361" t="str">
        <x:v>Security alert not delivered</x:v>
      </x:c>
      <x:c r="F8" s="361" t="str">
        <x:v>BLOCKED</x:v>
      </x:c>
    </x:row>
    <x:row r="9">
      <x:c r="A9" s="361" t="str">
        <x:v>Top Parent</x:v>
      </x:c>
      <x:c r="B9" s="361" t="str">
        <x:v>EBLZ</x:v>
      </x:c>
      <x:c r="C9" s="361" t="str">
        <x:v>No</x:v>
      </x:c>
      <x:c r="D9" s="361" t="str">
        <x:v>Compartments and policies</x:v>
      </x:c>
      <x:c r="E9" s="361" t="str">
        <x:v>All paths depend on this exact name</x:v>
      </x:c>
      <x:c r="F9" s="361" t="str">
        <x:v>READY</x:v>
      </x:c>
    </x:row>
    <x:row r="10">
      <x:c r="A10" s="361" t="str">
        <x:v>Automatic creator tag</x:v>
      </x:c>
      <x:c r="B10" s="361" t="str">
        <x:v>${iam.principal.name}</x:v>
      </x:c>
      <x:c r="C10" s="361" t="str">
        <x:v>No</x:v>
      </x:c>
      <x:c r="D10" s="361" t="str">
        <x:v>SCCA_Audit.CreatedBy default</x:v>
      </x:c>
      <x:c r="E10" s="361" t="str">
        <x:v>Records automation principal when ORM creates resource</x:v>
      </x:c>
      <x:c r="F10" s="361" t="str">
        <x:v>READY</x:v>
      </x:c>
    </x:row>
    <x:row r="11">
      <x:c r="A11" s="361" t="str">
        <x:v>Automatic timestamp tag</x:v>
      </x:c>
      <x:c r="B11" s="361" t="str">
        <x:v>${oci.datetime}</x:v>
      </x:c>
      <x:c r="C11" s="361" t="str">
        <x:v>No</x:v>
      </x:c>
      <x:c r="D11" s="361" t="str">
        <x:v>SCCA_Audit.CreatedOn default</x:v>
      </x:c>
      <x:c r="E11" s="361" t="str">
        <x:v>UTC timestamp</x:v>
      </x:c>
      <x:c r="F11" s="361" t="str">
        <x:v>READY</x:v>
      </x:c>
    </x:row>
    <x:row r="12">
      <x:c r="A12" s="361" t="str">
        <x:v>Scope</x:v>
      </x:c>
      <x:c r="B12" s="361" t="str">
        <x:v>Compartments, Groups, Policies, Tags, Quotas, Budgets</x:v>
      </x:c>
      <x:c r="C12" s="361" t="str">
        <x:v>No</x:v>
      </x:c>
      <x:c r="D12" s="361" t="str">
        <x:v>This CD3 run</x:v>
      </x:c>
      <x:c r="E12" s="361" t="str">
        <x:v>Other service sheets intentionally stopped at END</x:v>
      </x:c>
      <x:c r="F12" s="361" t="str">
        <x:v>READY</x:v>
      </x:c>
    </x:row>
    <x:row r="13">
      <x:c r="A13" s="361"/>
      <x:c r="B13" s="361"/>
      <x:c r="C13" s="361"/>
      <x:c r="D13" s="361"/>
      <x:c r="E13" s="361"/>
      <x:c r="F13" s="361"/>
    </x:row>
    <x:row r="14">
      <x:c r="A14" s="361"/>
      <x:c r="B14" s="361"/>
      <x:c r="C14" s="361"/>
      <x:c r="D14" s="361"/>
      <x:c r="E14" s="361"/>
      <x:c r="F14" s="361"/>
    </x:row>
    <x:row r="15">
      <x:c r="A15" s="361"/>
      <x:c r="B15" s="361"/>
      <x:c r="C15" s="361"/>
      <x:c r="D15" s="361"/>
      <x:c r="E15" s="361"/>
      <x:c r="F15" s="361"/>
    </x:row>
    <x:row r="16">
      <x:c r="A16" s="354"/>
      <x:c r="B16" s="354"/>
      <x:c r="C16" s="354"/>
      <x:c r="D16" s="354"/>
      <x:c r="E16" s="354"/>
      <x:c r="F16" s="354"/>
    </x:row>
    <x:row r="17">
      <x:c r="A17" s="361"/>
      <x:c r="B17" s="361"/>
      <x:c r="C17" s="361"/>
      <x:c r="D17" s="361"/>
      <x:c r="E17" s="361"/>
      <x:c r="F17" s="361"/>
    </x:row>
    <x:row r="18">
      <x:c r="A18" s="361"/>
      <x:c r="B18" s="361"/>
      <x:c r="C18" s="361"/>
      <x:c r="D18" s="361"/>
      <x:c r="E18" s="361"/>
      <x:c r="F18" s="361"/>
    </x:row>
    <x:row r="19">
      <x:c r="A19" s="361"/>
      <x:c r="B19" s="361"/>
      <x:c r="C19" s="361"/>
      <x:c r="D19" s="361"/>
      <x:c r="E19" s="361"/>
      <x:c r="F19" s="361"/>
    </x:row>
    <x:row r="20">
      <x:c r="A20" s="361"/>
      <x:c r="B20" s="361"/>
      <x:c r="C20" s="361"/>
      <x:c r="D20" s="361"/>
      <x:c r="E20" s="361"/>
      <x:c r="F20" s="361"/>
    </x:row>
    <x:row r="21">
      <x:c r="A21" s="361"/>
      <x:c r="B21" s="361"/>
      <x:c r="C21" s="361"/>
      <x:c r="D21" s="361"/>
      <x:c r="E21" s="361"/>
      <x:c r="F21" s="361"/>
    </x:row>
    <x:row r="22">
      <x:c r="A22" s="361"/>
      <x:c r="B22" s="361"/>
      <x:c r="C22" s="361"/>
      <x:c r="D22" s="361"/>
      <x:c r="E22" s="361"/>
      <x:c r="F22" s="361"/>
    </x:row>
    <x:row r="23">
      <x:c r="A23" s="361"/>
      <x:c r="B23" s="361"/>
      <x:c r="C23" s="361"/>
      <x:c r="D23" s="361"/>
      <x:c r="E23" s="361"/>
      <x:c r="F23" s="361"/>
    </x:row>
    <x:row r="24">
      <x:c r="A24" s="361"/>
      <x:c r="B24" s="361"/>
      <x:c r="C24" s="361"/>
      <x:c r="D24" s="361"/>
      <x:c r="E24" s="361"/>
      <x:c r="F24" s="361"/>
    </x:row>
    <x:row r="25">
      <x:c r="A25" s="361"/>
      <x:c r="B25" s="361"/>
      <x:c r="C25" s="361"/>
      <x:c r="D25" s="361"/>
      <x:c r="E25" s="361"/>
      <x:c r="F25" s="361"/>
    </x:row>
    <x:row r="26">
      <x:c r="A26" s="361"/>
      <x:c r="B26" s="361"/>
      <x:c r="C26" s="361"/>
      <x:c r="D26" s="361"/>
      <x:c r="E26" s="361"/>
      <x:c r="F26" s="361"/>
    </x:row>
    <x:row r="27">
      <x:c r="A27" s="361"/>
      <x:c r="B27" s="361"/>
      <x:c r="C27" s="361"/>
      <x:c r="D27" s="361"/>
      <x:c r="E27" s="361"/>
      <x:c r="F27" s="361"/>
    </x:row>
    <x:row r="28">
      <x:c r="A28" s="361"/>
      <x:c r="B28" s="361"/>
      <x:c r="C28" s="361"/>
      <x:c r="D28" s="361"/>
      <x:c r="E28" s="361"/>
      <x:c r="F28" s="361"/>
    </x:row>
    <x:row r="29">
      <x:c r="A29" s="361"/>
      <x:c r="B29" s="361"/>
      <x:c r="C29" s="361"/>
      <x:c r="D29" s="361"/>
      <x:c r="E29" s="361"/>
      <x:c r="F29" s="361"/>
    </x:row>
    <x:row r="30">
      <x:c r="A30" s="361"/>
      <x:c r="B30" s="361"/>
      <x:c r="C30" s="361"/>
      <x:c r="D30" s="361"/>
      <x:c r="E30" s="361"/>
      <x:c r="F30" s="361"/>
    </x:row>
  </x:sheetData>
  <x:mergeCells>
    <x:mergeCell ref="A1:F1"/>
  </x:mergeCells>
  <x:conditionalFormatting sqref="F4:F30">
    <x:cfRule type="expression" dxfId="0" priority="1">
      <x:formula>F4="REPLACE"</x:formula>
    </x:cfRule>
    <x:cfRule type="expression" dxfId="1" priority="2">
      <x:formula>F4="OPEN"</x:formula>
    </x:cfRule>
    <x:cfRule type="expression" dxfId="2" priority="3">
      <x:formula>F4="READY"</x:formula>
    </x:cfRule>
  </x:conditionalFormatting>
  <x:conditionalFormatting sqref="F4:F20">
    <x:cfRule type="expression" dxfId="9" priority="4">
      <x:formula>F4="READY"</x:formula>
    </x:cfRule>
    <x:cfRule type="expression" dxfId="10" priority="5">
      <x:formula>F4="BLOCKED"</x:formula>
    </x:cfRule>
    <x:cfRule type="expression" dxfId="11" priority="6">
      <x:formula>F4="REVIEW"</x:formula>
    </x:cfRule>
  </x:conditionalFormatting>
  <x:pageMargins left="0.7" right="0.7" top="0.75" bottom="0.75" header="0.3" footer="0.3"/>
</x:worksheet>
</file>

<file path=xl/worksheets/sheet52.xml><?xml version="1.0" encoding="utf-8"?>
<x:worksheet xmlns:x="http://schemas.openxmlformats.org/spreadsheetml/2006/main">
  <x:sheetFormatPr defaultRowHeight="15"/>
  <x:cols>
    <x:col min="1" max="1" width="28" hidden="0" customWidth="1"/>
    <x:col min="2" max="2" width="16" hidden="0" customWidth="1"/>
    <x:col min="3" max="3" width="17" hidden="0" customWidth="1"/>
    <x:col min="4" max="4" width="34" hidden="0" customWidth="1"/>
    <x:col min="5" max="5" width="30" hidden="0" customWidth="1"/>
    <x:col min="6" max="6" width="12" hidden="0" customWidth="1"/>
    <x:col min="7" max="7" width="30" hidden="0" customWidth="1"/>
    <x:col min="8" max="8" width="38" hidden="0" customWidth="1"/>
  </x:cols>
  <x:sheetData>
    <x:row r="1">
      <x:c r="A1" s="532" t="str">
        <x:v>Group</x:v>
      </x:c>
      <x:c r="B1" s="532" t="str">
        <x:v>Identity Domain</x:v>
      </x:c>
      <x:c r="C1" s="532" t="str">
        <x:v>Identity Source</x:v>
      </x:c>
      <x:c r="D1" s="532" t="str">
        <x:v>Primary Compartment Scope</x:v>
      </x:c>
      <x:c r="E1" s="532" t="str">
        <x:v>Typical Access</x:v>
      </x:c>
      <x:c r="F1" s="532" t="str">
        <x:v>Privileged</x:v>
      </x:c>
      <x:c r="G1" s="532" t="str">
        <x:v>ADFS Group Mapping</x:v>
      </x:c>
      <x:c r="H1" s="532" t="str">
        <x:v>Notes</x:v>
      </x:c>
    </x:row>
    <x:row r="2">
      <x:c r="A2" s="361" t="str">
        <x:v>VDMS-Platform-Admins</x:v>
      </x:c>
      <x:c r="B2" s="361" t="str">
        <x:v>Default</x:v>
      </x:c>
      <x:c r="C2" s="361" t="str">
        <x:v>ADFS / AD</x:v>
      </x:c>
      <x:c r="D2" s="361" t="str">
        <x:v>SCCA::VDMS</x:v>
      </x:c>
      <x:c r="E2" s="361" t="str">
        <x:v>Manage VDMS platform services</x:v>
      </x:c>
      <x:c r="F2" s="361" t="str">
        <x:v>Yes</x:v>
      </x:c>
      <x:c r="G2" s="361" t="str">
        <x:v>OCI-VDMS-Platform-Admins</x:v>
      </x:c>
      <x:c r="H2" s="361" t="str">
        <x:v>No tenancy-wide manage-all</x:v>
      </x:c>
    </x:row>
    <x:row r="3">
      <x:c r="A3" s="361" t="str">
        <x:v>VDSS-Security-Admins</x:v>
      </x:c>
      <x:c r="B3" s="361" t="str">
        <x:v>Default</x:v>
      </x:c>
      <x:c r="C3" s="361" t="str">
        <x:v>ADFS / AD</x:v>
      </x:c>
      <x:c r="D3" s="361" t="str">
        <x:v>SCCA::VDSS</x:v>
      </x:c>
      <x:c r="E3" s="361" t="str">
        <x:v>Manage VDSS security services</x:v>
      </x:c>
      <x:c r="F3" s="361" t="str">
        <x:v>Yes</x:v>
      </x:c>
      <x:c r="G3" s="361" t="str">
        <x:v>OCI-VDSS-Security-Admins</x:v>
      </x:c>
      <x:c r="H3" s="361" t="str">
        <x:v>Separate from Network Admins</x:v>
      </x:c>
    </x:row>
    <x:row r="4">
      <x:c r="A4" s="361" t="str">
        <x:v>Network-Admins</x:v>
      </x:c>
      <x:c r="B4" s="361" t="str">
        <x:v>Default</x:v>
      </x:c>
      <x:c r="C4" s="361" t="str">
        <x:v>ADFS / AD</x:v>
      </x:c>
      <x:c r="D4" s="361" t="str">
        <x:v>SCCA::VDMS::Network; SCCA::VDSS::Network; Workload networks</x:v>
      </x:c>
      <x:c r="E4" s="361" t="str">
        <x:v>Manage network-family</x:v>
      </x:c>
      <x:c r="F4" s="361" t="str">
        <x:v>Yes</x:v>
      </x:c>
      <x:c r="G4" s="361" t="str">
        <x:v>OCI-Network-Admins</x:v>
      </x:c>
      <x:c r="H4" s="361" t="str">
        <x:v>No compute/database administration</x:v>
      </x:c>
    </x:row>
    <x:row r="5">
      <x:c r="A5" s="361" t="str">
        <x:v>CloudOps</x:v>
      </x:c>
      <x:c r="B5" s="361" t="str">
        <x:v>Default</x:v>
      </x:c>
      <x:c r="C5" s="361" t="str">
        <x:v>ADFS / AD</x:v>
      </x:c>
      <x:c r="D5" s="361" t="str">
        <x:v>SCCA</x:v>
      </x:c>
      <x:c r="E5" s="361" t="str">
        <x:v>Read broadly; operate VDMS</x:v>
      </x:c>
      <x:c r="F5" s="361" t="str">
        <x:v>Yes</x:v>
      </x:c>
      <x:c r="G5" s="361" t="str">
        <x:v>OCI-CloudOps</x:v>
      </x:c>
      <x:c r="H5" s="361" t="str">
        <x:v>Use least privilege for production</x:v>
      </x:c>
    </x:row>
    <x:row r="6">
      <x:c r="A6" s="361" t="str">
        <x:v>EntOps</x:v>
      </x:c>
      <x:c r="B6" s="361" t="str">
        <x:v>Default</x:v>
      </x:c>
      <x:c r="C6" s="361" t="str">
        <x:v>ADFS / AD</x:v>
      </x:c>
      <x:c r="D6" s="361" t="str">
        <x:v>SCCA::VDMS::Operations</x:v>
      </x:c>
      <x:c r="E6" s="361" t="str">
        <x:v>Logging, monitoring and management agents</x:v>
      </x:c>
      <x:c r="F6" s="361" t="str">
        <x:v>No</x:v>
      </x:c>
      <x:c r="G6" s="361" t="str">
        <x:v>OCI-EntOps</x:v>
      </x:c>
      <x:c r="H6" s="361" t="str">
        <x:v>Operational services only</x:v>
      </x:c>
    </x:row>
    <x:row r="7">
      <x:c r="A7" s="361" t="str">
        <x:v>SecOps</x:v>
      </x:c>
      <x:c r="B7" s="361" t="str">
        <x:v>Default</x:v>
      </x:c>
      <x:c r="C7" s="361" t="str">
        <x:v>ADFS / AD</x:v>
      </x:c>
      <x:c r="D7" s="361" t="str">
        <x:v>SCCA</x:v>
      </x:c>
      <x:c r="E7" s="361" t="str">
        <x:v>Security visibility and response</x:v>
      </x:c>
      <x:c r="F7" s="361" t="str">
        <x:v>Yes</x:v>
      </x:c>
      <x:c r="G7" s="361" t="str">
        <x:v>OCI-SecOps</x:v>
      </x:c>
      <x:c r="H7" s="361" t="str">
        <x:v>No secret decryption by default</x:v>
      </x:c>
    </x:row>
    <x:row r="8">
      <x:c r="A8" s="361" t="str">
        <x:v>Security-Auditors</x:v>
      </x:c>
      <x:c r="B8" s="361" t="str">
        <x:v>Default</x:v>
      </x:c>
      <x:c r="C8" s="361" t="str">
        <x:v>ADFS / AD</x:v>
      </x:c>
      <x:c r="D8" s="361" t="str">
        <x:v>SCCA / tenancy audit</x:v>
      </x:c>
      <x:c r="E8" s="361" t="str">
        <x:v>Inspect/read only</x:v>
      </x:c>
      <x:c r="F8" s="361" t="str">
        <x:v>No</x:v>
      </x:c>
      <x:c r="G8" s="361" t="str">
        <x:v>OCI-Security-Auditors</x:v>
      </x:c>
      <x:c r="H8" s="361" t="str">
        <x:v>No use/manage verbs</x:v>
      </x:c>
    </x:row>
    <x:row r="9">
      <x:c r="A9" s="361" t="str">
        <x:v>ORM-Deployment-Admins</x:v>
      </x:c>
      <x:c r="B9" s="361" t="str">
        <x:v>Default</x:v>
      </x:c>
      <x:c r="C9" s="361" t="str">
        <x:v>ADFS / AD</x:v>
      </x:c>
      <x:c r="D9" s="361" t="str">
        <x:v>SCCA</x:v>
      </x:c>
      <x:c r="E9" s="361" t="str">
        <x:v>Operate CD3 and ORM stacks</x:v>
      </x:c>
      <x:c r="F9" s="361" t="str">
        <x:v>Yes</x:v>
      </x:c>
      <x:c r="G9" s="361" t="str">
        <x:v>OCI-ORM-Deployment-Admins</x:v>
      </x:c>
      <x:c r="H9" s="361" t="str">
        <x:v>Human stack operators</x:v>
      </x:c>
    </x:row>
    <x:row r="10">
      <x:c r="A10" s="361" t="str">
        <x:v>AppDev</x:v>
      </x:c>
      <x:c r="B10" s="361" t="str">
        <x:v>Default</x:v>
      </x:c>
      <x:c r="C10" s="361" t="str">
        <x:v>ADFS / AD</x:v>
      </x:c>
      <x:c r="D10" s="361" t="str">
        <x:v>NonProd and Sandbox</x:v>
      </x:c>
      <x:c r="E10" s="361" t="str">
        <x:v>Application development</x:v>
      </x:c>
      <x:c r="F10" s="361" t="str">
        <x:v>No</x:v>
      </x:c>
      <x:c r="G10" s="361" t="str">
        <x:v>OCI-AppDev</x:v>
      </x:c>
      <x:c r="H10" s="361" t="str">
        <x:v>No direct Prod writes</x:v>
      </x:c>
    </x:row>
    <x:row r="11">
      <x:c r="A11" s="361" t="str">
        <x:v>DevOps</x:v>
      </x:c>
      <x:c r="B11" s="361" t="str">
        <x:v>Default</x:v>
      </x:c>
      <x:c r="C11" s="361" t="str">
        <x:v>ADFS / AD</x:v>
      </x:c>
      <x:c r="D11" s="361" t="str">
        <x:v>Workloads</x:v>
      </x:c>
      <x:c r="E11" s="361" t="str">
        <x:v>CI/CD and deployment services</x:v>
      </x:c>
      <x:c r="F11" s="361" t="str">
        <x:v>Yes</x:v>
      </x:c>
      <x:c r="G11" s="361" t="str">
        <x:v>OCI-DevOps</x:v>
      </x:c>
      <x:c r="H11" s="361" t="str">
        <x:v>Production through controlled pipelines</x:v>
      </x:c>
    </x:row>
    <x:row r="12">
      <x:c r="A12" s="361" t="str">
        <x:v>Database-Admins</x:v>
      </x:c>
      <x:c r="B12" s="361" t="str">
        <x:v>Default</x:v>
      </x:c>
      <x:c r="C12" s="361" t="str">
        <x:v>ADFS / AD</x:v>
      </x:c>
      <x:c r="D12" s="361" t="str">
        <x:v>Workload DB compartments</x:v>
      </x:c>
      <x:c r="E12" s="361" t="str">
        <x:v>Database administration</x:v>
      </x:c>
      <x:c r="F12" s="361" t="str">
        <x:v>Yes</x:v>
      </x:c>
      <x:c r="G12" s="361" t="str">
        <x:v>OCI-Database-Admins</x:v>
      </x:c>
      <x:c r="H12" s="361" t="str">
        <x:v>No network/IAM administration</x:v>
      </x:c>
    </x:row>
    <x:row r="13">
      <x:c r="A13" s="361" t="str">
        <x:v>FinOps</x:v>
      </x:c>
      <x:c r="B13" s="361" t="str">
        <x:v>Default</x:v>
      </x:c>
      <x:c r="C13" s="361" t="str">
        <x:v>ADFS / AD</x:v>
      </x:c>
      <x:c r="D13" s="361" t="str">
        <x:v>Tenancy cost and SCCA budgets</x:v>
      </x:c>
      <x:c r="E13" s="361" t="str">
        <x:v>Cost/usage read; budget management</x:v>
      </x:c>
      <x:c r="F13" s="361" t="str">
        <x:v>No</x:v>
      </x:c>
      <x:c r="G13" s="361" t="str">
        <x:v>OCI-FinOps</x:v>
      </x:c>
      <x:c r="H13" s="361" t="str">
        <x:v>No workload changes</x:v>
      </x:c>
    </x:row>
    <x:row r="14">
      <x:c r="A14" s="361" t="str">
        <x:v>Program-Admins-CDAS</x:v>
      </x:c>
      <x:c r="B14" s="361" t="str">
        <x:v>Default</x:v>
      </x:c>
      <x:c r="C14" s="361" t="str">
        <x:v>ADFS / AD</x:v>
      </x:c>
      <x:c r="D14" s="361" t="str">
        <x:v>CDAS compartments</x:v>
      </x:c>
      <x:c r="E14" s="361" t="str">
        <x:v>Program administration</x:v>
      </x:c>
      <x:c r="F14" s="361" t="str">
        <x:v>Yes</x:v>
      </x:c>
      <x:c r="G14" s="361" t="str">
        <x:v>OCI-CDAS-Admins</x:v>
      </x:c>
      <x:c r="H14" s="361" t="str">
        <x:v>Scope policies to CDAS only</x:v>
      </x:c>
    </x:row>
    <x:row r="15">
      <x:c r="A15" s="361" t="str">
        <x:v>Program-Admins-MSAS</x:v>
      </x:c>
      <x:c r="B15" s="361" t="str">
        <x:v>Default</x:v>
      </x:c>
      <x:c r="C15" s="361" t="str">
        <x:v>ADFS / AD</x:v>
      </x:c>
      <x:c r="D15" s="361" t="str">
        <x:v>MSAS compartments</x:v>
      </x:c>
      <x:c r="E15" s="361" t="str">
        <x:v>Program administration</x:v>
      </x:c>
      <x:c r="F15" s="361" t="str">
        <x:v>Yes</x:v>
      </x:c>
      <x:c r="G15" s="361" t="str">
        <x:v>OCI-MSAS-Admins</x:v>
      </x:c>
      <x:c r="H15" s="361" t="str">
        <x:v>Scope policies to MSAS only</x:v>
      </x:c>
    </x:row>
    <x:row r="16">
      <x:c r="A16" s="361" t="str">
        <x:v>DataWalk-Admins</x:v>
      </x:c>
      <x:c r="B16" s="361" t="str">
        <x:v>Default</x:v>
      </x:c>
      <x:c r="C16" s="361" t="str">
        <x:v>ADFS / AD</x:v>
      </x:c>
      <x:c r="D16" s="361" t="str">
        <x:v>DataWalk Dev/Test/Prod</x:v>
      </x:c>
      <x:c r="E16" s="361" t="str">
        <x:v>Application administration</x:v>
      </x:c>
      <x:c r="F16" s="361" t="str">
        <x:v>Yes</x:v>
      </x:c>
      <x:c r="G16" s="361" t="str">
        <x:v>OCI-DataWalk-Admins</x:v>
      </x:c>
      <x:c r="H16" s="361" t="str">
        <x:v>Separate Prod and NonProd policies when possible</x:v>
      </x:c>
    </x:row>
    <x:row r="17">
      <x:c r="A17" s="361" t="str">
        <x:v>Hyperscience-Admins</x:v>
      </x:c>
      <x:c r="B17" s="361" t="str">
        <x:v>Default</x:v>
      </x:c>
      <x:c r="C17" s="361" t="str">
        <x:v>ADFS / AD</x:v>
      </x:c>
      <x:c r="D17" s="361" t="str">
        <x:v>Hyperscience Dev/Prod</x:v>
      </x:c>
      <x:c r="E17" s="361" t="str">
        <x:v>Application administration</x:v>
      </x:c>
      <x:c r="F17" s="361" t="str">
        <x:v>Yes</x:v>
      </x:c>
      <x:c r="G17" s="361" t="str">
        <x:v>OCI-Hyperscience-Admins</x:v>
      </x:c>
      <x:c r="H17" s="361" t="str">
        <x:v>GPU and application resources only</x:v>
      </x:c>
    </x:row>
    <x:row r="18">
      <x:c r="A18" s="361" t="str">
        <x:v>BreakGlass-Admins</x:v>
      </x:c>
      <x:c r="B18" s="361" t="str">
        <x:v>Default</x:v>
      </x:c>
      <x:c r="C18" s="361" t="str">
        <x:v>OCI local</x:v>
      </x:c>
      <x:c r="D18" s="361" t="str">
        <x:v>Tenancy</x:v>
      </x:c>
      <x:c r="E18" s="361" t="str">
        <x:v>Emergency administration</x:v>
      </x:c>
      <x:c r="F18" s="361" t="str">
        <x:v>Yes</x:v>
      </x:c>
      <x:c r="G18" s="361" t="str">
        <x:v>None</x:v>
      </x:c>
      <x:c r="H18" s="361" t="str">
        <x:v>Two local users; phishing-resistant MFA</x:v>
      </x:c>
    </x:row>
    <x:row r="19">
      <x:c r="A19" s="361" t="str">
        <x:v>CD3-ORM-Dynamic-Group</x:v>
      </x:c>
      <x:c r="B19" s="361" t="str">
        <x:v>N/A</x:v>
      </x:c>
      <x:c r="C19" s="361" t="str">
        <x:v>OCI resource principal</x:v>
      </x:c>
      <x:c r="D19" s="361" t="str">
        <x:v>Approved ORM compartment</x:v>
      </x:c>
      <x:c r="E19" s="361" t="str">
        <x:v>Automation permissions</x:v>
      </x:c>
      <x:c r="F19" s="361" t="str">
        <x:v>Yes</x:v>
      </x:c>
      <x:c r="G19" s="361" t="str">
        <x:v>N/A</x:v>
      </x:c>
      <x:c r="H19" s="361" t="str">
        <x:v>Matching rule must use the real compartment OCID</x:v>
      </x:c>
    </x:row>
  </x:sheetData>
  <x:conditionalFormatting sqref="F2:F19">
    <x:cfRule type="expression" dxfId="3" priority="1">
      <x:formula>F2="Yes"</x:formula>
    </x:cfRule>
    <x:cfRule type="expression" dxfId="4" priority="2">
      <x:formula>F2="No"</x:formula>
    </x:cfRule>
  </x:conditionalFormatting>
  <x:pageMargins left="0.7" right="0.7" top="0.75" bottom="0.75" header="0.3" footer="0.3"/>
</x:worksheet>
</file>

<file path=xl/worksheets/sheet53.xml><?xml version="1.0" encoding="utf-8"?>
<x:worksheet xmlns:x="http://schemas.openxmlformats.org/spreadsheetml/2006/main">
  <x:sheetFormatPr defaultRowHeight="15"/>
  <x:cols>
    <x:col min="1" max="1" width="28" hidden="0" customWidth="1"/>
    <x:col min="2" max="2" width="34" hidden="0" customWidth="1"/>
    <x:col min="3" max="3" width="25" hidden="0" customWidth="1"/>
    <x:col min="4" max="4" width="32" hidden="0" customWidth="1"/>
    <x:col min="5" max="5" width="18" hidden="0" customWidth="1"/>
    <x:col min="6" max="6" width="16" hidden="0" customWidth="1"/>
    <x:col min="7" max="7" width="42" hidden="0" customWidth="1"/>
  </x:cols>
  <x:sheetData>
    <x:row r="1">
      <x:c r="A1" s="541" t="str">
        <x:v>Group</x:v>
      </x:c>
      <x:c r="B1" s="541" t="str">
        <x:v>Primary Scope</x:v>
      </x:c>
      <x:c r="C1" s="541" t="str">
        <x:v>Access Pattern</x:v>
      </x:c>
      <x:c r="D1" s="541" t="str">
        <x:v>Policy Name</x:v>
      </x:c>
      <x:c r="E1" s="541" t="str">
        <x:v>Production Write?</x:v>
      </x:c>
      <x:c r="F1" s="541" t="str">
        <x:v>Tenancy-Level?</x:v>
      </x:c>
      <x:c r="G1" s="541" t="str">
        <x:v>Design Note</x:v>
      </x:c>
    </x:row>
    <x:row r="2">
      <x:c r="A2" s="361" t="str">
        <x:v>IAM-Governance-Admins</x:v>
      </x:c>
      <x:c r="B2" s="361" t="str">
        <x:v>Tenancy IAM governance</x:v>
      </x:c>
      <x:c r="C2" s="361" t="str">
        <x:v>Manage IAM governance only</x:v>
      </x:c>
      <x:c r="D2" s="361" t="str">
        <x:v>EBLZ-IAM-Governance-Admins</x:v>
      </x:c>
      <x:c r="E2" s="361" t="str">
        <x:v>N/A</x:v>
      </x:c>
      <x:c r="F2" s="361" t="str">
        <x:v>Yes</x:v>
      </x:c>
      <x:c r="G2" s="361" t="str">
        <x:v>No user credential management</x:v>
      </x:c>
    </x:row>
    <x:row r="3">
      <x:c r="A3" s="361" t="str">
        <x:v>VDMS-Platform-Admins</x:v>
      </x:c>
      <x:c r="B3" s="361" t="str">
        <x:v>EBLZ::VDMS</x:v>
      </x:c>
      <x:c r="C3" s="361" t="str">
        <x:v>Manage shared platform services</x:v>
      </x:c>
      <x:c r="D3" s="361" t="str">
        <x:v>EBLZ-VDMS-Platform-Admins</x:v>
      </x:c>
      <x:c r="E3" s="361" t="str">
        <x:v>No workload write</x:v>
      </x:c>
      <x:c r="F3" s="361" t="str">
        <x:v>No</x:v>
      </x:c>
      <x:c r="G3" s="361" t="str">
        <x:v>Can consume network and keys</x:v>
      </x:c>
    </x:row>
    <x:row r="4">
      <x:c r="A4" s="361" t="str">
        <x:v>VDSS-Security-Admins</x:v>
      </x:c>
      <x:c r="B4" s="361" t="str">
        <x:v>EBLZ::VDSS + security tenancy services</x:v>
      </x:c>
      <x:c r="C4" s="361" t="str">
        <x:v>Manage security services</x:v>
      </x:c>
      <x:c r="D4" s="361" t="str">
        <x:v>EBLZ-VDSS-Security-Admins</x:v>
      </x:c>
      <x:c r="E4" s="361" t="str">
        <x:v>Security only</x:v>
      </x:c>
      <x:c r="F4" s="361" t="str">
        <x:v>Yes</x:v>
      </x:c>
      <x:c r="G4" s="361" t="str">
        <x:v>Cloud Guard is tenancy-scoped</x:v>
      </x:c>
    </x:row>
    <x:row r="5">
      <x:c r="A5" s="361" t="str">
        <x:v>Network-Admins</x:v>
      </x:c>
      <x:c r="B5" s="361" t="str">
        <x:v>EBLZ networks</x:v>
      </x:c>
      <x:c r="C5" s="361" t="str">
        <x:v>Manage network-family</x:v>
      </x:c>
      <x:c r="D5" s="361" t="str">
        <x:v>EBLZ-Network-Admins</x:v>
      </x:c>
      <x:c r="E5" s="361" t="str">
        <x:v>Network only</x:v>
      </x:c>
      <x:c r="F5" s="361" t="str">
        <x:v>No</x:v>
      </x:c>
      <x:c r="G5" s="361" t="str">
        <x:v>No compute/database administration</x:v>
      </x:c>
    </x:row>
    <x:row r="6">
      <x:c r="A6" s="361" t="str">
        <x:v>CloudOps</x:v>
      </x:c>
      <x:c r="B6" s="361" t="str">
        <x:v>EBLZ read; VDMS operations</x:v>
      </x:c>
      <x:c r="C6" s="361" t="str">
        <x:v>Broad read, scoped write</x:v>
      </x:c>
      <x:c r="D6" s="361" t="str">
        <x:v>EBLZ-CloudOps</x:v>
      </x:c>
      <x:c r="E6" s="361" t="str">
        <x:v>No direct workload manage</x:v>
      </x:c>
      <x:c r="F6" s="361" t="str">
        <x:v>Yes: Audit read</x:v>
      </x:c>
      <x:c r="G6" s="361" t="str">
        <x:v>Operational visibility</x:v>
      </x:c>
    </x:row>
    <x:row r="7">
      <x:c r="A7" s="361" t="str">
        <x:v>EntOps</x:v>
      </x:c>
      <x:c r="B7" s="361" t="str">
        <x:v>EBLZ::VDMS::Operations</x:v>
      </x:c>
      <x:c r="C7" s="361" t="str">
        <x:v>Manage monitoring/logging</x:v>
      </x:c>
      <x:c r="D7" s="361" t="str">
        <x:v>EBLZ-EntOps</x:v>
      </x:c>
      <x:c r="E7" s="361" t="str">
        <x:v>No</x:v>
      </x:c>
      <x:c r="F7" s="361" t="str">
        <x:v>No</x:v>
      </x:c>
      <x:c r="G7" s="361" t="str">
        <x:v>Management tooling only</x:v>
      </x:c>
    </x:row>
    <x:row r="8">
      <x:c r="A8" s="361" t="str">
        <x:v>SecOps</x:v>
      </x:c>
      <x:c r="B8" s="361" t="str">
        <x:v>EBLZ + tenancy security</x:v>
      </x:c>
      <x:c r="C8" s="361" t="str">
        <x:v>Security response</x:v>
      </x:c>
      <x:c r="D8" s="361" t="str">
        <x:v>EBLZ-SecOps</x:v>
      </x:c>
      <x:c r="E8" s="361" t="str">
        <x:v>No workload manage</x:v>
      </x:c>
      <x:c r="F8" s="361" t="str">
        <x:v>Yes</x:v>
      </x:c>
      <x:c r="G8" s="361" t="str">
        <x:v>No secret use/decrypt</x:v>
      </x:c>
    </x:row>
    <x:row r="9">
      <x:c r="A9" s="361" t="str">
        <x:v>Security-Auditors</x:v>
      </x:c>
      <x:c r="B9" s="361" t="str">
        <x:v>Tenancy read</x:v>
      </x:c>
      <x:c r="C9" s="361" t="str">
        <x:v>Inspect/read only</x:v>
      </x:c>
      <x:c r="D9" s="361" t="str">
        <x:v>EBLZ-Security-Auditors</x:v>
      </x:c>
      <x:c r="E9" s="361" t="str">
        <x:v>No</x:v>
      </x:c>
      <x:c r="F9" s="361" t="str">
        <x:v>Yes</x:v>
      </x:c>
      <x:c r="G9" s="361" t="str">
        <x:v>No use/manage permissions</x:v>
      </x:c>
    </x:row>
    <x:row r="10">
      <x:c r="A10" s="361" t="str">
        <x:v>ORM-Deployment-Admins</x:v>
      </x:c>
      <x:c r="B10" s="361" t="str">
        <x:v>EBLZ ORM</x:v>
      </x:c>
      <x:c r="C10" s="361" t="str">
        <x:v>Operate stacks/jobs</x:v>
      </x:c>
      <x:c r="D10" s="361" t="str">
        <x:v>EBLZ-ORM-Human-Operators</x:v>
      </x:c>
      <x:c r="E10" s="361" t="str">
        <x:v>Via approved stack</x:v>
      </x:c>
      <x:c r="F10" s="361" t="str">
        <x:v>No</x:v>
      </x:c>
      <x:c r="G10" s="361" t="str">
        <x:v>Human operators</x:v>
      </x:c>
    </x:row>
    <x:row r="11">
      <x:c r="A11" s="361" t="str">
        <x:v>AppDev</x:v>
      </x:c>
      <x:c r="B11" s="361" t="str">
        <x:v>NonProd/Dev/Sandbox</x:v>
      </x:c>
      <x:c r="C11" s="361" t="str">
        <x:v>Develop and test</x:v>
      </x:c>
      <x:c r="D11" s="361" t="str">
        <x:v>EBLZ-AppDev</x:v>
      </x:c>
      <x:c r="E11" s="361" t="str">
        <x:v>No</x:v>
      </x:c>
      <x:c r="F11" s="361" t="str">
        <x:v>No</x:v>
      </x:c>
      <x:c r="G11" s="361" t="str">
        <x:v>No CDAS Prod/DataWalk Prod/Hyperscience Prod</x:v>
      </x:c>
    </x:row>
    <x:row r="12">
      <x:c r="A12" s="361" t="str">
        <x:v>DevOps</x:v>
      </x:c>
      <x:c r="B12" s="361" t="str">
        <x:v>EBLZ::Programs</x:v>
      </x:c>
      <x:c r="C12" s="361" t="str">
        <x:v>CI/CD services</x:v>
      </x:c>
      <x:c r="D12" s="361" t="str">
        <x:v>EBLZ-DevOps</x:v>
      </x:c>
      <x:c r="E12" s="361" t="str">
        <x:v>Pipeline-mediated</x:v>
      </x:c>
      <x:c r="F12" s="361" t="str">
        <x:v>No</x:v>
      </x:c>
      <x:c r="G12" s="361" t="str">
        <x:v>No manage-all</x:v>
      </x:c>
    </x:row>
    <x:row r="13">
      <x:c r="A13" s="361" t="str">
        <x:v>Database-Admins</x:v>
      </x:c>
      <x:c r="B13" s="361" t="str">
        <x:v>EBLZ::Programs</x:v>
      </x:c>
      <x:c r="C13" s="361" t="str">
        <x:v>Database-family</x:v>
      </x:c>
      <x:c r="D13" s="361" t="str">
        <x:v>EBLZ-Database-Admins</x:v>
      </x:c>
      <x:c r="E13" s="361" t="str">
        <x:v>Yes: databases only</x:v>
      </x:c>
      <x:c r="F13" s="361" t="str">
        <x:v>No</x:v>
      </x:c>
      <x:c r="G13" s="361" t="str">
        <x:v>No IAM/network administration</x:v>
      </x:c>
    </x:row>
    <x:row r="14">
      <x:c r="A14" s="361" t="str">
        <x:v>FinOps</x:v>
      </x:c>
      <x:c r="B14" s="361" t="str">
        <x:v>Tenancy cost services</x:v>
      </x:c>
      <x:c r="C14" s="361" t="str">
        <x:v>Usage and budgets</x:v>
      </x:c>
      <x:c r="D14" s="361" t="str">
        <x:v>EBLZ-FinOps</x:v>
      </x:c>
      <x:c r="E14" s="361" t="str">
        <x:v>No</x:v>
      </x:c>
      <x:c r="F14" s="361" t="str">
        <x:v>Yes</x:v>
      </x:c>
      <x:c r="G14" s="361" t="str">
        <x:v>No resource modification</x:v>
      </x:c>
    </x:row>
    <x:row r="15">
      <x:c r="A15" s="361" t="str">
        <x:v>Program-Admins-CDAS</x:v>
      </x:c>
      <x:c r="B15" s="361" t="str">
        <x:v>EBLZ::Programs::CDAS</x:v>
      </x:c>
      <x:c r="C15" s="361" t="str">
        <x:v>Manage CDAS resources</x:v>
      </x:c>
      <x:c r="D15" s="361" t="str">
        <x:v>EBLZ-CDAS-Program-Admins</x:v>
      </x:c>
      <x:c r="E15" s="361" t="str">
        <x:v>Yes</x:v>
      </x:c>
      <x:c r="F15" s="361" t="str">
        <x:v>No</x:v>
      </x:c>
      <x:c r="G15" s="361" t="str">
        <x:v>Scoped to CDAS</x:v>
      </x:c>
    </x:row>
    <x:row r="16">
      <x:c r="A16" s="361" t="str">
        <x:v>Program-Admins-MSAS</x:v>
      </x:c>
      <x:c r="B16" s="361" t="str">
        <x:v>EBLZ::Programs::MSAS</x:v>
      </x:c>
      <x:c r="C16" s="361" t="str">
        <x:v>Manage MSAS resources</x:v>
      </x:c>
      <x:c r="D16" s="361" t="str">
        <x:v>EBLZ-MSAS-Program-Admins</x:v>
      </x:c>
      <x:c r="E16" s="361" t="str">
        <x:v>Yes</x:v>
      </x:c>
      <x:c r="F16" s="361" t="str">
        <x:v>No</x:v>
      </x:c>
      <x:c r="G16" s="361" t="str">
        <x:v>Scoped to MSAS</x:v>
      </x:c>
    </x:row>
    <x:row r="17">
      <x:c r="A17" s="361" t="str">
        <x:v>DataWalk-Admins</x:v>
      </x:c>
      <x:c r="B17" s="361" t="str">
        <x:v>DataWalk Dev/Test/Prod</x:v>
      </x:c>
      <x:c r="C17" s="361" t="str">
        <x:v>Manage DataWalk resources</x:v>
      </x:c>
      <x:c r="D17" s="361" t="str">
        <x:v>EBLZ-DataWalk-Admins</x:v>
      </x:c>
      <x:c r="E17" s="361" t="str">
        <x:v>Yes</x:v>
      </x:c>
      <x:c r="F17" s="361" t="str">
        <x:v>No</x:v>
      </x:c>
      <x:c r="G17" s="361" t="str">
        <x:v>No Hyperscience access</x:v>
      </x:c>
    </x:row>
    <x:row r="18">
      <x:c r="A18" s="361" t="str">
        <x:v>Hyperscience-Admins</x:v>
      </x:c>
      <x:c r="B18" s="361" t="str">
        <x:v>Hyperscience Dev/Prod</x:v>
      </x:c>
      <x:c r="C18" s="361" t="str">
        <x:v>Manage Hyperscience resources</x:v>
      </x:c>
      <x:c r="D18" s="361" t="str">
        <x:v>EBLZ-Hyperscience-Admins</x:v>
      </x:c>
      <x:c r="E18" s="361" t="str">
        <x:v>Yes</x:v>
      </x:c>
      <x:c r="F18" s="361" t="str">
        <x:v>No</x:v>
      </x:c>
      <x:c r="G18" s="361" t="str">
        <x:v>Includes GPU resources in scope</x:v>
      </x:c>
    </x:row>
    <x:row r="19">
      <x:c r="A19" s="361" t="str">
        <x:v>Sandbox-Admins</x:v>
      </x:c>
      <x:c r="B19" s="361" t="str">
        <x:v>EBLZ::Sandbox</x:v>
      </x:c>
      <x:c r="C19" s="361" t="str">
        <x:v>Manage Sandbox</x:v>
      </x:c>
      <x:c r="D19" s="361" t="str">
        <x:v>EBLZ-Sandbox-Admins</x:v>
      </x:c>
      <x:c r="E19" s="361" t="str">
        <x:v>No production</x:v>
      </x:c>
      <x:c r="F19" s="361" t="str">
        <x:v>No</x:v>
      </x:c>
      <x:c r="G19" s="361" t="str">
        <x:v>Isolated experimentation</x:v>
      </x:c>
    </x:row>
    <x:row r="20">
      <x:c r="A20" s="361" t="str">
        <x:v>Auditor-Exchange-Admins</x:v>
      </x:c>
      <x:c r="B20" s="361" t="str">
        <x:v>EBLZ::VDSS::Evidence-Exchange</x:v>
      </x:c>
      <x:c r="C20" s="361" t="str">
        <x:v>Manage evidence exchange</x:v>
      </x:c>
      <x:c r="D20" s="361" t="str">
        <x:v>EBLZ-Auditor-Evidence-Exchange</x:v>
      </x:c>
      <x:c r="E20" s="361" t="str">
        <x:v>No</x:v>
      </x:c>
      <x:c r="F20" s="361" t="str">
        <x:v>Audit read only</x:v>
      </x:c>
      <x:c r="G20" s="361" t="str">
        <x:v>Cross-tenancy endorse/admit policies require Auditor tenancy OCIDs</x:v>
      </x:c>
    </x:row>
    <x:row r="21">
      <x:c r="A21" s="361" t="str">
        <x:v>BreakGlass-Admins</x:v>
      </x:c>
      <x:c r="B21" s="361" t="str">
        <x:v>Tenancy</x:v>
      </x:c>
      <x:c r="C21" s="361" t="str">
        <x:v>Emergency manage-all</x:v>
      </x:c>
      <x:c r="D21" s="361" t="str">
        <x:v>EBLZ-BreakGlass</x:v>
      </x:c>
      <x:c r="E21" s="361" t="str">
        <x:v>Yes</x:v>
      </x:c>
      <x:c r="F21" s="361" t="str">
        <x:v>Yes</x:v>
      </x:c>
      <x:c r="G21" s="361" t="str">
        <x:v>Cloud-local accounts only</x:v>
      </x:c>
    </x:row>
    <x:row r="22">
      <x:c r="A22" s="361" t="str">
        <x:v>CD3-ORM-Dynamic-Group</x:v>
      </x:c>
      <x:c r="B22" s="361" t="str">
        <x:v>Governance tenancy + EBLZ</x:v>
      </x:c>
      <x:c r="C22" s="361" t="str">
        <x:v>CD3 automation</x:v>
      </x:c>
      <x:c r="D22" s="361" t="str">
        <x:v>EBLZ-CD3-ORM-Automation</x:v>
      </x:c>
      <x:c r="E22" s="361" t="str">
        <x:v>Via stack</x:v>
      </x:c>
      <x:c r="F22" s="361" t="str">
        <x:v>Yes</x:v>
      </x:c>
      <x:c r="G22" s="361" t="str">
        <x:v>Replace matching-rule compartment OCID</x:v>
      </x:c>
    </x:row>
    <x:row r="23">
      <x:c r="A23" s="361"/>
      <x:c r="B23" s="361"/>
      <x:c r="C23" s="361"/>
      <x:c r="D23" s="361"/>
      <x:c r="E23" s="361"/>
      <x:c r="F23" s="361"/>
      <x:c r="G23" s="361"/>
    </x:row>
    <x:row r="24">
      <x:c r="A24" s="361"/>
      <x:c r="B24" s="361"/>
      <x:c r="C24" s="361"/>
      <x:c r="D24" s="361"/>
      <x:c r="E24" s="361"/>
      <x:c r="F24" s="361"/>
      <x:c r="G24" s="361"/>
    </x:row>
    <x:row r="25">
      <x:c r="A25" s="361"/>
      <x:c r="B25" s="361"/>
      <x:c r="C25" s="361"/>
      <x:c r="D25" s="361"/>
      <x:c r="E25" s="361"/>
      <x:c r="F25" s="361"/>
      <x:c r="G25" s="361"/>
    </x:row>
    <x:row r="26">
      <x:c r="A26" s="361"/>
      <x:c r="B26" s="361"/>
      <x:c r="C26" s="361"/>
      <x:c r="D26" s="361"/>
      <x:c r="E26" s="361"/>
      <x:c r="F26" s="361"/>
      <x:c r="G26" s="361"/>
    </x:row>
    <x:row r="27">
      <x:c r="A27" s="361"/>
      <x:c r="B27" s="361"/>
      <x:c r="C27" s="361"/>
      <x:c r="D27" s="361"/>
      <x:c r="E27" s="361"/>
      <x:c r="F27" s="361"/>
      <x:c r="G27" s="361"/>
    </x:row>
    <x:row r="28">
      <x:c r="A28" s="361"/>
      <x:c r="B28" s="361"/>
      <x:c r="C28" s="361"/>
      <x:c r="D28" s="361"/>
      <x:c r="E28" s="361"/>
      <x:c r="F28" s="361"/>
      <x:c r="G28" s="361"/>
    </x:row>
    <x:row r="29">
      <x:c r="A29" s="361"/>
      <x:c r="B29" s="361"/>
      <x:c r="C29" s="361"/>
      <x:c r="D29" s="361"/>
      <x:c r="E29" s="361"/>
      <x:c r="F29" s="361"/>
      <x:c r="G29" s="361"/>
    </x:row>
    <x:row r="30">
      <x:c r="A30" s="361"/>
      <x:c r="B30" s="361"/>
      <x:c r="C30" s="361"/>
      <x:c r="D30" s="361"/>
      <x:c r="E30" s="361"/>
      <x:c r="F30" s="361"/>
      <x:c r="G30" s="361"/>
    </x:row>
    <x:row r="31">
      <x:c r="A31" s="361"/>
      <x:c r="B31" s="361"/>
      <x:c r="C31" s="361"/>
      <x:c r="D31" s="361"/>
      <x:c r="E31" s="361"/>
      <x:c r="F31" s="361"/>
      <x:c r="G31" s="361"/>
    </x:row>
    <x:row r="32">
      <x:c r="A32" s="361"/>
      <x:c r="B32" s="361"/>
      <x:c r="C32" s="361"/>
      <x:c r="D32" s="361"/>
      <x:c r="E32" s="361"/>
      <x:c r="F32" s="361"/>
      <x:c r="G32" s="361"/>
    </x:row>
    <x:row r="33">
      <x:c r="A33" s="361"/>
      <x:c r="B33" s="361"/>
      <x:c r="C33" s="361"/>
      <x:c r="D33" s="361"/>
      <x:c r="E33" s="361"/>
      <x:c r="F33" s="361"/>
      <x:c r="G33" s="361"/>
    </x:row>
    <x:row r="34">
      <x:c r="A34" s="361"/>
      <x:c r="B34" s="361"/>
      <x:c r="C34" s="361"/>
      <x:c r="D34" s="361"/>
      <x:c r="E34" s="361"/>
      <x:c r="F34" s="361"/>
      <x:c r="G34" s="361"/>
    </x:row>
    <x:row r="35">
      <x:c r="A35" s="361"/>
      <x:c r="B35" s="361"/>
      <x:c r="C35" s="361"/>
      <x:c r="D35" s="361"/>
      <x:c r="E35" s="361"/>
      <x:c r="F35" s="361"/>
      <x:c r="G35" s="361"/>
    </x:row>
    <x:row r="36">
      <x:c r="A36" s="361"/>
      <x:c r="B36" s="361"/>
      <x:c r="C36" s="361"/>
      <x:c r="D36" s="361"/>
      <x:c r="E36" s="361"/>
      <x:c r="F36" s="361"/>
      <x:c r="G36" s="361"/>
    </x:row>
    <x:row r="37">
      <x:c r="A37" s="361"/>
      <x:c r="B37" s="361"/>
      <x:c r="C37" s="361"/>
      <x:c r="D37" s="361"/>
      <x:c r="E37" s="361"/>
      <x:c r="F37" s="361"/>
      <x:c r="G37" s="361"/>
    </x:row>
    <x:row r="38">
      <x:c r="A38" s="361"/>
      <x:c r="B38" s="361"/>
      <x:c r="C38" s="361"/>
      <x:c r="D38" s="361"/>
      <x:c r="E38" s="361"/>
      <x:c r="F38" s="361"/>
      <x:c r="G38" s="361"/>
    </x:row>
    <x:row r="39">
      <x:c r="A39" s="361"/>
      <x:c r="B39" s="361"/>
      <x:c r="C39" s="361"/>
      <x:c r="D39" s="361"/>
      <x:c r="E39" s="361"/>
      <x:c r="F39" s="361"/>
      <x:c r="G39" s="361"/>
    </x:row>
    <x:row r="40">
      <x:c r="A40" s="361"/>
      <x:c r="B40" s="361"/>
      <x:c r="C40" s="361"/>
      <x:c r="D40" s="361"/>
      <x:c r="E40" s="361"/>
      <x:c r="F40" s="361"/>
      <x:c r="G40" s="361"/>
    </x:row>
    <x:row r="41">
      <x:c r="A41" s="361"/>
      <x:c r="B41" s="361"/>
      <x:c r="C41" s="361"/>
      <x:c r="D41" s="361"/>
      <x:c r="E41" s="361"/>
      <x:c r="F41" s="361"/>
      <x:c r="G41" s="361"/>
    </x:row>
    <x:row r="42">
      <x:c r="A42" s="361"/>
      <x:c r="B42" s="361"/>
      <x:c r="C42" s="361"/>
      <x:c r="D42" s="361"/>
      <x:c r="E42" s="361"/>
      <x:c r="F42" s="361"/>
      <x:c r="G42" s="361"/>
    </x:row>
    <x:row r="43">
      <x:c r="A43" s="361"/>
      <x:c r="B43" s="361"/>
      <x:c r="C43" s="361"/>
      <x:c r="D43" s="361"/>
      <x:c r="E43" s="361"/>
      <x:c r="F43" s="361"/>
      <x:c r="G43" s="361"/>
    </x:row>
    <x:row r="44">
      <x:c r="A44" s="361"/>
      <x:c r="B44" s="361"/>
      <x:c r="C44" s="361"/>
      <x:c r="D44" s="361"/>
      <x:c r="E44" s="361"/>
      <x:c r="F44" s="361"/>
      <x:c r="G44" s="361"/>
    </x:row>
    <x:row r="45">
      <x:c r="A45" s="361"/>
      <x:c r="B45" s="361"/>
      <x:c r="C45" s="361"/>
      <x:c r="D45" s="361"/>
      <x:c r="E45" s="361"/>
      <x:c r="F45" s="361"/>
      <x:c r="G45" s="361"/>
    </x:row>
    <x:row r="46">
      <x:c r="A46" s="361"/>
      <x:c r="B46" s="361"/>
      <x:c r="C46" s="361"/>
      <x:c r="D46" s="361"/>
      <x:c r="E46" s="361"/>
      <x:c r="F46" s="361"/>
      <x:c r="G46" s="361"/>
    </x:row>
    <x:row r="47">
      <x:c r="A47" s="361"/>
      <x:c r="B47" s="361"/>
      <x:c r="C47" s="361"/>
      <x:c r="D47" s="361"/>
      <x:c r="E47" s="361"/>
      <x:c r="F47" s="361"/>
      <x:c r="G47" s="361"/>
    </x:row>
    <x:row r="48">
      <x:c r="A48" s="361"/>
      <x:c r="B48" s="361"/>
      <x:c r="C48" s="361"/>
      <x:c r="D48" s="361"/>
      <x:c r="E48" s="361"/>
      <x:c r="F48" s="361"/>
      <x:c r="G48" s="361"/>
    </x:row>
    <x:row r="49">
      <x:c r="A49" s="361"/>
      <x:c r="B49" s="361"/>
      <x:c r="C49" s="361"/>
      <x:c r="D49" s="361"/>
      <x:c r="E49" s="361"/>
      <x:c r="F49" s="361"/>
      <x:c r="G49" s="361"/>
    </x:row>
    <x:row r="50">
      <x:c r="A50" s="361"/>
      <x:c r="B50" s="361"/>
      <x:c r="C50" s="361"/>
      <x:c r="D50" s="361"/>
      <x:c r="E50" s="361"/>
      <x:c r="F50" s="361"/>
      <x:c r="G50" s="361"/>
    </x:row>
    <x:row r="51">
      <x:c r="A51" s="361"/>
      <x:c r="B51" s="361"/>
      <x:c r="C51" s="361"/>
      <x:c r="D51" s="361"/>
      <x:c r="E51" s="361"/>
      <x:c r="F51" s="361"/>
      <x:c r="G51" s="361"/>
    </x:row>
    <x:row r="52">
      <x:c r="A52" s="361"/>
      <x:c r="B52" s="361"/>
      <x:c r="C52" s="361"/>
      <x:c r="D52" s="361"/>
      <x:c r="E52" s="361"/>
      <x:c r="F52" s="361"/>
      <x:c r="G52" s="361"/>
    </x:row>
    <x:row r="53">
      <x:c r="A53" s="361"/>
      <x:c r="B53" s="361"/>
      <x:c r="C53" s="361"/>
      <x:c r="D53" s="361"/>
      <x:c r="E53" s="361"/>
      <x:c r="F53" s="361"/>
      <x:c r="G53" s="361"/>
    </x:row>
    <x:row r="54">
      <x:c r="A54" s="361"/>
      <x:c r="B54" s="361"/>
      <x:c r="C54" s="361"/>
      <x:c r="D54" s="361"/>
      <x:c r="E54" s="361"/>
      <x:c r="F54" s="361"/>
      <x:c r="G54" s="361"/>
    </x:row>
    <x:row r="55">
      <x:c r="A55" s="361"/>
      <x:c r="B55" s="361"/>
      <x:c r="C55" s="361"/>
      <x:c r="D55" s="361"/>
      <x:c r="E55" s="361"/>
      <x:c r="F55" s="361"/>
      <x:c r="G55" s="361"/>
    </x:row>
    <x:row r="56">
      <x:c r="A56" s="361"/>
      <x:c r="B56" s="361"/>
      <x:c r="C56" s="361"/>
      <x:c r="D56" s="361"/>
      <x:c r="E56" s="361"/>
      <x:c r="F56" s="361"/>
      <x:c r="G56" s="361"/>
    </x:row>
    <x:row r="57">
      <x:c r="A57" s="361"/>
      <x:c r="B57" s="361"/>
      <x:c r="C57" s="361"/>
      <x:c r="D57" s="361"/>
      <x:c r="E57" s="361"/>
      <x:c r="F57" s="361"/>
      <x:c r="G57" s="361"/>
    </x:row>
    <x:row r="58">
      <x:c r="A58" s="361"/>
      <x:c r="B58" s="361"/>
      <x:c r="C58" s="361"/>
      <x:c r="D58" s="361"/>
      <x:c r="E58" s="361"/>
      <x:c r="F58" s="361"/>
      <x:c r="G58" s="361"/>
    </x:row>
    <x:row r="59">
      <x:c r="A59" s="361"/>
      <x:c r="B59" s="361"/>
      <x:c r="C59" s="361"/>
      <x:c r="D59" s="361"/>
      <x:c r="E59" s="361"/>
      <x:c r="F59" s="361"/>
      <x:c r="G59" s="361"/>
    </x:row>
    <x:row r="60">
      <x:c r="A60" s="361"/>
      <x:c r="B60" s="361"/>
      <x:c r="C60" s="361"/>
      <x:c r="D60" s="361"/>
      <x:c r="E60" s="361"/>
      <x:c r="F60" s="361"/>
      <x:c r="G60" s="361"/>
    </x:row>
    <x:row r="61">
      <x:c r="A61" s="361"/>
      <x:c r="B61" s="361"/>
      <x:c r="C61" s="361"/>
      <x:c r="D61" s="361"/>
      <x:c r="E61" s="361"/>
      <x:c r="F61" s="361"/>
      <x:c r="G61" s="361"/>
    </x:row>
    <x:row r="62">
      <x:c r="A62" s="361"/>
      <x:c r="B62" s="361"/>
      <x:c r="C62" s="361"/>
      <x:c r="D62" s="361"/>
      <x:c r="E62" s="361"/>
      <x:c r="F62" s="361"/>
      <x:c r="G62" s="361"/>
    </x:row>
    <x:row r="63">
      <x:c r="A63" s="361"/>
      <x:c r="B63" s="361"/>
      <x:c r="C63" s="361"/>
      <x:c r="D63" s="361"/>
      <x:c r="E63" s="361"/>
      <x:c r="F63" s="361"/>
      <x:c r="G63" s="361"/>
    </x:row>
    <x:row r="64">
      <x:c r="A64" s="361"/>
      <x:c r="B64" s="361"/>
      <x:c r="C64" s="361"/>
      <x:c r="D64" s="361"/>
      <x:c r="E64" s="361"/>
      <x:c r="F64" s="361"/>
      <x:c r="G64" s="361"/>
    </x:row>
    <x:row r="65">
      <x:c r="A65" s="361"/>
      <x:c r="B65" s="361"/>
      <x:c r="C65" s="361"/>
      <x:c r="D65" s="361"/>
      <x:c r="E65" s="361"/>
      <x:c r="F65" s="361"/>
      <x:c r="G65" s="361"/>
    </x:row>
    <x:row r="66">
      <x:c r="A66" s="361"/>
      <x:c r="B66" s="361"/>
      <x:c r="C66" s="361"/>
      <x:c r="D66" s="361"/>
      <x:c r="E66" s="361"/>
      <x:c r="F66" s="361"/>
      <x:c r="G66" s="361"/>
    </x:row>
    <x:row r="67">
      <x:c r="A67" s="361"/>
      <x:c r="B67" s="361"/>
      <x:c r="C67" s="361"/>
      <x:c r="D67" s="361"/>
      <x:c r="E67" s="361"/>
      <x:c r="F67" s="361"/>
      <x:c r="G67" s="361"/>
    </x:row>
    <x:row r="68">
      <x:c r="A68" s="361"/>
      <x:c r="B68" s="361"/>
      <x:c r="C68" s="361"/>
      <x:c r="D68" s="361"/>
      <x:c r="E68" s="361"/>
      <x:c r="F68" s="361"/>
      <x:c r="G68" s="361"/>
    </x:row>
    <x:row r="69">
      <x:c r="A69" s="361"/>
      <x:c r="B69" s="361"/>
      <x:c r="C69" s="361"/>
      <x:c r="D69" s="361"/>
      <x:c r="E69" s="361"/>
      <x:c r="F69" s="361"/>
      <x:c r="G69" s="361"/>
    </x:row>
    <x:row r="70">
      <x:c r="A70" s="361"/>
      <x:c r="B70" s="361"/>
      <x:c r="C70" s="361"/>
      <x:c r="D70" s="361"/>
      <x:c r="E70" s="361"/>
      <x:c r="F70" s="361"/>
      <x:c r="G70" s="361"/>
    </x:row>
    <x:row r="71">
      <x:c r="A71" s="361"/>
      <x:c r="B71" s="361"/>
      <x:c r="C71" s="361"/>
      <x:c r="D71" s="361"/>
      <x:c r="E71" s="361"/>
      <x:c r="F71" s="361"/>
      <x:c r="G71" s="361"/>
    </x:row>
    <x:row r="72">
      <x:c r="A72" s="361"/>
      <x:c r="B72" s="361"/>
      <x:c r="C72" s="361"/>
      <x:c r="D72" s="361"/>
      <x:c r="E72" s="361"/>
      <x:c r="F72" s="361"/>
      <x:c r="G72" s="361"/>
    </x:row>
    <x:row r="73">
      <x:c r="A73" s="361"/>
      <x:c r="B73" s="361"/>
      <x:c r="C73" s="361"/>
      <x:c r="D73" s="361"/>
      <x:c r="E73" s="361"/>
      <x:c r="F73" s="361"/>
      <x:c r="G73" s="361"/>
    </x:row>
    <x:row r="74">
      <x:c r="A74" s="361"/>
      <x:c r="B74" s="361"/>
      <x:c r="C74" s="361"/>
      <x:c r="D74" s="361"/>
      <x:c r="E74" s="361"/>
      <x:c r="F74" s="361"/>
      <x:c r="G74" s="361"/>
    </x:row>
    <x:row r="75">
      <x:c r="A75" s="361"/>
      <x:c r="B75" s="361"/>
      <x:c r="C75" s="361"/>
      <x:c r="D75" s="361"/>
      <x:c r="E75" s="361"/>
      <x:c r="F75" s="361"/>
      <x:c r="G75" s="361"/>
    </x:row>
    <x:row r="76">
      <x:c r="A76" s="361"/>
      <x:c r="B76" s="361"/>
      <x:c r="C76" s="361"/>
      <x:c r="D76" s="361"/>
      <x:c r="E76" s="361"/>
      <x:c r="F76" s="361"/>
      <x:c r="G76" s="361"/>
    </x:row>
    <x:row r="77">
      <x:c r="A77" s="361"/>
      <x:c r="B77" s="361"/>
      <x:c r="C77" s="361"/>
      <x:c r="D77" s="361"/>
      <x:c r="E77" s="361"/>
      <x:c r="F77" s="361"/>
      <x:c r="G77" s="361"/>
    </x:row>
    <x:row r="78">
      <x:c r="A78" s="361"/>
      <x:c r="B78" s="361"/>
      <x:c r="C78" s="361"/>
      <x:c r="D78" s="361"/>
      <x:c r="E78" s="361"/>
      <x:c r="F78" s="361"/>
      <x:c r="G78" s="361"/>
    </x:row>
    <x:row r="79">
      <x:c r="A79" s="361"/>
      <x:c r="B79" s="361"/>
      <x:c r="C79" s="361"/>
      <x:c r="D79" s="361"/>
      <x:c r="E79" s="361"/>
      <x:c r="F79" s="361"/>
      <x:c r="G79" s="361"/>
    </x:row>
    <x:row r="80">
      <x:c r="A80" s="361"/>
      <x:c r="B80" s="361"/>
      <x:c r="C80" s="361"/>
      <x:c r="D80" s="361"/>
      <x:c r="E80" s="361"/>
      <x:c r="F80" s="361"/>
      <x:c r="G80" s="361"/>
    </x:row>
    <x:row r="81">
      <x:c r="A81" s="361"/>
      <x:c r="B81" s="361"/>
      <x:c r="C81" s="361"/>
      <x:c r="D81" s="361"/>
      <x:c r="E81" s="361"/>
      <x:c r="F81" s="361"/>
      <x:c r="G81" s="361"/>
    </x:row>
    <x:row r="82">
      <x:c r="A82" s="361"/>
      <x:c r="B82" s="361"/>
      <x:c r="C82" s="361"/>
      <x:c r="D82" s="361"/>
      <x:c r="E82" s="361"/>
      <x:c r="F82" s="361"/>
      <x:c r="G82" s="361"/>
    </x:row>
    <x:row r="83">
      <x:c r="A83" s="361"/>
      <x:c r="B83" s="361"/>
      <x:c r="C83" s="361"/>
      <x:c r="D83" s="361"/>
      <x:c r="E83" s="361"/>
      <x:c r="F83" s="361"/>
      <x:c r="G83" s="361"/>
    </x:row>
    <x:row r="84">
      <x:c r="A84" s="361"/>
      <x:c r="B84" s="361"/>
      <x:c r="C84" s="361"/>
      <x:c r="D84" s="361"/>
      <x:c r="E84" s="361"/>
      <x:c r="F84" s="361"/>
      <x:c r="G84" s="361"/>
    </x:row>
    <x:row r="85">
      <x:c r="A85" s="361"/>
      <x:c r="B85" s="361"/>
      <x:c r="C85" s="361"/>
      <x:c r="D85" s="361"/>
      <x:c r="E85" s="361"/>
      <x:c r="F85" s="361"/>
      <x:c r="G85" s="361"/>
    </x:row>
    <x:row r="86">
      <x:c r="A86" s="361"/>
      <x:c r="B86" s="361"/>
      <x:c r="C86" s="361"/>
      <x:c r="D86" s="361"/>
      <x:c r="E86" s="361"/>
      <x:c r="F86" s="361"/>
      <x:c r="G86" s="361"/>
    </x:row>
    <x:row r="87">
      <x:c r="A87" s="361"/>
      <x:c r="B87" s="361"/>
      <x:c r="C87" s="361"/>
      <x:c r="D87" s="361"/>
      <x:c r="E87" s="361"/>
      <x:c r="F87" s="361"/>
      <x:c r="G87" s="361"/>
    </x:row>
    <x:row r="88">
      <x:c r="A88" s="361"/>
      <x:c r="B88" s="361"/>
      <x:c r="C88" s="361"/>
      <x:c r="D88" s="361"/>
      <x:c r="E88" s="361"/>
      <x:c r="F88" s="361"/>
      <x:c r="G88" s="361"/>
    </x:row>
    <x:row r="89">
      <x:c r="A89" s="361"/>
      <x:c r="B89" s="361"/>
      <x:c r="C89" s="361"/>
      <x:c r="D89" s="361"/>
      <x:c r="E89" s="361"/>
      <x:c r="F89" s="361"/>
      <x:c r="G89" s="361"/>
    </x:row>
    <x:row r="90">
      <x:c r="A90" s="361"/>
      <x:c r="B90" s="361"/>
      <x:c r="C90" s="361"/>
      <x:c r="D90" s="361"/>
      <x:c r="E90" s="361"/>
      <x:c r="F90" s="361"/>
      <x:c r="G90" s="361"/>
    </x:row>
    <x:row r="91">
      <x:c r="A91" s="361"/>
      <x:c r="B91" s="361"/>
      <x:c r="C91" s="361"/>
      <x:c r="D91" s="361"/>
      <x:c r="E91" s="361"/>
      <x:c r="F91" s="361"/>
      <x:c r="G91" s="361"/>
    </x:row>
    <x:row r="92">
      <x:c r="A92" s="361"/>
      <x:c r="B92" s="361"/>
      <x:c r="C92" s="361"/>
      <x:c r="D92" s="361"/>
      <x:c r="E92" s="361"/>
      <x:c r="F92" s="361"/>
      <x:c r="G92" s="361"/>
    </x:row>
    <x:row r="93">
      <x:c r="A93" s="361"/>
      <x:c r="B93" s="361"/>
      <x:c r="C93" s="361"/>
      <x:c r="D93" s="361"/>
      <x:c r="E93" s="361"/>
      <x:c r="F93" s="361"/>
      <x:c r="G93" s="361"/>
    </x:row>
    <x:row r="94">
      <x:c r="A94" s="361"/>
      <x:c r="B94" s="361"/>
      <x:c r="C94" s="361"/>
      <x:c r="D94" s="361"/>
      <x:c r="E94" s="361"/>
      <x:c r="F94" s="361"/>
      <x:c r="G94" s="361"/>
    </x:row>
    <x:row r="95">
      <x:c r="A95" s="361"/>
      <x:c r="B95" s="361"/>
      <x:c r="C95" s="361"/>
      <x:c r="D95" s="361"/>
      <x:c r="E95" s="361"/>
      <x:c r="F95" s="361"/>
      <x:c r="G95" s="361"/>
    </x:row>
    <x:row r="96">
      <x:c r="A96" s="361"/>
      <x:c r="B96" s="361"/>
      <x:c r="C96" s="361"/>
      <x:c r="D96" s="361"/>
      <x:c r="E96" s="361"/>
      <x:c r="F96" s="361"/>
      <x:c r="G96" s="361"/>
    </x:row>
    <x:row r="97">
      <x:c r="A97" s="361"/>
      <x:c r="B97" s="361"/>
      <x:c r="C97" s="361"/>
      <x:c r="D97" s="361"/>
      <x:c r="E97" s="361"/>
      <x:c r="F97" s="361"/>
      <x:c r="G97" s="361"/>
    </x:row>
    <x:row r="98">
      <x:c r="A98" s="361"/>
      <x:c r="B98" s="361"/>
      <x:c r="C98" s="361"/>
      <x:c r="D98" s="361"/>
      <x:c r="E98" s="361"/>
      <x:c r="F98" s="361"/>
      <x:c r="G98" s="361"/>
    </x:row>
    <x:row r="99">
      <x:c r="A99" s="361"/>
      <x:c r="B99" s="361"/>
      <x:c r="C99" s="361"/>
      <x:c r="D99" s="361"/>
      <x:c r="E99" s="361"/>
      <x:c r="F99" s="361"/>
      <x:c r="G99" s="361"/>
    </x:row>
    <x:row r="100">
      <x:c r="A100" s="361"/>
      <x:c r="B100" s="361"/>
      <x:c r="C100" s="361"/>
      <x:c r="D100" s="361"/>
      <x:c r="E100" s="361"/>
      <x:c r="F100" s="361"/>
      <x:c r="G100" s="361"/>
    </x:row>
  </x:sheetData>
  <x:pageMargins left="0.7" right="0.7" top="0.75" bottom="0.75" header="0.3" footer="0.3"/>
</x:worksheet>
</file>

<file path=xl/worksheets/sheet54.xml><?xml version="1.0" encoding="utf-8"?>
<x:worksheet xmlns:x="http://schemas.openxmlformats.org/spreadsheetml/2006/main">
  <x:sheetFormatPr defaultRowHeight="15"/>
  <x:cols>
    <x:col min="1" max="1" width="30" hidden="0" customWidth="1"/>
    <x:col min="2" max="2" width="28" hidden="0" customWidth="1"/>
    <x:col min="3" max="3" width="24" hidden="0" customWidth="1"/>
    <x:col min="4" max="4" width="14" hidden="0" customWidth="1"/>
    <x:col min="5" max="5" width="38" hidden="0" customWidth="1"/>
    <x:col min="6" max="6" width="48" hidden="0" customWidth="1"/>
  </x:cols>
  <x:sheetData>
    <x:row r="1">
      <x:c r="A1" s="541" t="str">
        <x:v>OCI SCCA CD3 Governance Validation</x:v>
      </x:c>
      <x:c r="B1" s="541"/>
      <x:c r="C1" s="541"/>
      <x:c r="D1" s="541"/>
      <x:c r="E1" s="541"/>
      <x:c r="F1" s="541"/>
    </x:row>
    <x:row r="2">
      <x:c r="A2" s="361"/>
      <x:c r="B2" s="361"/>
      <x:c r="C2" s="361"/>
      <x:c r="D2" s="361"/>
      <x:c r="E2" s="361"/>
      <x:c r="F2" s="361"/>
    </x:row>
    <x:row r="3">
      <x:c r="A3" s="546" t="str">
        <x:v>Check</x:v>
      </x:c>
      <x:c r="B3" s="546" t="str">
        <x:v>Formula / Value</x:v>
      </x:c>
      <x:c r="C3" s="546" t="str">
        <x:v>Expected</x:v>
      </x:c>
      <x:c r="D3" s="546" t="str">
        <x:v>Status</x:v>
      </x:c>
      <x:c r="E3" s="546" t="str">
        <x:v>Required Action</x:v>
      </x:c>
      <x:c r="F3" s="546" t="str">
        <x:v>Notes</x:v>
      </x:c>
    </x:row>
    <x:row r="4">
      <x:c r="A4" s="361" t="str">
        <x:v>Active compartment rows</x:v>
      </x:c>
      <x:c r="B4" s="361" t="n">
        <x:f>MATCH("&lt;END&gt;",Compartments!A3:A200,0)-1</x:f>
        <x:v>22</x:v>
      </x:c>
      <x:c r="C4" s="361" t="n">
        <x:v>22</x:v>
      </x:c>
      <x:c r="D4" s="361" t="str">
        <x:f>IF(B4=C4,"PASS","FAIL")</x:f>
        <x:v>PASS</x:v>
      </x:c>
      <x:c r="E4" s="361" t="str">
        <x:v>Resolve count mismatch</x:v>
      </x:c>
      <x:c r="F4" s="361" t="str">
        <x:v>Names are simple; parent column carries path</x:v>
      </x:c>
    </x:row>
    <x:row r="5">
      <x:c r="A5" s="361" t="str">
        <x:v>Active group rows</x:v>
      </x:c>
      <x:c r="B5" s="361" t="n">
        <x:f>MATCH("&lt;END&gt;",Groups!A3:A200,0)-1</x:f>
        <x:v>21</x:v>
      </x:c>
      <x:c r="C5" s="361" t="n">
        <x:v>21</x:v>
      </x:c>
      <x:c r="D5" s="361" t="str">
        <x:f>IF(B5=C5,"PASS","FAIL")</x:f>
        <x:v>PASS</x:v>
      </x:c>
      <x:c r="E5" s="361" t="str">
        <x:v>Resolve count mismatch</x:v>
      </x:c>
      <x:c r="F5" s="361" t="str">
        <x:v>Default domain: Domain Name is blank</x:v>
      </x:c>
    </x:row>
    <x:row r="6">
      <x:c r="A6" s="361" t="str">
        <x:v>Policy definitions</x:v>
      </x:c>
      <x:c r="B6" s="361" t="n">
        <x:f>COUNTA(Policies!B3:B400)</x:f>
        <x:v>22</x:v>
      </x:c>
      <x:c r="C6" s="361" t="n">
        <x:v>22</x:v>
      </x:c>
      <x:c r="D6" s="361" t="str">
        <x:f>IF(B6=C6,"PASS","FAIL")</x:f>
        <x:v>PASS</x:v>
      </x:c>
      <x:c r="E6" s="361" t="str">
        <x:v>Resolve policy block mismatch</x:v>
      </x:c>
      <x:c r="F6" s="361" t="str">
        <x:v>One statement per row</x:v>
      </x:c>
    </x:row>
    <x:row r="7">
      <x:c r="A7" s="361" t="str">
        <x:v>Policy statements</x:v>
      </x:c>
      <x:c r="B7" s="361" t="n">
        <x:f>COUNTA(Policies!E3:E400)</x:f>
        <x:v>150</x:v>
      </x:c>
      <x:c r="C7" s="361" t="n">
        <x:v>150</x:v>
      </x:c>
      <x:c r="D7" s="361" t="str">
        <x:f>IF(B7=C7,"PASS","FAIL")</x:f>
        <x:v>PASS</x:v>
      </x:c>
      <x:c r="E7" s="361" t="str">
        <x:v>Resolve missing statements</x:v>
      </x:c>
      <x:c r="F7" s="361" t="str">
        <x:v>All active statements are before END</x:v>
      </x:c>
    </x:row>
    <x:row r="8">
      <x:c r="A8" s="361" t="str">
        <x:v>Unresolved ORM OCID</x:v>
      </x:c>
      <x:c r="B8" s="361" t="n">
        <x:v>1</x:v>
      </x:c>
      <x:c r="C8" s="361" t="n">
        <x:v>0</x:v>
      </x:c>
      <x:c r="D8" s="361" t="str">
        <x:v>BLOCKED</x:v>
      </x:c>
      <x:c r="E8" s="361" t="str">
        <x:v>Replace the ORM compartment OCID</x:v>
      </x:c>
      <x:c r="F8" s="361" t="str">
        <x:v>Required before creating the dynamic group</x:v>
      </x:c>
    </x:row>
    <x:row r="9">
      <x:c r="A9" s="361" t="str">
        <x:v>Unresolved budget emails</x:v>
      </x:c>
      <x:c r="B9" s="361" t="n">
        <x:v>6</x:v>
      </x:c>
      <x:c r="C9" s="361" t="n">
        <x:v>0</x:v>
      </x:c>
      <x:c r="D9" s="361" t="str">
        <x:v>BLOCKED</x:v>
      </x:c>
      <x:c r="E9" s="361" t="str">
        <x:v>Replace FinOps/SOC email placeholders</x:v>
      </x:c>
      <x:c r="F9" s="361" t="str">
        <x:v>Required before budget creation</x:v>
      </x:c>
    </x:row>
    <x:row r="10">
      <x:c r="A10" s="361" t="str">
        <x:v>Compartments END position</x:v>
      </x:c>
      <x:c r="B10" s="361" t="n">
        <x:f>MATCH("&lt;END&gt;",Compartments!A3:A200,0)</x:f>
        <x:v>23</x:v>
      </x:c>
      <x:c r="C10" s="361" t="n">
        <x:v>23</x:v>
      </x:c>
      <x:c r="D10" s="361" t="str">
        <x:f>IF(B10=C10,"PASS","FAIL")</x:f>
        <x:v>PASS</x:v>
      </x:c>
      <x:c r="E10" s="361" t="str">
        <x:v>Keep END immediately after the final active row</x:v>
      </x:c>
      <x:c r="F10" s="361" t="str">
        <x:v>Rows below END are ignored</x:v>
      </x:c>
    </x:row>
    <x:row r="11">
      <x:c r="A11" s="361" t="str">
        <x:v>Groups END position</x:v>
      </x:c>
      <x:c r="B11" s="361" t="n">
        <x:f>MATCH("&lt;END&gt;",Groups!A3:A200,0)</x:f>
        <x:v>22</x:v>
      </x:c>
      <x:c r="C11" s="361" t="n">
        <x:v>22</x:v>
      </x:c>
      <x:c r="D11" s="361" t="str">
        <x:f>IF(B11=C11,"PASS","FAIL")</x:f>
        <x:v>PASS</x:v>
      </x:c>
      <x:c r="E11" s="361" t="str">
        <x:v>Keep END immediately after the final active row</x:v>
      </x:c>
      <x:c r="F11" s="361" t="str">
        <x:v>Rows below END are ignored</x:v>
      </x:c>
    </x:row>
    <x:row r="12">
      <x:c r="A12" s="361" t="str">
        <x:v>Policies END position</x:v>
      </x:c>
      <x:c r="B12" s="361" t="n">
        <x:f>MATCH("&lt;END&gt;",Policies!A3:A400,0)</x:f>
        <x:v>151</x:v>
      </x:c>
      <x:c r="C12" s="361" t="n">
        <x:v>151</x:v>
      </x:c>
      <x:c r="D12" s="361" t="str">
        <x:f>IF(B12=C12,"PASS","FAIL")</x:f>
        <x:v>PASS</x:v>
      </x:c>
      <x:c r="E12" s="361" t="str">
        <x:v>Keep END immediately after the final active row</x:v>
      </x:c>
      <x:c r="F12" s="361" t="str">
        <x:v>Rows below END are ignored</x:v>
      </x:c>
    </x:row>
    <x:row r="13">
      <x:c r="A13" s="361" t="str">
        <x:v>Automatic tag sequencing</x:v>
      </x:c>
      <x:c r="B13" s="361" t="str">
        <x:v>Manual gate</x:v>
      </x:c>
      <x:c r="C13" s="361" t="str">
        <x:v>Tag defaults deployed first</x:v>
      </x:c>
      <x:c r="D13" s="361" t="str">
        <x:v>REVIEW</x:v>
      </x:c>
      <x:c r="E13" s="361" t="str">
        <x:v>Run Tags first, then compartments/resources</x:v>
      </x:c>
      <x:c r="F13" s="361" t="str">
        <x:v>Initial compartments cannot inherit defaults created later in the same sequence</x:v>
      </x:c>
    </x:row>
    <x:row r="14">
      <x:c r="A14" s="361" t="str">
        <x:v>Cross-tenancy Auditor policy</x:v>
      </x:c>
      <x:c r="B14" s="361" t="str">
        <x:v>Manual gate</x:v>
      </x:c>
      <x:c r="C14" s="361" t="str">
        <x:v>Auditor tenancy OCIDs supplied</x:v>
      </x:c>
      <x:c r="D14" s="361" t="str">
        <x:v>REVIEW</x:v>
      </x:c>
      <x:c r="E14" s="361" t="str">
        <x:v>Add endorse/admit policies after Auditor tenancy exists</x:v>
      </x:c>
      <x:c r="F14" s="361" t="str">
        <x:v>Cannot create a new OCI tenancy from the Compartments tab</x:v>
      </x:c>
    </x:row>
    <x:row r="15">
      <x:c r="A15" s="361" t="str">
        <x:v>Quota validation</x:v>
      </x:c>
      <x:c r="B15" s="361" t="str">
        <x:v>Manual gate</x:v>
      </x:c>
      <x:c r="C15" s="361" t="str">
        <x:v>OCI quota parser accepts statement</x:v>
      </x:c>
      <x:c r="D15" s="361" t="str">
        <x:v>REVIEW</x:v>
      </x:c>
      <x:c r="E15" s="361" t="str">
        <x:v>Run CD3/Terraform plan before apply</x:v>
      </x:c>
      <x:c r="F15" s="361" t="str">
        <x:v>Reserved public IP quota is valid; ephemeral public IP prevention also requires private-subnet and network policy controls</x:v>
      </x:c>
    </x:row>
    <x:row r="16">
      <x:c r="A16" s="361"/>
      <x:c r="B16" s="361"/>
      <x:c r="C16" s="361"/>
      <x:c r="D16" s="361"/>
      <x:c r="E16" s="361"/>
      <x:c r="F16" s="361"/>
    </x:row>
    <x:row r="17">
      <x:c r="A17" s="361"/>
      <x:c r="B17" s="361"/>
      <x:c r="C17" s="361"/>
      <x:c r="D17" s="361"/>
      <x:c r="E17" s="361"/>
      <x:c r="F17" s="361"/>
    </x:row>
    <x:row r="18">
      <x:c r="A18" s="361"/>
      <x:c r="B18" s="361"/>
      <x:c r="C18" s="361"/>
      <x:c r="D18" s="361"/>
      <x:c r="E18" s="361"/>
      <x:c r="F18" s="361"/>
    </x:row>
    <x:row r="19">
      <x:c r="A19" s="361"/>
      <x:c r="B19" s="361"/>
      <x:c r="C19" s="361"/>
      <x:c r="D19" s="361"/>
      <x:c r="E19" s="361"/>
      <x:c r="F19" s="361"/>
    </x:row>
    <x:row r="20">
      <x:c r="A20" s="361"/>
      <x:c r="B20" s="361"/>
      <x:c r="C20" s="361"/>
      <x:c r="D20" s="361"/>
      <x:c r="E20" s="361"/>
      <x:c r="F20" s="361"/>
    </x:row>
    <x:row r="21">
      <x:c r="A21" s="361"/>
      <x:c r="B21" s="361"/>
      <x:c r="C21" s="361"/>
      <x:c r="D21" s="361"/>
      <x:c r="E21" s="361"/>
      <x:c r="F21" s="361"/>
    </x:row>
    <x:row r="22">
      <x:c r="A22" s="361"/>
      <x:c r="B22" s="361"/>
      <x:c r="C22" s="361"/>
      <x:c r="D22" s="361"/>
      <x:c r="E22" s="361"/>
      <x:c r="F22" s="361"/>
    </x:row>
    <x:row r="23">
      <x:c r="A23" s="361"/>
      <x:c r="B23" s="361"/>
      <x:c r="C23" s="361"/>
      <x:c r="D23" s="361"/>
      <x:c r="E23" s="361"/>
      <x:c r="F23" s="361"/>
    </x:row>
    <x:row r="24">
      <x:c r="A24" s="361"/>
      <x:c r="B24" s="361"/>
      <x:c r="C24" s="361"/>
      <x:c r="D24" s="361"/>
      <x:c r="E24" s="361"/>
      <x:c r="F24" s="361"/>
    </x:row>
    <x:row r="25">
      <x:c r="A25" s="361"/>
      <x:c r="B25" s="361"/>
      <x:c r="C25" s="361"/>
      <x:c r="D25" s="361"/>
      <x:c r="E25" s="361"/>
      <x:c r="F25" s="361"/>
    </x:row>
    <x:row r="26">
      <x:c r="A26" s="361"/>
      <x:c r="B26" s="361"/>
      <x:c r="C26" s="361"/>
      <x:c r="D26" s="361"/>
      <x:c r="E26" s="361"/>
      <x:c r="F26" s="361"/>
    </x:row>
    <x:row r="27">
      <x:c r="A27" s="361"/>
      <x:c r="B27" s="361"/>
      <x:c r="C27" s="361"/>
      <x:c r="D27" s="361"/>
      <x:c r="E27" s="361"/>
      <x:c r="F27" s="361"/>
    </x:row>
    <x:row r="28">
      <x:c r="A28" s="361"/>
      <x:c r="B28" s="361"/>
      <x:c r="C28" s="361"/>
      <x:c r="D28" s="361"/>
      <x:c r="E28" s="361"/>
      <x:c r="F28" s="361"/>
    </x:row>
    <x:row r="29">
      <x:c r="A29" s="361"/>
      <x:c r="B29" s="361"/>
      <x:c r="C29" s="361"/>
      <x:c r="D29" s="361"/>
      <x:c r="E29" s="361"/>
      <x:c r="F29" s="361"/>
    </x:row>
    <x:row r="30">
      <x:c r="A30" s="361"/>
      <x:c r="B30" s="361"/>
      <x:c r="C30" s="361"/>
      <x:c r="D30" s="361"/>
      <x:c r="E30" s="361"/>
      <x:c r="F30" s="361"/>
    </x:row>
    <x:row r="31">
      <x:c r="A31" s="361"/>
      <x:c r="B31" s="361"/>
      <x:c r="C31" s="361"/>
      <x:c r="D31" s="361"/>
      <x:c r="E31" s="361"/>
      <x:c r="F31" s="361"/>
    </x:row>
    <x:row r="32">
      <x:c r="A32" s="361"/>
      <x:c r="B32" s="361"/>
      <x:c r="C32" s="361"/>
      <x:c r="D32" s="361"/>
      <x:c r="E32" s="361"/>
      <x:c r="F32" s="361"/>
    </x:row>
    <x:row r="33">
      <x:c r="A33" s="361"/>
      <x:c r="B33" s="361"/>
      <x:c r="C33" s="361"/>
      <x:c r="D33" s="361"/>
      <x:c r="E33" s="361"/>
      <x:c r="F33" s="361"/>
    </x:row>
    <x:row r="34">
      <x:c r="A34" s="361"/>
      <x:c r="B34" s="361"/>
      <x:c r="C34" s="361"/>
      <x:c r="D34" s="361"/>
      <x:c r="E34" s="361"/>
      <x:c r="F34" s="361"/>
    </x:row>
    <x:row r="35">
      <x:c r="A35" s="361"/>
      <x:c r="B35" s="361"/>
      <x:c r="C35" s="361"/>
      <x:c r="D35" s="361"/>
      <x:c r="E35" s="361"/>
      <x:c r="F35" s="361"/>
    </x:row>
    <x:row r="36">
      <x:c r="A36" s="361"/>
      <x:c r="B36" s="361"/>
      <x:c r="C36" s="361"/>
      <x:c r="D36" s="361"/>
      <x:c r="E36" s="361"/>
      <x:c r="F36" s="361"/>
    </x:row>
    <x:row r="37">
      <x:c r="A37" s="361"/>
      <x:c r="B37" s="361"/>
      <x:c r="C37" s="361"/>
      <x:c r="D37" s="361"/>
      <x:c r="E37" s="361"/>
      <x:c r="F37" s="361"/>
    </x:row>
    <x:row r="38">
      <x:c r="A38" s="361"/>
      <x:c r="B38" s="361"/>
      <x:c r="C38" s="361"/>
      <x:c r="D38" s="361"/>
      <x:c r="E38" s="361"/>
      <x:c r="F38" s="361"/>
    </x:row>
    <x:row r="39">
      <x:c r="A39" s="361"/>
      <x:c r="B39" s="361"/>
      <x:c r="C39" s="361"/>
      <x:c r="D39" s="361"/>
      <x:c r="E39" s="361"/>
      <x:c r="F39" s="361"/>
    </x:row>
    <x:row r="40">
      <x:c r="A40" s="361"/>
      <x:c r="B40" s="361"/>
      <x:c r="C40" s="361"/>
      <x:c r="D40" s="361"/>
      <x:c r="E40" s="361"/>
      <x:c r="F40" s="361"/>
    </x:row>
    <x:row r="41">
      <x:c r="A41" s="361"/>
      <x:c r="B41" s="361"/>
      <x:c r="C41" s="361"/>
      <x:c r="D41" s="361"/>
      <x:c r="E41" s="361"/>
      <x:c r="F41" s="361"/>
    </x:row>
    <x:row r="42">
      <x:c r="A42" s="361"/>
      <x:c r="B42" s="361"/>
      <x:c r="C42" s="361"/>
      <x:c r="D42" s="361"/>
      <x:c r="E42" s="361"/>
      <x:c r="F42" s="361"/>
    </x:row>
    <x:row r="43">
      <x:c r="A43" s="361"/>
      <x:c r="B43" s="361"/>
      <x:c r="C43" s="361"/>
      <x:c r="D43" s="361"/>
      <x:c r="E43" s="361"/>
      <x:c r="F43" s="361"/>
    </x:row>
    <x:row r="44">
      <x:c r="A44" s="361"/>
      <x:c r="B44" s="361"/>
      <x:c r="C44" s="361"/>
      <x:c r="D44" s="361"/>
      <x:c r="E44" s="361"/>
      <x:c r="F44" s="361"/>
    </x:row>
    <x:row r="45">
      <x:c r="A45" s="361"/>
      <x:c r="B45" s="361"/>
      <x:c r="C45" s="361"/>
      <x:c r="D45" s="361"/>
      <x:c r="E45" s="361"/>
      <x:c r="F45" s="361"/>
    </x:row>
    <x:row r="46">
      <x:c r="A46" s="361"/>
      <x:c r="B46" s="361"/>
      <x:c r="C46" s="361"/>
      <x:c r="D46" s="361"/>
      <x:c r="E46" s="361"/>
      <x:c r="F46" s="361"/>
    </x:row>
    <x:row r="47">
      <x:c r="A47" s="361"/>
      <x:c r="B47" s="361"/>
      <x:c r="C47" s="361"/>
      <x:c r="D47" s="361"/>
      <x:c r="E47" s="361"/>
      <x:c r="F47" s="361"/>
    </x:row>
    <x:row r="48">
      <x:c r="A48" s="361"/>
      <x:c r="B48" s="361"/>
      <x:c r="C48" s="361"/>
      <x:c r="D48" s="361"/>
      <x:c r="E48" s="361"/>
      <x:c r="F48" s="361"/>
    </x:row>
    <x:row r="49">
      <x:c r="A49" s="361"/>
      <x:c r="B49" s="361"/>
      <x:c r="C49" s="361"/>
      <x:c r="D49" s="361"/>
      <x:c r="E49" s="361"/>
      <x:c r="F49" s="361"/>
    </x:row>
    <x:row r="50">
      <x:c r="A50" s="361"/>
      <x:c r="B50" s="361"/>
      <x:c r="C50" s="361"/>
      <x:c r="D50" s="361"/>
      <x:c r="E50" s="361"/>
      <x:c r="F50" s="361"/>
    </x:row>
    <x:row r="51">
      <x:c r="A51" s="361"/>
      <x:c r="B51" s="361"/>
      <x:c r="C51" s="361"/>
      <x:c r="D51" s="361"/>
      <x:c r="E51" s="361"/>
      <x:c r="F51" s="361"/>
    </x:row>
    <x:row r="52">
      <x:c r="A52" s="361"/>
      <x:c r="B52" s="361"/>
      <x:c r="C52" s="361"/>
      <x:c r="D52" s="361"/>
      <x:c r="E52" s="361"/>
      <x:c r="F52" s="361"/>
    </x:row>
    <x:row r="53">
      <x:c r="A53" s="361"/>
      <x:c r="B53" s="361"/>
      <x:c r="C53" s="361"/>
      <x:c r="D53" s="361"/>
      <x:c r="E53" s="361"/>
      <x:c r="F53" s="361"/>
    </x:row>
    <x:row r="54">
      <x:c r="A54" s="361"/>
      <x:c r="B54" s="361"/>
      <x:c r="C54" s="361"/>
      <x:c r="D54" s="361"/>
      <x:c r="E54" s="361"/>
      <x:c r="F54" s="361"/>
    </x:row>
    <x:row r="55">
      <x:c r="A55" s="361"/>
      <x:c r="B55" s="361"/>
      <x:c r="C55" s="361"/>
      <x:c r="D55" s="361"/>
      <x:c r="E55" s="361"/>
      <x:c r="F55" s="361"/>
    </x:row>
    <x:row r="56">
      <x:c r="A56" s="361"/>
      <x:c r="B56" s="361"/>
      <x:c r="C56" s="361"/>
      <x:c r="D56" s="361"/>
      <x:c r="E56" s="361"/>
      <x:c r="F56" s="361"/>
    </x:row>
    <x:row r="57">
      <x:c r="A57" s="361"/>
      <x:c r="B57" s="361"/>
      <x:c r="C57" s="361"/>
      <x:c r="D57" s="361"/>
      <x:c r="E57" s="361"/>
      <x:c r="F57" s="361"/>
    </x:row>
    <x:row r="58">
      <x:c r="A58" s="361"/>
      <x:c r="B58" s="361"/>
      <x:c r="C58" s="361"/>
      <x:c r="D58" s="361"/>
      <x:c r="E58" s="361"/>
      <x:c r="F58" s="361"/>
    </x:row>
    <x:row r="59">
      <x:c r="A59" s="361"/>
      <x:c r="B59" s="361"/>
      <x:c r="C59" s="361"/>
      <x:c r="D59" s="361"/>
      <x:c r="E59" s="361"/>
      <x:c r="F59" s="361"/>
    </x:row>
    <x:row r="60">
      <x:c r="A60" s="361"/>
      <x:c r="B60" s="361"/>
      <x:c r="C60" s="361"/>
      <x:c r="D60" s="361"/>
      <x:c r="E60" s="361"/>
      <x:c r="F60" s="361"/>
    </x:row>
    <x:row r="61">
      <x:c r="A61" s="361"/>
      <x:c r="B61" s="361"/>
      <x:c r="C61" s="361"/>
      <x:c r="D61" s="361"/>
      <x:c r="E61" s="361"/>
      <x:c r="F61" s="361"/>
    </x:row>
    <x:row r="62">
      <x:c r="A62" s="361"/>
      <x:c r="B62" s="361"/>
      <x:c r="C62" s="361"/>
      <x:c r="D62" s="361"/>
      <x:c r="E62" s="361"/>
      <x:c r="F62" s="361"/>
    </x:row>
    <x:row r="63">
      <x:c r="A63" s="361"/>
      <x:c r="B63" s="361"/>
      <x:c r="C63" s="361"/>
      <x:c r="D63" s="361"/>
      <x:c r="E63" s="361"/>
      <x:c r="F63" s="361"/>
    </x:row>
    <x:row r="64">
      <x:c r="A64" s="361"/>
      <x:c r="B64" s="361"/>
      <x:c r="C64" s="361"/>
      <x:c r="D64" s="361"/>
      <x:c r="E64" s="361"/>
      <x:c r="F64" s="361"/>
    </x:row>
    <x:row r="65">
      <x:c r="A65" s="361"/>
      <x:c r="B65" s="361"/>
      <x:c r="C65" s="361"/>
      <x:c r="D65" s="361"/>
      <x:c r="E65" s="361"/>
      <x:c r="F65" s="361"/>
    </x:row>
    <x:row r="66">
      <x:c r="A66" s="361"/>
      <x:c r="B66" s="361"/>
      <x:c r="C66" s="361"/>
      <x:c r="D66" s="361"/>
      <x:c r="E66" s="361"/>
      <x:c r="F66" s="361"/>
    </x:row>
    <x:row r="67">
      <x:c r="A67" s="361"/>
      <x:c r="B67" s="361"/>
      <x:c r="C67" s="361"/>
      <x:c r="D67" s="361"/>
      <x:c r="E67" s="361"/>
      <x:c r="F67" s="361"/>
    </x:row>
    <x:row r="68">
      <x:c r="A68" s="361"/>
      <x:c r="B68" s="361"/>
      <x:c r="C68" s="361"/>
      <x:c r="D68" s="361"/>
      <x:c r="E68" s="361"/>
      <x:c r="F68" s="361"/>
    </x:row>
    <x:row r="69">
      <x:c r="A69" s="361"/>
      <x:c r="B69" s="361"/>
      <x:c r="C69" s="361"/>
      <x:c r="D69" s="361"/>
      <x:c r="E69" s="361"/>
      <x:c r="F69" s="361"/>
    </x:row>
    <x:row r="70">
      <x:c r="A70" s="361"/>
      <x:c r="B70" s="361"/>
      <x:c r="C70" s="361"/>
      <x:c r="D70" s="361"/>
      <x:c r="E70" s="361"/>
      <x:c r="F70" s="361"/>
    </x:row>
    <x:row r="71">
      <x:c r="A71" s="361"/>
      <x:c r="B71" s="361"/>
      <x:c r="C71" s="361"/>
      <x:c r="D71" s="361"/>
      <x:c r="E71" s="361"/>
      <x:c r="F71" s="361"/>
    </x:row>
    <x:row r="72">
      <x:c r="A72" s="361"/>
      <x:c r="B72" s="361"/>
      <x:c r="C72" s="361"/>
      <x:c r="D72" s="361"/>
      <x:c r="E72" s="361"/>
      <x:c r="F72" s="361"/>
    </x:row>
    <x:row r="73">
      <x:c r="A73" s="361"/>
      <x:c r="B73" s="361"/>
      <x:c r="C73" s="361"/>
      <x:c r="D73" s="361"/>
      <x:c r="E73" s="361"/>
      <x:c r="F73" s="361"/>
    </x:row>
    <x:row r="74">
      <x:c r="A74" s="361"/>
      <x:c r="B74" s="361"/>
      <x:c r="C74" s="361"/>
      <x:c r="D74" s="361"/>
      <x:c r="E74" s="361"/>
      <x:c r="F74" s="361"/>
    </x:row>
    <x:row r="75">
      <x:c r="A75" s="361"/>
      <x:c r="B75" s="361"/>
      <x:c r="C75" s="361"/>
      <x:c r="D75" s="361"/>
      <x:c r="E75" s="361"/>
      <x:c r="F75" s="361"/>
    </x:row>
    <x:row r="76">
      <x:c r="A76" s="361"/>
      <x:c r="B76" s="361"/>
      <x:c r="C76" s="361"/>
      <x:c r="D76" s="361"/>
      <x:c r="E76" s="361"/>
      <x:c r="F76" s="361"/>
    </x:row>
    <x:row r="77">
      <x:c r="A77" s="361"/>
      <x:c r="B77" s="361"/>
      <x:c r="C77" s="361"/>
      <x:c r="D77" s="361"/>
      <x:c r="E77" s="361"/>
      <x:c r="F77" s="361"/>
    </x:row>
    <x:row r="78">
      <x:c r="A78" s="361"/>
      <x:c r="B78" s="361"/>
      <x:c r="C78" s="361"/>
      <x:c r="D78" s="361"/>
      <x:c r="E78" s="361"/>
      <x:c r="F78" s="361"/>
    </x:row>
    <x:row r="79">
      <x:c r="A79" s="361"/>
      <x:c r="B79" s="361"/>
      <x:c r="C79" s="361"/>
      <x:c r="D79" s="361"/>
      <x:c r="E79" s="361"/>
      <x:c r="F79" s="361"/>
    </x:row>
    <x:row r="80">
      <x:c r="A80" s="361"/>
      <x:c r="B80" s="361"/>
      <x:c r="C80" s="361"/>
      <x:c r="D80" s="361"/>
      <x:c r="E80" s="361"/>
      <x:c r="F80" s="361"/>
    </x:row>
    <x:row r="81">
      <x:c r="A81" s="361"/>
      <x:c r="B81" s="361"/>
      <x:c r="C81" s="361"/>
      <x:c r="D81" s="361"/>
      <x:c r="E81" s="361"/>
      <x:c r="F81" s="361"/>
    </x:row>
    <x:row r="82">
      <x:c r="A82" s="361"/>
      <x:c r="B82" s="361"/>
      <x:c r="C82" s="361"/>
      <x:c r="D82" s="361"/>
      <x:c r="E82" s="361"/>
      <x:c r="F82" s="361"/>
    </x:row>
    <x:row r="83">
      <x:c r="A83" s="361"/>
      <x:c r="B83" s="361"/>
      <x:c r="C83" s="361"/>
      <x:c r="D83" s="361"/>
      <x:c r="E83" s="361"/>
      <x:c r="F83" s="361"/>
    </x:row>
    <x:row r="84">
      <x:c r="A84" s="361"/>
      <x:c r="B84" s="361"/>
      <x:c r="C84" s="361"/>
      <x:c r="D84" s="361"/>
      <x:c r="E84" s="361"/>
      <x:c r="F84" s="361"/>
    </x:row>
    <x:row r="85">
      <x:c r="A85" s="361"/>
      <x:c r="B85" s="361"/>
      <x:c r="C85" s="361"/>
      <x:c r="D85" s="361"/>
      <x:c r="E85" s="361"/>
      <x:c r="F85" s="361"/>
    </x:row>
    <x:row r="86">
      <x:c r="A86" s="361"/>
      <x:c r="B86" s="361"/>
      <x:c r="C86" s="361"/>
      <x:c r="D86" s="361"/>
      <x:c r="E86" s="361"/>
      <x:c r="F86" s="361"/>
    </x:row>
    <x:row r="87">
      <x:c r="A87" s="361"/>
      <x:c r="B87" s="361"/>
      <x:c r="C87" s="361"/>
      <x:c r="D87" s="361"/>
      <x:c r="E87" s="361"/>
      <x:c r="F87" s="361"/>
    </x:row>
    <x:row r="88">
      <x:c r="A88" s="361"/>
      <x:c r="B88" s="361"/>
      <x:c r="C88" s="361"/>
      <x:c r="D88" s="361"/>
      <x:c r="E88" s="361"/>
      <x:c r="F88" s="361"/>
    </x:row>
    <x:row r="89">
      <x:c r="A89" s="361"/>
      <x:c r="B89" s="361"/>
      <x:c r="C89" s="361"/>
      <x:c r="D89" s="361"/>
      <x:c r="E89" s="361"/>
      <x:c r="F89" s="361"/>
    </x:row>
    <x:row r="90">
      <x:c r="A90" s="361"/>
      <x:c r="B90" s="361"/>
      <x:c r="C90" s="361"/>
      <x:c r="D90" s="361"/>
      <x:c r="E90" s="361"/>
      <x:c r="F90" s="361"/>
    </x:row>
    <x:row r="91">
      <x:c r="A91" s="361"/>
      <x:c r="B91" s="361"/>
      <x:c r="C91" s="361"/>
      <x:c r="D91" s="361"/>
      <x:c r="E91" s="361"/>
      <x:c r="F91" s="361"/>
    </x:row>
    <x:row r="92">
      <x:c r="A92" s="361"/>
      <x:c r="B92" s="361"/>
      <x:c r="C92" s="361"/>
      <x:c r="D92" s="361"/>
      <x:c r="E92" s="361"/>
      <x:c r="F92" s="361"/>
    </x:row>
    <x:row r="93">
      <x:c r="A93" s="361"/>
      <x:c r="B93" s="361"/>
      <x:c r="C93" s="361"/>
      <x:c r="D93" s="361"/>
      <x:c r="E93" s="361"/>
      <x:c r="F93" s="361"/>
    </x:row>
    <x:row r="94">
      <x:c r="A94" s="361"/>
      <x:c r="B94" s="361"/>
      <x:c r="C94" s="361"/>
      <x:c r="D94" s="361"/>
      <x:c r="E94" s="361"/>
      <x:c r="F94" s="361"/>
    </x:row>
    <x:row r="95">
      <x:c r="A95" s="361"/>
      <x:c r="B95" s="361"/>
      <x:c r="C95" s="361"/>
      <x:c r="D95" s="361"/>
      <x:c r="E95" s="361"/>
      <x:c r="F95" s="361"/>
    </x:row>
    <x:row r="96">
      <x:c r="A96" s="361"/>
      <x:c r="B96" s="361"/>
      <x:c r="C96" s="361"/>
      <x:c r="D96" s="361"/>
      <x:c r="E96" s="361"/>
      <x:c r="F96" s="361"/>
    </x:row>
    <x:row r="97">
      <x:c r="A97" s="361"/>
      <x:c r="B97" s="361"/>
      <x:c r="C97" s="361"/>
      <x:c r="D97" s="361"/>
      <x:c r="E97" s="361"/>
      <x:c r="F97" s="361"/>
    </x:row>
    <x:row r="98">
      <x:c r="A98" s="361"/>
      <x:c r="B98" s="361"/>
      <x:c r="C98" s="361"/>
      <x:c r="D98" s="361"/>
      <x:c r="E98" s="361"/>
      <x:c r="F98" s="361"/>
    </x:row>
    <x:row r="99">
      <x:c r="A99" s="361"/>
      <x:c r="B99" s="361"/>
      <x:c r="C99" s="361"/>
      <x:c r="D99" s="361"/>
      <x:c r="E99" s="361"/>
      <x:c r="F99" s="361"/>
    </x:row>
    <x:row r="100">
      <x:c r="A100" s="361"/>
      <x:c r="B100" s="361"/>
      <x:c r="C100" s="361"/>
      <x:c r="D100" s="361"/>
      <x:c r="E100" s="361"/>
      <x:c r="F100" s="361"/>
    </x:row>
  </x:sheetData>
  <x:mergeCells>
    <x:mergeCell ref="A1:F1"/>
  </x:mergeCells>
  <x:conditionalFormatting sqref="D4:D15">
    <x:cfRule type="expression" dxfId="5" priority="1">
      <x:formula>D4="PASS"</x:formula>
    </x:cfRule>
    <x:cfRule type="expression" dxfId="6" priority="2">
      <x:formula>D4="BLOCKED"</x:formula>
    </x:cfRule>
    <x:cfRule type="expression" dxfId="7" priority="3">
      <x:formula>D4="FAIL"</x:formula>
    </x:cfRule>
    <x:cfRule type="expression" dxfId="8" priority="4">
      <x:formula>D4="REVIEW"</x:formula>
    </x:cfRule>
  </x:conditionalFormatting>
  <x:pageMargins left="0.7" right="0.7" top="0.75" bottom="0.75" header="0.3" footer="0.3"/>
</x:worksheet>
</file>

<file path=xl/worksheets/sheet55.xml><?xml version="1.0" encoding="utf-8"?>
<x:worksheet xmlns:x="http://schemas.openxmlformats.org/spreadsheetml/2006/main">
  <x:sheetFormatPr defaultRowHeight="15"/>
  <x:cols>
    <x:col min="1" max="1" width="8" hidden="0" customWidth="1"/>
    <x:col min="2" max="2" width="30" hidden="0" customWidth="1"/>
    <x:col min="3" max="3" width="38" hidden="0" customWidth="1"/>
    <x:col min="4" max="4" width="38" hidden="0" customWidth="1"/>
    <x:col min="5" max="5" width="42" hidden="0" customWidth="1"/>
    <x:col min="6" max="6" width="38" hidden="0" customWidth="1"/>
  </x:cols>
  <x:sheetData>
    <x:row r="1">
      <x:c r="A1" s="541" t="str">
        <x:v>Run</x:v>
      </x:c>
      <x:c r="B1" s="541" t="str">
        <x:v>CD3 Option / Sheets</x:v>
      </x:c>
      <x:c r="C1" s="541" t="str">
        <x:v>Purpose</x:v>
      </x:c>
      <x:c r="D1" s="541" t="str">
        <x:v>Precondition</x:v>
      </x:c>
      <x:c r="E1" s="541" t="str">
        <x:v>Verification</x:v>
      </x:c>
      <x:c r="F1" s="541" t="str">
        <x:v>Rollback</x:v>
      </x:c>
    </x:row>
    <x:row r="2">
      <x:c r="A2" s="361" t="n">
        <x:v>1</x:v>
      </x:c>
      <x:c r="B2" s="361" t="str">
        <x:v>Add/Modify: Tags only</x:v>
      </x:c>
      <x:c r="C2" s="361" t="str">
        <x:v>Create SCCA_Audit, Governance, Operations and Security namespaces and root tag defaults</x:v>
      </x:c>
      <x:c r="D2" s="361" t="str">
        <x:v>IAM governance permissions</x:v>
      </x:c>
      <x:c r="E2" s="361" t="str">
        <x:v>Confirm tag namespaces and root defaults exist</x:v>
      </x:c>
      <x:c r="F2" s="361" t="str">
        <x:v>Delete defaults first, then unused tag keys/namespaces</x:v>
      </x:c>
    </x:row>
    <x:row r="3">
      <x:c r="A3" s="361" t="n">
        <x:v>2</x:v>
      </x:c>
      <x:c r="B3" s="361" t="str">
        <x:v>Add/Modify: Compartments</x:v>
      </x:c>
      <x:c r="C3" s="361" t="str">
        <x:v>Create EBLZ hierarchy with static governance tags</x:v>
      </x:c>
      <x:c r="D3" s="361" t="str">
        <x:v>Run 1 complete</x:v>
      </x:c>
      <x:c r="E3" s="361" t="str">
        <x:v>Confirm all parent paths and compartment OCIDs</x:v>
      </x:c>
      <x:c r="F3" s="361" t="str">
        <x:v>Move resources out; rename/disable rather than immediate delete</x:v>
      </x:c>
    </x:row>
    <x:row r="4">
      <x:c r="A4" s="361" t="n">
        <x:v>3</x:v>
      </x:c>
      <x:c r="B4" s="361" t="str">
        <x:v>Add/Modify: Groups</x:v>
      </x:c>
      <x:c r="C4" s="361" t="str">
        <x:v>Create workforce groups and ORM dynamic group</x:v>
      </x:c>
      <x:c r="D4" s="361" t="str">
        <x:v>Replace ORM compartment OCID</x:v>
      </x:c>
      <x:c r="E4" s="361" t="str">
        <x:v>Confirm groups in Default domain and dynamic matching rule</x:v>
      </x:c>
      <x:c r="F4" s="361" t="str">
        <x:v>Delete empty groups after policy removal</x:v>
      </x:c>
    </x:row>
    <x:row r="5">
      <x:c r="A5" s="361" t="n">
        <x:v>4</x:v>
      </x:c>
      <x:c r="B5" s="361" t="str">
        <x:v>Add/Modify: Policies</x:v>
      </x:c>
      <x:c r="C5" s="361" t="str">
        <x:v>Apply baseline and least-privilege policies</x:v>
      </x:c>
      <x:c r="D5" s="361" t="str">
        <x:v>Groups and compartments exist</x:v>
      </x:c>
      <x:c r="E5" s="361" t="str">
        <x:v>Compile policies and test each persona</x:v>
      </x:c>
      <x:c r="F5" s="361" t="str">
        <x:v>Remove new policy statements/policies</x:v>
      </x:c>
    </x:row>
    <x:row r="6">
      <x:c r="A6" s="361" t="n">
        <x:v>5</x:v>
      </x:c>
      <x:c r="B6" s="361" t="str">
        <x:v>Add/Modify: Budgets and Quotas</x:v>
      </x:c>
      <x:c r="C6" s="361" t="str">
        <x:v>Apply financial and Sandbox guardrails</x:v>
      </x:c>
      <x:c r="D6" s="361" t="str">
        <x:v>Replace email placeholders; validate quota syntax</x:v>
      </x:c>
      <x:c r="E6" s="361" t="str">
        <x:v>Test alerts and quota behavior</x:v>
      </x:c>
      <x:c r="F6" s="361" t="str">
        <x:v>Delete budget/quota policies</x:v>
      </x:c>
    </x:row>
    <x:row r="7">
      <x:c r="A7" s="361" t="n">
        <x:v>6</x:v>
      </x:c>
      <x:c r="B7" s="361" t="str">
        <x:v>Terraform plan only</x:v>
      </x:c>
      <x:c r="C7" s="361" t="str">
        <x:v>Review all generated changes before apply</x:v>
      </x:c>
      <x:c r="D7" s="361" t="str">
        <x:v>Runs 1-5 generated successfully</x:v>
      </x:c>
      <x:c r="E7" s="361" t="str">
        <x:v>No unexpected deletes/replacements</x:v>
      </x:c>
      <x:c r="F7" s="361" t="str">
        <x:v>Discard plan; do not apply</x:v>
      </x:c>
    </x:row>
    <x:row r="8">
      <x:c r="A8" s="361"/>
      <x:c r="B8" s="361"/>
      <x:c r="C8" s="361"/>
      <x:c r="D8" s="361"/>
      <x:c r="E8" s="361"/>
      <x:c r="F8" s="361"/>
    </x:row>
    <x:row r="9">
      <x:c r="A9" s="361"/>
      <x:c r="B9" s="361"/>
      <x:c r="C9" s="361"/>
      <x:c r="D9" s="361"/>
      <x:c r="E9" s="361"/>
      <x:c r="F9" s="361"/>
    </x:row>
    <x:row r="10">
      <x:c r="A10" s="361"/>
      <x:c r="B10" s="361"/>
      <x:c r="C10" s="361"/>
      <x:c r="D10" s="361"/>
      <x:c r="E10" s="361"/>
      <x:c r="F10" s="361"/>
    </x:row>
    <x:row r="11">
      <x:c r="A11" s="361"/>
      <x:c r="B11" s="361"/>
      <x:c r="C11" s="361"/>
      <x:c r="D11" s="361"/>
      <x:c r="E11" s="361"/>
      <x:c r="F11" s="361"/>
    </x:row>
    <x:row r="12">
      <x:c r="A12" s="361"/>
      <x:c r="B12" s="361"/>
      <x:c r="C12" s="361"/>
      <x:c r="D12" s="361"/>
      <x:c r="E12" s="361"/>
      <x:c r="F12" s="361"/>
    </x:row>
    <x:row r="13">
      <x:c r="A13" s="361"/>
      <x:c r="B13" s="361"/>
      <x:c r="C13" s="361"/>
      <x:c r="D13" s="361"/>
      <x:c r="E13" s="361"/>
      <x:c r="F13" s="361"/>
    </x:row>
    <x:row r="14">
      <x:c r="A14" s="361"/>
      <x:c r="B14" s="361"/>
      <x:c r="C14" s="361"/>
      <x:c r="D14" s="361"/>
      <x:c r="E14" s="361"/>
      <x:c r="F14" s="361"/>
    </x:row>
    <x:row r="15">
      <x:c r="A15" s="361"/>
      <x:c r="B15" s="361"/>
      <x:c r="C15" s="361"/>
      <x:c r="D15" s="361"/>
      <x:c r="E15" s="361"/>
      <x:c r="F15" s="361"/>
    </x:row>
    <x:row r="16">
      <x:c r="A16" s="361"/>
      <x:c r="B16" s="361"/>
      <x:c r="C16" s="361"/>
      <x:c r="D16" s="361"/>
      <x:c r="E16" s="361"/>
      <x:c r="F16" s="361"/>
    </x:row>
    <x:row r="17">
      <x:c r="A17" s="361"/>
      <x:c r="B17" s="361"/>
      <x:c r="C17" s="361"/>
      <x:c r="D17" s="361"/>
      <x:c r="E17" s="361"/>
      <x:c r="F17" s="361"/>
    </x:row>
    <x:row r="18">
      <x:c r="A18" s="361"/>
      <x:c r="B18" s="361"/>
      <x:c r="C18" s="361"/>
      <x:c r="D18" s="361"/>
      <x:c r="E18" s="361"/>
      <x:c r="F18" s="361"/>
    </x:row>
    <x:row r="19">
      <x:c r="A19" s="361"/>
      <x:c r="B19" s="361"/>
      <x:c r="C19" s="361"/>
      <x:c r="D19" s="361"/>
      <x:c r="E19" s="361"/>
      <x:c r="F19" s="361"/>
    </x:row>
    <x:row r="20">
      <x:c r="A20" s="361"/>
      <x:c r="B20" s="361"/>
      <x:c r="C20" s="361"/>
      <x:c r="D20" s="361"/>
      <x:c r="E20" s="361"/>
      <x:c r="F20" s="361"/>
    </x:row>
    <x:row r="21">
      <x:c r="A21" s="361"/>
      <x:c r="B21" s="361"/>
      <x:c r="C21" s="361"/>
      <x:c r="D21" s="361"/>
      <x:c r="E21" s="361"/>
      <x:c r="F21" s="361"/>
    </x:row>
    <x:row r="22">
      <x:c r="A22" s="361"/>
      <x:c r="B22" s="361"/>
      <x:c r="C22" s="361"/>
      <x:c r="D22" s="361"/>
      <x:c r="E22" s="361"/>
      <x:c r="F22" s="361"/>
    </x:row>
    <x:row r="23">
      <x:c r="A23" s="361"/>
      <x:c r="B23" s="361"/>
      <x:c r="C23" s="361"/>
      <x:c r="D23" s="361"/>
      <x:c r="E23" s="361"/>
      <x:c r="F23" s="361"/>
    </x:row>
    <x:row r="24">
      <x:c r="A24" s="361"/>
      <x:c r="B24" s="361"/>
      <x:c r="C24" s="361"/>
      <x:c r="D24" s="361"/>
      <x:c r="E24" s="361"/>
      <x:c r="F24" s="361"/>
    </x:row>
    <x:row r="25">
      <x:c r="A25" s="361"/>
      <x:c r="B25" s="361"/>
      <x:c r="C25" s="361"/>
      <x:c r="D25" s="361"/>
      <x:c r="E25" s="361"/>
      <x:c r="F25" s="361"/>
    </x:row>
    <x:row r="26">
      <x:c r="A26" s="361"/>
      <x:c r="B26" s="361"/>
      <x:c r="C26" s="361"/>
      <x:c r="D26" s="361"/>
      <x:c r="E26" s="361"/>
      <x:c r="F26" s="361"/>
    </x:row>
    <x:row r="27">
      <x:c r="A27" s="361"/>
      <x:c r="B27" s="361"/>
      <x:c r="C27" s="361"/>
      <x:c r="D27" s="361"/>
      <x:c r="E27" s="361"/>
      <x:c r="F27" s="361"/>
    </x:row>
    <x:row r="28">
      <x:c r="A28" s="361"/>
      <x:c r="B28" s="361"/>
      <x:c r="C28" s="361"/>
      <x:c r="D28" s="361"/>
      <x:c r="E28" s="361"/>
      <x:c r="F28" s="361"/>
    </x:row>
    <x:row r="29">
      <x:c r="A29" s="361"/>
      <x:c r="B29" s="361"/>
      <x:c r="C29" s="361"/>
      <x:c r="D29" s="361"/>
      <x:c r="E29" s="361"/>
      <x:c r="F29" s="361"/>
    </x:row>
    <x:row r="30">
      <x:c r="A30" s="361"/>
      <x:c r="B30" s="361"/>
      <x:c r="C30" s="361"/>
      <x:c r="D30" s="361"/>
      <x:c r="E30" s="361"/>
      <x:c r="F30" s="361"/>
    </x:row>
    <x:row r="31">
      <x:c r="A31" s="361"/>
      <x:c r="B31" s="361"/>
      <x:c r="C31" s="361"/>
      <x:c r="D31" s="361"/>
      <x:c r="E31" s="361"/>
      <x:c r="F31" s="361"/>
    </x:row>
    <x:row r="32">
      <x:c r="A32" s="361"/>
      <x:c r="B32" s="361"/>
      <x:c r="C32" s="361"/>
      <x:c r="D32" s="361"/>
      <x:c r="E32" s="361"/>
      <x:c r="F32" s="361"/>
    </x:row>
    <x:row r="33">
      <x:c r="A33" s="361"/>
      <x:c r="B33" s="361"/>
      <x:c r="C33" s="361"/>
      <x:c r="D33" s="361"/>
      <x:c r="E33" s="361"/>
      <x:c r="F33" s="361"/>
    </x:row>
    <x:row r="34">
      <x:c r="A34" s="361"/>
      <x:c r="B34" s="361"/>
      <x:c r="C34" s="361"/>
      <x:c r="D34" s="361"/>
      <x:c r="E34" s="361"/>
      <x:c r="F34" s="361"/>
    </x:row>
    <x:row r="35">
      <x:c r="A35" s="361"/>
      <x:c r="B35" s="361"/>
      <x:c r="C35" s="361"/>
      <x:c r="D35" s="361"/>
      <x:c r="E35" s="361"/>
      <x:c r="F35" s="361"/>
    </x:row>
    <x:row r="36">
      <x:c r="A36" s="361"/>
      <x:c r="B36" s="361"/>
      <x:c r="C36" s="361"/>
      <x:c r="D36" s="361"/>
      <x:c r="E36" s="361"/>
      <x:c r="F36" s="361"/>
    </x:row>
    <x:row r="37">
      <x:c r="A37" s="361"/>
      <x:c r="B37" s="361"/>
      <x:c r="C37" s="361"/>
      <x:c r="D37" s="361"/>
      <x:c r="E37" s="361"/>
      <x:c r="F37" s="361"/>
    </x:row>
    <x:row r="38">
      <x:c r="A38" s="361"/>
      <x:c r="B38" s="361"/>
      <x:c r="C38" s="361"/>
      <x:c r="D38" s="361"/>
      <x:c r="E38" s="361"/>
      <x:c r="F38" s="361"/>
    </x:row>
    <x:row r="39">
      <x:c r="A39" s="361"/>
      <x:c r="B39" s="361"/>
      <x:c r="C39" s="361"/>
      <x:c r="D39" s="361"/>
      <x:c r="E39" s="361"/>
      <x:c r="F39" s="361"/>
    </x:row>
    <x:row r="40">
      <x:c r="A40" s="361"/>
      <x:c r="B40" s="361"/>
      <x:c r="C40" s="361"/>
      <x:c r="D40" s="361"/>
      <x:c r="E40" s="361"/>
      <x:c r="F40" s="361"/>
    </x:row>
    <x:row r="41">
      <x:c r="A41" s="361"/>
      <x:c r="B41" s="361"/>
      <x:c r="C41" s="361"/>
      <x:c r="D41" s="361"/>
      <x:c r="E41" s="361"/>
      <x:c r="F41" s="361"/>
    </x:row>
    <x:row r="42">
      <x:c r="A42" s="361"/>
      <x:c r="B42" s="361"/>
      <x:c r="C42" s="361"/>
      <x:c r="D42" s="361"/>
      <x:c r="E42" s="361"/>
      <x:c r="F42" s="361"/>
    </x:row>
    <x:row r="43">
      <x:c r="A43" s="361"/>
      <x:c r="B43" s="361"/>
      <x:c r="C43" s="361"/>
      <x:c r="D43" s="361"/>
      <x:c r="E43" s="361"/>
      <x:c r="F43" s="361"/>
    </x:row>
    <x:row r="44">
      <x:c r="A44" s="361"/>
      <x:c r="B44" s="361"/>
      <x:c r="C44" s="361"/>
      <x:c r="D44" s="361"/>
      <x:c r="E44" s="361"/>
      <x:c r="F44" s="361"/>
    </x:row>
    <x:row r="45">
      <x:c r="A45" s="361"/>
      <x:c r="B45" s="361"/>
      <x:c r="C45" s="361"/>
      <x:c r="D45" s="361"/>
      <x:c r="E45" s="361"/>
      <x:c r="F45" s="361"/>
    </x:row>
    <x:row r="46">
      <x:c r="A46" s="361"/>
      <x:c r="B46" s="361"/>
      <x:c r="C46" s="361"/>
      <x:c r="D46" s="361"/>
      <x:c r="E46" s="361"/>
      <x:c r="F46" s="361"/>
    </x:row>
    <x:row r="47">
      <x:c r="A47" s="361"/>
      <x:c r="B47" s="361"/>
      <x:c r="C47" s="361"/>
      <x:c r="D47" s="361"/>
      <x:c r="E47" s="361"/>
      <x:c r="F47" s="361"/>
    </x:row>
    <x:row r="48">
      <x:c r="A48" s="361"/>
      <x:c r="B48" s="361"/>
      <x:c r="C48" s="361"/>
      <x:c r="D48" s="361"/>
      <x:c r="E48" s="361"/>
      <x:c r="F48" s="361"/>
    </x:row>
    <x:row r="49">
      <x:c r="A49" s="361"/>
      <x:c r="B49" s="361"/>
      <x:c r="C49" s="361"/>
      <x:c r="D49" s="361"/>
      <x:c r="E49" s="361"/>
      <x:c r="F49" s="361"/>
    </x:row>
    <x:row r="50">
      <x:c r="A50" s="361"/>
      <x:c r="B50" s="361"/>
      <x:c r="C50" s="361"/>
      <x:c r="D50" s="361"/>
      <x:c r="E50" s="361"/>
      <x:c r="F50" s="361"/>
    </x:row>
    <x:row r="51">
      <x:c r="A51" s="361"/>
      <x:c r="B51" s="361"/>
      <x:c r="C51" s="361"/>
      <x:c r="D51" s="361"/>
      <x:c r="E51" s="361"/>
      <x:c r="F51" s="361"/>
    </x:row>
    <x:row r="52">
      <x:c r="A52" s="361"/>
      <x:c r="B52" s="361"/>
      <x:c r="C52" s="361"/>
      <x:c r="D52" s="361"/>
      <x:c r="E52" s="361"/>
      <x:c r="F52" s="361"/>
    </x:row>
    <x:row r="53">
      <x:c r="A53" s="361"/>
      <x:c r="B53" s="361"/>
      <x:c r="C53" s="361"/>
      <x:c r="D53" s="361"/>
      <x:c r="E53" s="361"/>
      <x:c r="F53" s="361"/>
    </x:row>
    <x:row r="54">
      <x:c r="A54" s="361"/>
      <x:c r="B54" s="361"/>
      <x:c r="C54" s="361"/>
      <x:c r="D54" s="361"/>
      <x:c r="E54" s="361"/>
      <x:c r="F54" s="361"/>
    </x:row>
    <x:row r="55">
      <x:c r="A55" s="361"/>
      <x:c r="B55" s="361"/>
      <x:c r="C55" s="361"/>
      <x:c r="D55" s="361"/>
      <x:c r="E55" s="361"/>
      <x:c r="F55" s="361"/>
    </x:row>
    <x:row r="56">
      <x:c r="A56" s="361"/>
      <x:c r="B56" s="361"/>
      <x:c r="C56" s="361"/>
      <x:c r="D56" s="361"/>
      <x:c r="E56" s="361"/>
      <x:c r="F56" s="361"/>
    </x:row>
    <x:row r="57">
      <x:c r="A57" s="361"/>
      <x:c r="B57" s="361"/>
      <x:c r="C57" s="361"/>
      <x:c r="D57" s="361"/>
      <x:c r="E57" s="361"/>
      <x:c r="F57" s="361"/>
    </x:row>
    <x:row r="58">
      <x:c r="A58" s="361"/>
      <x:c r="B58" s="361"/>
      <x:c r="C58" s="361"/>
      <x:c r="D58" s="361"/>
      <x:c r="E58" s="361"/>
      <x:c r="F58" s="361"/>
    </x:row>
    <x:row r="59">
      <x:c r="A59" s="361"/>
      <x:c r="B59" s="361"/>
      <x:c r="C59" s="361"/>
      <x:c r="D59" s="361"/>
      <x:c r="E59" s="361"/>
      <x:c r="F59" s="361"/>
    </x:row>
    <x:row r="60">
      <x:c r="A60" s="361"/>
      <x:c r="B60" s="361"/>
      <x:c r="C60" s="361"/>
      <x:c r="D60" s="361"/>
      <x:c r="E60" s="361"/>
      <x:c r="F60" s="361"/>
    </x:row>
    <x:row r="61">
      <x:c r="A61" s="361"/>
      <x:c r="B61" s="361"/>
      <x:c r="C61" s="361"/>
      <x:c r="D61" s="361"/>
      <x:c r="E61" s="361"/>
      <x:c r="F61" s="361"/>
    </x:row>
    <x:row r="62">
      <x:c r="A62" s="361"/>
      <x:c r="B62" s="361"/>
      <x:c r="C62" s="361"/>
      <x:c r="D62" s="361"/>
      <x:c r="E62" s="361"/>
      <x:c r="F62" s="361"/>
    </x:row>
    <x:row r="63">
      <x:c r="A63" s="361"/>
      <x:c r="B63" s="361"/>
      <x:c r="C63" s="361"/>
      <x:c r="D63" s="361"/>
      <x:c r="E63" s="361"/>
      <x:c r="F63" s="361"/>
    </x:row>
    <x:row r="64">
      <x:c r="A64" s="361"/>
      <x:c r="B64" s="361"/>
      <x:c r="C64" s="361"/>
      <x:c r="D64" s="361"/>
      <x:c r="E64" s="361"/>
      <x:c r="F64" s="361"/>
    </x:row>
    <x:row r="65">
      <x:c r="A65" s="361"/>
      <x:c r="B65" s="361"/>
      <x:c r="C65" s="361"/>
      <x:c r="D65" s="361"/>
      <x:c r="E65" s="361"/>
      <x:c r="F65" s="361"/>
    </x:row>
    <x:row r="66">
      <x:c r="A66" s="361"/>
      <x:c r="B66" s="361"/>
      <x:c r="C66" s="361"/>
      <x:c r="D66" s="361"/>
      <x:c r="E66" s="361"/>
      <x:c r="F66" s="361"/>
    </x:row>
    <x:row r="67">
      <x:c r="A67" s="361"/>
      <x:c r="B67" s="361"/>
      <x:c r="C67" s="361"/>
      <x:c r="D67" s="361"/>
      <x:c r="E67" s="361"/>
      <x:c r="F67" s="361"/>
    </x:row>
    <x:row r="68">
      <x:c r="A68" s="361"/>
      <x:c r="B68" s="361"/>
      <x:c r="C68" s="361"/>
      <x:c r="D68" s="361"/>
      <x:c r="E68" s="361"/>
      <x:c r="F68" s="361"/>
    </x:row>
    <x:row r="69">
      <x:c r="A69" s="361"/>
      <x:c r="B69" s="361"/>
      <x:c r="C69" s="361"/>
      <x:c r="D69" s="361"/>
      <x:c r="E69" s="361"/>
      <x:c r="F69" s="361"/>
    </x:row>
    <x:row r="70">
      <x:c r="A70" s="361"/>
      <x:c r="B70" s="361"/>
      <x:c r="C70" s="361"/>
      <x:c r="D70" s="361"/>
      <x:c r="E70" s="361"/>
      <x:c r="F70" s="361"/>
    </x:row>
    <x:row r="71">
      <x:c r="A71" s="361"/>
      <x:c r="B71" s="361"/>
      <x:c r="C71" s="361"/>
      <x:c r="D71" s="361"/>
      <x:c r="E71" s="361"/>
      <x:c r="F71" s="361"/>
    </x:row>
    <x:row r="72">
      <x:c r="A72" s="361"/>
      <x:c r="B72" s="361"/>
      <x:c r="C72" s="361"/>
      <x:c r="D72" s="361"/>
      <x:c r="E72" s="361"/>
      <x:c r="F72" s="361"/>
    </x:row>
    <x:row r="73">
      <x:c r="A73" s="361"/>
      <x:c r="B73" s="361"/>
      <x:c r="C73" s="361"/>
      <x:c r="D73" s="361"/>
      <x:c r="E73" s="361"/>
      <x:c r="F73" s="361"/>
    </x:row>
    <x:row r="74">
      <x:c r="A74" s="361"/>
      <x:c r="B74" s="361"/>
      <x:c r="C74" s="361"/>
      <x:c r="D74" s="361"/>
      <x:c r="E74" s="361"/>
      <x:c r="F74" s="361"/>
    </x:row>
    <x:row r="75">
      <x:c r="A75" s="361"/>
      <x:c r="B75" s="361"/>
      <x:c r="C75" s="361"/>
      <x:c r="D75" s="361"/>
      <x:c r="E75" s="361"/>
      <x:c r="F75" s="361"/>
    </x:row>
    <x:row r="76">
      <x:c r="A76" s="361"/>
      <x:c r="B76" s="361"/>
      <x:c r="C76" s="361"/>
      <x:c r="D76" s="361"/>
      <x:c r="E76" s="361"/>
      <x:c r="F76" s="361"/>
    </x:row>
    <x:row r="77">
      <x:c r="A77" s="361"/>
      <x:c r="B77" s="361"/>
      <x:c r="C77" s="361"/>
      <x:c r="D77" s="361"/>
      <x:c r="E77" s="361"/>
      <x:c r="F77" s="361"/>
    </x:row>
    <x:row r="78">
      <x:c r="A78" s="361"/>
      <x:c r="B78" s="361"/>
      <x:c r="C78" s="361"/>
      <x:c r="D78" s="361"/>
      <x:c r="E78" s="361"/>
      <x:c r="F78" s="361"/>
    </x:row>
    <x:row r="79">
      <x:c r="A79" s="361"/>
      <x:c r="B79" s="361"/>
      <x:c r="C79" s="361"/>
      <x:c r="D79" s="361"/>
      <x:c r="E79" s="361"/>
      <x:c r="F79" s="361"/>
    </x:row>
    <x:row r="80">
      <x:c r="A80" s="361"/>
      <x:c r="B80" s="361"/>
      <x:c r="C80" s="361"/>
      <x:c r="D80" s="361"/>
      <x:c r="E80" s="361"/>
      <x:c r="F80" s="361"/>
    </x:row>
    <x:row r="81">
      <x:c r="A81" s="361"/>
      <x:c r="B81" s="361"/>
      <x:c r="C81" s="361"/>
      <x:c r="D81" s="361"/>
      <x:c r="E81" s="361"/>
      <x:c r="F81" s="361"/>
    </x:row>
    <x:row r="82">
      <x:c r="A82" s="361"/>
      <x:c r="B82" s="361"/>
      <x:c r="C82" s="361"/>
      <x:c r="D82" s="361"/>
      <x:c r="E82" s="361"/>
      <x:c r="F82" s="361"/>
    </x:row>
    <x:row r="83">
      <x:c r="A83" s="361"/>
      <x:c r="B83" s="361"/>
      <x:c r="C83" s="361"/>
      <x:c r="D83" s="361"/>
      <x:c r="E83" s="361"/>
      <x:c r="F83" s="361"/>
    </x:row>
    <x:row r="84">
      <x:c r="A84" s="361"/>
      <x:c r="B84" s="361"/>
      <x:c r="C84" s="361"/>
      <x:c r="D84" s="361"/>
      <x:c r="E84" s="361"/>
      <x:c r="F84" s="361"/>
    </x:row>
    <x:row r="85">
      <x:c r="A85" s="361"/>
      <x:c r="B85" s="361"/>
      <x:c r="C85" s="361"/>
      <x:c r="D85" s="361"/>
      <x:c r="E85" s="361"/>
      <x:c r="F85" s="361"/>
    </x:row>
    <x:row r="86">
      <x:c r="A86" s="361"/>
      <x:c r="B86" s="361"/>
      <x:c r="C86" s="361"/>
      <x:c r="D86" s="361"/>
      <x:c r="E86" s="361"/>
      <x:c r="F86" s="361"/>
    </x:row>
    <x:row r="87">
      <x:c r="A87" s="361"/>
      <x:c r="B87" s="361"/>
      <x:c r="C87" s="361"/>
      <x:c r="D87" s="361"/>
      <x:c r="E87" s="361"/>
      <x:c r="F87" s="361"/>
    </x:row>
    <x:row r="88">
      <x:c r="A88" s="361"/>
      <x:c r="B88" s="361"/>
      <x:c r="C88" s="361"/>
      <x:c r="D88" s="361"/>
      <x:c r="E88" s="361"/>
      <x:c r="F88" s="361"/>
    </x:row>
    <x:row r="89">
      <x:c r="A89" s="361"/>
      <x:c r="B89" s="361"/>
      <x:c r="C89" s="361"/>
      <x:c r="D89" s="361"/>
      <x:c r="E89" s="361"/>
      <x:c r="F89" s="361"/>
    </x:row>
    <x:row r="90">
      <x:c r="A90" s="361"/>
      <x:c r="B90" s="361"/>
      <x:c r="C90" s="361"/>
      <x:c r="D90" s="361"/>
      <x:c r="E90" s="361"/>
      <x:c r="F90" s="361"/>
    </x:row>
    <x:row r="91">
      <x:c r="A91" s="361"/>
      <x:c r="B91" s="361"/>
      <x:c r="C91" s="361"/>
      <x:c r="D91" s="361"/>
      <x:c r="E91" s="361"/>
      <x:c r="F91" s="361"/>
    </x:row>
    <x:row r="92">
      <x:c r="A92" s="361"/>
      <x:c r="B92" s="361"/>
      <x:c r="C92" s="361"/>
      <x:c r="D92" s="361"/>
      <x:c r="E92" s="361"/>
      <x:c r="F92" s="361"/>
    </x:row>
    <x:row r="93">
      <x:c r="A93" s="361"/>
      <x:c r="B93" s="361"/>
      <x:c r="C93" s="361"/>
      <x:c r="D93" s="361"/>
      <x:c r="E93" s="361"/>
      <x:c r="F93" s="361"/>
    </x:row>
    <x:row r="94">
      <x:c r="A94" s="361"/>
      <x:c r="B94" s="361"/>
      <x:c r="C94" s="361"/>
      <x:c r="D94" s="361"/>
      <x:c r="E94" s="361"/>
      <x:c r="F94" s="361"/>
    </x:row>
    <x:row r="95">
      <x:c r="A95" s="361"/>
      <x:c r="B95" s="361"/>
      <x:c r="C95" s="361"/>
      <x:c r="D95" s="361"/>
      <x:c r="E95" s="361"/>
      <x:c r="F95" s="361"/>
    </x:row>
    <x:row r="96">
      <x:c r="A96" s="361"/>
      <x:c r="B96" s="361"/>
      <x:c r="C96" s="361"/>
      <x:c r="D96" s="361"/>
      <x:c r="E96" s="361"/>
      <x:c r="F96" s="361"/>
    </x:row>
    <x:row r="97">
      <x:c r="A97" s="361"/>
      <x:c r="B97" s="361"/>
      <x:c r="C97" s="361"/>
      <x:c r="D97" s="361"/>
      <x:c r="E97" s="361"/>
      <x:c r="F97" s="361"/>
    </x:row>
    <x:row r="98">
      <x:c r="A98" s="361"/>
      <x:c r="B98" s="361"/>
      <x:c r="C98" s="361"/>
      <x:c r="D98" s="361"/>
      <x:c r="E98" s="361"/>
      <x:c r="F98" s="361"/>
    </x:row>
    <x:row r="99">
      <x:c r="A99" s="361"/>
      <x:c r="B99" s="361"/>
      <x:c r="C99" s="361"/>
      <x:c r="D99" s="361"/>
      <x:c r="E99" s="361"/>
      <x:c r="F99" s="361"/>
    </x:row>
    <x:row r="100">
      <x:c r="A100" s="361"/>
      <x:c r="B100" s="361"/>
      <x:c r="C100" s="361"/>
      <x:c r="D100" s="361"/>
      <x:c r="E100" s="361"/>
      <x:c r="F100" s="361"/>
    </x:row>
  </x:sheetData>
  <x:pageMargins left="0.7" right="0.7" top="0.75" bottom="0.75" header="0.3" footer="0.3"/>
</x:worksheet>
</file>